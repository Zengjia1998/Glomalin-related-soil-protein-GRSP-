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tabRatio="835"/>
  </bookViews>
  <sheets>
    <sheet name="Database" sheetId="28" r:id="rId1"/>
    <sheet name="Metadata" sheetId="35" r:id="rId2"/>
    <sheet name="References" sheetId="34" r:id="rId3"/>
  </sheets>
  <definedNames>
    <definedName name="_xlnm._FilterDatabase" localSheetId="0" hidden="1">Database!$A$1:$AY$951</definedName>
    <definedName name="_xlnm._FilterDatabase" localSheetId="2" hidden="1">References!$A$1:$A$138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<sst xmlns="http://schemas.openxmlformats.org/spreadsheetml/2006/main" count="7365" uniqueCount="530">
  <si>
    <t>id</t>
  </si>
  <si>
    <t>Num</t>
  </si>
  <si>
    <t>WEBSITE</t>
  </si>
  <si>
    <t>Publication</t>
  </si>
  <si>
    <t>latitude</t>
  </si>
  <si>
    <t>longitude</t>
  </si>
  <si>
    <t>MAT</t>
  </si>
  <si>
    <t>MAP</t>
  </si>
  <si>
    <t>Elevation</t>
  </si>
  <si>
    <t>GCFs1</t>
  </si>
  <si>
    <t>GCF1</t>
  </si>
  <si>
    <t>Sampling_year</t>
  </si>
  <si>
    <t>Sampling_month</t>
  </si>
  <si>
    <t>Season</t>
  </si>
  <si>
    <t>Depth</t>
  </si>
  <si>
    <t>Initial_pH</t>
  </si>
  <si>
    <t>Initial_SOC</t>
  </si>
  <si>
    <t>Initial_TN</t>
  </si>
  <si>
    <t>Initial_SOC_N</t>
  </si>
  <si>
    <t>clay</t>
  </si>
  <si>
    <t>silt</t>
  </si>
  <si>
    <t>sand</t>
  </si>
  <si>
    <t>Duration</t>
  </si>
  <si>
    <t>Duration1</t>
  </si>
  <si>
    <t>experientment_type(field/lab)</t>
  </si>
  <si>
    <t>control_n</t>
  </si>
  <si>
    <t>treatment_n</t>
  </si>
  <si>
    <t>T-GRSP_yi</t>
  </si>
  <si>
    <t>T-GRSP_vi</t>
  </si>
  <si>
    <t>EE-GRSP_yi</t>
  </si>
  <si>
    <t>EE-GRSP_vi</t>
  </si>
  <si>
    <t>EE-GRSP_T-GRSP_yi</t>
  </si>
  <si>
    <t>EE-GRSP_T-GRSP_vi</t>
  </si>
  <si>
    <t>SOC_yi</t>
  </si>
  <si>
    <t>SOC_vi</t>
  </si>
  <si>
    <t>GRSP_SOC_yi</t>
  </si>
  <si>
    <t>GRSP_SOC_vi</t>
  </si>
  <si>
    <t>BRSP_SOC_yi</t>
  </si>
  <si>
    <t>BRSP_SOC_vi</t>
  </si>
  <si>
    <t>pH_yi</t>
  </si>
  <si>
    <t>pH_vi</t>
  </si>
  <si>
    <t>TN_yi</t>
  </si>
  <si>
    <t>TN_vi</t>
  </si>
  <si>
    <t>TP_yi</t>
  </si>
  <si>
    <t>TP_vi</t>
  </si>
  <si>
    <t>DOC_yi</t>
  </si>
  <si>
    <t>DOC_vi</t>
  </si>
  <si>
    <t>MBC_yi</t>
  </si>
  <si>
    <t>MBC_vi</t>
  </si>
  <si>
    <t>C:N_yi</t>
  </si>
  <si>
    <t>C:N_vi</t>
  </si>
  <si>
    <t>MWD_yi</t>
  </si>
  <si>
    <t>MWD_vi</t>
  </si>
  <si>
    <t>aggregate_stability_yi</t>
  </si>
  <si>
    <t>aggregate_stability_vi</t>
  </si>
  <si>
    <t>WSA_yi</t>
  </si>
  <si>
    <t>WSA_vi</t>
  </si>
  <si>
    <t>Soil_NH4_yi</t>
  </si>
  <si>
    <t>Soil_NH4_vi</t>
  </si>
  <si>
    <t>Soil_NO3_yi</t>
  </si>
  <si>
    <t>Soil_NO3_vi</t>
  </si>
  <si>
    <t>Soil_BD_yi</t>
  </si>
  <si>
    <t>Soil_BD_vi</t>
  </si>
  <si>
    <t>Root biomass_yi</t>
  </si>
  <si>
    <t>Root biomass_vi</t>
  </si>
  <si>
    <t>AMF richness_yi</t>
  </si>
  <si>
    <t>AMF richness_vi</t>
  </si>
  <si>
    <t>AMF colonization_yi</t>
  </si>
  <si>
    <t>AMF colonization_vi</t>
  </si>
  <si>
    <t>AMF spore density_yi</t>
  </si>
  <si>
    <t>AMF spore density_vi</t>
  </si>
  <si>
    <t>Number of AMF spore_yi</t>
  </si>
  <si>
    <t>Number of AMF spore_vi</t>
  </si>
  <si>
    <t>The length of AMF mycelium_yi</t>
  </si>
  <si>
    <t>The length of AMF mycelium_vi</t>
  </si>
  <si>
    <t>Global Change Biology | Environmental Change Jourl | Wiley Online Library</t>
  </si>
  <si>
    <t>Rillig, M. C., Wright, S. F., Kimball, B. A., Pinter, P. J., Wall, G. W., Ottman, M. J., &amp; Leavitt, S. W. (2001). Elevated carbon dioxide and irrigation effects on water stable aggregates in a Sorghum field: a possible role for arbuscular mycorrhizal fungi. Global Change Biology, 7(3), 333-337.</t>
  </si>
  <si>
    <r>
      <t>eCO</t>
    </r>
    <r>
      <rPr>
        <b/>
        <vertAlign val="subscript"/>
        <sz val="10"/>
        <rFont val="Arial"/>
        <charset val="134"/>
      </rPr>
      <t>2</t>
    </r>
  </si>
  <si>
    <t>climate change</t>
  </si>
  <si>
    <t>Winter</t>
  </si>
  <si>
    <t>Surface</t>
  </si>
  <si>
    <t>A≤5</t>
  </si>
  <si>
    <t>field</t>
  </si>
  <si>
    <t>Drought</t>
  </si>
  <si>
    <t>Artificial climate warming positively affects arbuscular mycorrhizae but decreases soil aggregate water stability in an annual grassland - Rillig - 2002 - Oikos - Wiley Online Library</t>
  </si>
  <si>
    <t>Rillig, M. C., Wright, S. F., Shaw, M. R., &amp; Field, C. B. (2002). Artificial climate warming positively affects arbuscular mycorrhizae but decreases soil aggregate water stability in an annual grassland. Oikos, 97(1), 52-58.</t>
  </si>
  <si>
    <t>Warming</t>
  </si>
  <si>
    <t>Spring</t>
  </si>
  <si>
    <t>Effect of Long-Term Rice Straw Return on Soil Glomalin, Carbon and Nitrogen - ScienceDirect</t>
  </si>
  <si>
    <t>Nie, J., Zhou, J. M., Wang, H. Y., Chen, X. Q., &amp; Du, C. W. (2007). Effect of long-term rice straw return on soil glomalin, carbon and nitrogen. Pedosphere, 17(3), 295-302.</t>
  </si>
  <si>
    <t>NPK add</t>
  </si>
  <si>
    <t>B5&lt;x&lt;30</t>
  </si>
  <si>
    <t>Effects of long-term fertilization on AM fungal community structure and Glomalin-related soil protein in the Loess Plateau of Chi | Plant and Soil (springer.com)</t>
  </si>
  <si>
    <t>Wu, F., Dong, M., Liu, Y., Ma, X., An, L., Young, J. P. W., &amp; Feng, H. (2011). Effects of long-term fertilization on AM fungal community structure and Glomalin-related soil protein in the Loess Plateau of Chi. Plant and soil, 342(1), 233-247.</t>
  </si>
  <si>
    <t>N add</t>
  </si>
  <si>
    <t>N+P add</t>
  </si>
  <si>
    <t>Summer</t>
  </si>
  <si>
    <t>Rise in carbon dioxide changes soil structure | ture</t>
  </si>
  <si>
    <t>Rillig M C, Wright S F, Allen M F, et al. Rise in carbon dioxide changes soil structure[J]. ture, 1999, 400(6745): 628-628.</t>
  </si>
  <si>
    <t>Sci-Hub | Effect of organic fertilisers on glomalin content and soil organic matter quality | 10.17221/385/2020-pse</t>
  </si>
  <si>
    <t>Balík, J., Sedlář, O., Kulhánek, M., Černý, J., Smatanová, M., &amp; Suran, P. (2020). Effect of organic fertilisers on glomalin content and soil organic matter quality. Plant, Soil and Environment, 66(11), 590-597.</t>
  </si>
  <si>
    <t>Soil mycorrhizal and nematode diversity vary in response to bioenergy crop identity and fertilization - Emery - 2017 - GCB Bioenergy - Wiley Online Library</t>
  </si>
  <si>
    <r>
      <t>Emery, S. M., Reid, M. L., Bell</t>
    </r>
    <r>
      <rPr>
        <b/>
        <sz val="10"/>
        <rFont val="等线"/>
        <charset val="134"/>
      </rPr>
      <t>‐</t>
    </r>
    <r>
      <rPr>
        <b/>
        <sz val="10"/>
        <rFont val="Arial"/>
        <charset val="134"/>
      </rPr>
      <t>Dereske, L., &amp; Gross, K. L. (2017). Soil mycorrhizal and nematode diversity vary in response to bioenergy crop identity and fertilization. Gcb Bioenergy, 9(11), 1644-1656.</t>
    </r>
  </si>
  <si>
    <t>Soil mycorrhizal and nematode diversity vary in response to bioenergy crop identity and fertilization - Emery - 2018 - GCB Bioenergy - Wiley Online Library</t>
  </si>
  <si>
    <t>Soil mycorrhizal and nematode diversity vary in response to bioenergy crop identity and fertilization - Emery - 2019 - GCB Bioenergy - Wiley Online Library</t>
  </si>
  <si>
    <t>Soil mycorrhizal and nematode diversity vary in response to bioenergy crop identity and fertilization - Emery - 2020 - GCB Bioenergy - Wiley Online Library</t>
  </si>
  <si>
    <t>Nitrogen addition increases the contents of glomalin-related soil protein and soil organic carbon but retains aggregate stability in a Pinus tabulaeformis forest [PeerJ]</t>
  </si>
  <si>
    <t>Sun, L., Jing, H., Wang, G., &amp; Liu, G. (2018). Nitrogen addition increases the contents of glomalin-related soil protein and soil organic carbon but retains aggregate stability in a Pinus tabulaeformis forest. PeerJ, 6, e5039.</t>
  </si>
  <si>
    <t>TAutumn</t>
  </si>
  <si>
    <t>Soil biochemical parameters in the rhizosphere contribute more to changes in soil respiration and its components than those in the bulk soil under nitrogen application in croplands | Plant and Soil (springer.com)</t>
  </si>
  <si>
    <t>Liang, G., Cai, A., Wu, H., Wu, X., Houssou, A. A., Ren, C., ... &amp; Cai, D. (2019). Soil biochemical parameters in the rhizosphere contribute more to changes in soil respiration and its components than those in the bulk soil under nitrogen application in croplands. Plant and Soil, 435(1), 111-125.</t>
  </si>
  <si>
    <t>Responses of Bradford-reactive soil protein to experimental nitrogen addition in three forest communities in northern lower Michigan | Plant and Soil (springer.com)</t>
  </si>
  <si>
    <t>Antibus R K, Lauber C, Sinsabaugh R L, et al. Responses of Bradford-reactive soil protein to experimental nitrogen addition in three forest communities in northern lower Michigan[J]. Plant and soil, 2006, 288: 173-188.</t>
  </si>
  <si>
    <t xml:space="preserve">Spring </t>
  </si>
  <si>
    <t>(PDF) Elevated CO 2 affects the content of glomalin related soil protein in xeric temperate loess and temperate semi-desert sand grasslands (researchgate.net)</t>
  </si>
  <si>
    <t>Vodnik D, Maček I, Péli E, et al. Elevated CO 2 affects the content of glomalin related soil protein in xeric temperate loess and temperate semi-desert sand grasslands[J]. Community Ecology, 2008, 9(Supplement-1): 161-167.</t>
  </si>
  <si>
    <t>(PDF) Elevated CO 3 affects the content of glomalin related soil protein in xeric temperate loess and temperate semi-desert sand grasslands (researchgate.net)</t>
  </si>
  <si>
    <t>(PDF) Elevated CO 4 affects the content of glomalin related soil protein in xeric temperate loess and temperate semi-desert sand grasslands (researchgate.net)</t>
  </si>
  <si>
    <t>(PDF) Elevated CO 5 affects the content of glomalin related soil protein in xeric temperate loess and temperate semi-desert sand grasslands (researchgate.net)</t>
  </si>
  <si>
    <r>
      <t>Fractiotion and Long</t>
    </r>
    <r>
      <rPr>
        <b/>
        <sz val="10"/>
        <rFont val="等线"/>
        <charset val="134"/>
      </rPr>
      <t>‐</t>
    </r>
    <r>
      <rPr>
        <b/>
        <sz val="10"/>
        <rFont val="Arial"/>
        <charset val="134"/>
      </rPr>
      <t>Term Laboratory Incubation to Measure Soil Organic Matter Dymics - Haile-Mariam - 2008 - Soil Science Society of America Jourl - Wiley Online Library</t>
    </r>
  </si>
  <si>
    <r>
      <t>Haile-Mariam S, Collins H P, Wright S, et al. Fractiotion and long</t>
    </r>
    <r>
      <rPr>
        <b/>
        <sz val="10"/>
        <rFont val="等线"/>
        <charset val="134"/>
      </rPr>
      <t>‐</t>
    </r>
    <r>
      <rPr>
        <b/>
        <sz val="10"/>
        <rFont val="Arial"/>
        <charset val="134"/>
      </rPr>
      <t>term laboratory incubation to measure soil organic matter dymics[J]. Soil Science Society of America Jourl, 2008, 72(2): 370-380.</t>
    </r>
  </si>
  <si>
    <t>Phosphorus fertilisation magement modifies the biodiversity of AM fungi in a tropical savan forage system - ScienceDirect</t>
  </si>
  <si>
    <t>del Mar Alguacil M, Lozano Z, Campoy M J, et al. Phosphorus fertilisation magement modifies the biodiversity of AM fungi in a tropical savan forage system[J]. Soil Biology and Biochemistry, 2010, 42(7): 1114-1122.</t>
  </si>
  <si>
    <t>P add</t>
  </si>
  <si>
    <t>https://www.jeesci.com/CN/10.16258/j.cnki.1674-5906.2019.03.003</t>
  </si>
  <si>
    <t>10.16258/j.cnki.1674-5906.2019.03.003</t>
  </si>
  <si>
    <t>https://www.jeesci.com/CN/10.16258/j.cnki.1674-5906.2019.03.004</t>
  </si>
  <si>
    <t>https://www.jeesci.com/CN/10.16258/j.cnki.1674-5906.2019.03.005</t>
  </si>
  <si>
    <t>https://www.jeesci.com/CN/10.16258/j.cnki.1674-5906.2019.03.006</t>
  </si>
  <si>
    <t>https://www.jeesci.com/CN/10.16258/j.cnki.1674-5906.2019.03.007</t>
  </si>
  <si>
    <t>https://www.jeesci.com/CN/10.16258/j.cnki.1674-5906.2019.03.008</t>
  </si>
  <si>
    <t>https://www.jeesci.com/CN/10.16258/j.cnki.1674-5906.2019.03.009</t>
  </si>
  <si>
    <t>https://www.jeesci.com/CN/10.16258/j.cnki.1674-5906.2019.03.010</t>
  </si>
  <si>
    <t>https://www.jeesci.com/CN/10.16258/j.cnki.1674-5906.2019.03.011</t>
  </si>
  <si>
    <t>PDF</t>
  </si>
  <si>
    <t>Banegas N, Dos Santos D A, Guerrero Moli F, et al. Glomalin contribution to soil organic carbon under different pasture magements in a saline soil environment[J]. Archives of Agronomy and Soil Science, 2022, 68(3): 340-354.</t>
  </si>
  <si>
    <t>Deep</t>
  </si>
  <si>
    <t>A controlled-release fertilizer improved soil fertility but not olive tree performance | Nutrient Cycling in Agroecosystems (springer.com)</t>
  </si>
  <si>
    <t>Silva E, Arrobas M, Goncalves A, et al. A controlled-release fertilizer improved soil fertility but not olive tree performance[J]. Nutrient Cycling in Agroecosystems, 2021, 120(1): 1-15.</t>
  </si>
  <si>
    <t>60 years of fertilization and liming impacts on soil organic carbon stabilization in a sub-tropical Alfisol | Environmental Science and Pollution Research (springer.com)</t>
  </si>
  <si>
    <t>Trivedi, A., Bhattacharyya, R., Ghosh, A., Saha, N. D., Biswas, D. R., Mahapatra, P., ... &amp; Sharma, C. (2021). 60 years of fertilization and liming impacts on soil organic carbon stabilization in a sub-tropical Alfisol. Environmental Science and Pollution Research, 28, 45946-45961.</t>
  </si>
  <si>
    <t>C&gt;30</t>
  </si>
  <si>
    <t>61 years of fertilization and liming impacts on soil organic carbon stabilization in a sub-tropical Alfisol | Environmental Science and Pollution Research (springer.com)</t>
  </si>
  <si>
    <t>62 years of fertilization and liming impacts on soil organic carbon stabilization in a sub-tropical Alfisol | Environmental Science and Pollution Research (springer.com)</t>
  </si>
  <si>
    <t>63 years of fertilization and liming impacts on soil organic carbon stabilization in a sub-tropical Alfisol | Environmental Science and Pollution Research (springer.com)</t>
  </si>
  <si>
    <t>Responses of soil microbial community composition and enzyme activities to long-term organic amendments in a continuous tobacco cropping system - ScienceDirect</t>
  </si>
  <si>
    <t>Wang, C., Ning, P., Li, J., Wei, X., Ge, T., Cui, Y., ... &amp; Shen, W. (2022). Responses of soil microbial community composition and enzyme activities to long-term organic amendments in a continuous tobacco cropping system. Applied Soil Ecology, 169, 104210.</t>
  </si>
  <si>
    <t>Decreased glomalin-related soil protein with nitrogen deposition in a 3-year-old Cunninghamia lanceolata plantation | Jourl of Soils and Sediments (springer.com)</t>
  </si>
  <si>
    <t>Jia, S., Liu, X., Lin, W., Zheng, Y., Li, J., Hui, D., &amp; Guo, J. (2022). Decreased glomalin-related soil protein with nitrogen deposition in a 3-year-old Cunninghamia lanceolata plantation. Jourl of Soils and Sediments, 1-11.</t>
  </si>
  <si>
    <t>Decreased glomalin-related soil protein with nitrogen deposition in a 4-year-old Cunninghamia lanceolata plantation | Jourl of Soils and Sediments (springer.com)</t>
  </si>
  <si>
    <t>Decreased glomalin-related soil protein with nitrogen deposition in a 9-year-old Cunninghamia lanceolata plantation | Jourl of Soils and Sediments (springer.com)</t>
  </si>
  <si>
    <t>Decreased glomalin-related soil protein with nitrogen deposition in a 10-year-old Cunninghamia lanceolata plantation | Jourl of Soils and Sediments (springer.com)</t>
  </si>
  <si>
    <t>Agronomy | Free Full-Text | Effect of 50 Years of No-Tillage, Stubble Retention, and Nitrogen Fertilization on Soil Respiration, Easily Extractable Glomalin, and Nitrogen Mineralization (mdpi.com)</t>
  </si>
  <si>
    <t>Jha, P., Hati, K. M., Dalal, R. C., Dang, Y. P., Kopittke, P. M., McKen, B. A., &amp; Menzies, N. W. (2022). Effect of 50 years of No-tillage, stubble retention, and nitrogen fertilization on soil respiration, easily extractable glomalin, and nitrogen mineralization. Agronomy, 12(1), 151.</t>
  </si>
  <si>
    <t>Effects of long-term nitrogen addition and precipitation reduction on glomalin-related soil protein and soil aggregate stability in a temperate forest - ScienceDirect</t>
  </si>
  <si>
    <t>Huang, B., Yan, G., Liu, G., Sun, X., Wang, X., Xing, Y., &amp; Wang, Q. (2022). Effects of long-term nitrogen addition and precipitation reduction on glomalin-related soil protein and soil aggregate stability in a temperate forest. Cate, 214, 106284.</t>
  </si>
  <si>
    <t>Agronomy | Free Full-Text | The Influence of Organic and Mineral Fertilizers on the Quality of Soil Organic Matter and Glomalin Content (mdpi.com)</t>
  </si>
  <si>
    <t>Balík, J., Kulhánek, M., Černý, J., Sedlář, O., Suran, P., &amp; Asrade, D. A. (2022). The influence of organic and mineral fertilizers on the quality of soil organic matter and glomalin content. Agronomy, 12(6), 1375.</t>
  </si>
  <si>
    <t>Frontiers | Fallow Land Enhances Carbon Sequestration in Glomalin and Soil Aggregates Through Regulating Diversity and Network Complexity of Arbuscular Mycorrhizal Fungi Under Climate Change in Relatively High-Latitude Regions (frontiersin.org)</t>
  </si>
  <si>
    <t>Yang Y, Luo W, Xu J, et al. Fallow land enhances carbon sequestration in glomalin and soil aggregates through regulating diversity and network complexity of arbuscular mycorrhizal fungi under climate change in relatively high-latitude regions[J]. Frontiers in Microbiology, 2022, 13: 930622.</t>
  </si>
  <si>
    <t>Does pyrolysis temperature determine soil phosphorus bioavailability and uptake on peri-urban cropland amended with poultry litter biochar? | Biomass Conversion and Biorefinery (springer.com)</t>
  </si>
  <si>
    <t>Oladele, S. O., Ojo, J., Curaqueo, G., &amp; Ajayi, A. E. (2022). Does pyrolysis temperature determine soil phosphorus bioavailability and uptake on peri-urban cropland amended with poultry litter biochar?. Biomass Conversion and Biorefinery, 1-14.</t>
  </si>
  <si>
    <t>The impact of the long-term application of mineral nitrogen and sewage sludge fertilizers on the quality of soil organic matter | Chemical and Biological Technologies in Agriculture | Full Text (springeropen.com)</t>
  </si>
  <si>
    <t>Balík, J., Kulhánek, M., Černý, J., Sedlář, O., Suran, P., Procházková, S., &amp; Asrade, D. A. (2022). The impact of the long-term application of mineral nitrogen and sewage sludge fertilizers on the quality of soil organic matter. Chemical and Biological Technologies in Agriculture, 9(1), 1-11.</t>
  </si>
  <si>
    <t>Nitrogen deposition enhances soil organic carbon and microbial residual carbon in a tropical forest | Plant and Soil (springer.com)</t>
  </si>
  <si>
    <t>Zhang, J., Zhou, J., Sayer, E. J., Lambers, H., Liu, Z., Lu, X., ... &amp; Wang, F. (2023). Nitrogen deposition enhances soil organic carbon and microbial residual carbon in a tropical forest. Plant and Soil, 484(1-2), 217-235.</t>
  </si>
  <si>
    <t>Zhang, J., Zhou, J., Sayer, E. J., Lambers, H., Liu, Z., Lu, X., ... &amp; Wang, F. (2023). Nitrogen deposition enhances soil organic carbon and microbial residual carbon in a tropical forest. Plant and Soil, 484(1-2), 217-236.</t>
  </si>
  <si>
    <t>Variations in soil aggregate stability and organic carbon stability of alpine meadow and shrubland under long-term warming - ScienceDirect</t>
  </si>
  <si>
    <t>Qiao, L., Zhou, H., Wang, Z., Li, Y., Chen, W., Wu, Y., ... &amp; Xue, S. (2023). Variations in soil aggregate stability and organic carbon stability of alpine meadow and shrubland under long-term warming. Cate, 222, 106848.</t>
  </si>
  <si>
    <t>Forests | Free Full-Text | Drought Changes the Trade-Off Strategy of Root and Arbuscular Mycorrhizal Fungi Growth in a Subtropical Chinese Fir Plantation (mdpi.com)</t>
  </si>
  <si>
    <t>Dong, J., Jiang, Y., Lyu, M., Cao, C., Li, X., Xiong, X., ... &amp; Xie, J. (2023). Drought changes the trade-off strategy of root and arbuscular mycorrhizal fungi growth in a subtropical Chinese fir plantation. Forests, 14(1), 114.</t>
  </si>
  <si>
    <r>
      <t>Elevated CO2 alters aggregate</t>
    </r>
    <r>
      <rPr>
        <b/>
        <sz val="10"/>
        <rFont val="Times New Roman"/>
        <charset val="134"/>
      </rPr>
      <t>‑</t>
    </r>
    <r>
      <rPr>
        <b/>
        <sz val="10"/>
        <rFont val="Arial"/>
        <charset val="134"/>
      </rPr>
      <t>carbon and microbial community but does not affect total soil organic C in the semi-arid tropics - ScienceDirect</t>
    </r>
  </si>
  <si>
    <r>
      <t>Bhattacharyya, R., Bhatia, A., Chakrabarti, B., Saha, N. D., Pramanik, P., Ghosh, A., ... &amp; Singh, S. D. (2023). Elevated CO2 alters aggregate</t>
    </r>
    <r>
      <rPr>
        <b/>
        <sz val="10"/>
        <rFont val="Times New Roman"/>
        <charset val="134"/>
      </rPr>
      <t>‑</t>
    </r>
    <r>
      <rPr>
        <b/>
        <sz val="10"/>
        <rFont val="Arial"/>
        <charset val="134"/>
      </rPr>
      <t>carbon and microbial community but does not affect total soil organic C in the semi-arid tropics. Applied Soil Ecology, 187, 104844.</t>
    </r>
  </si>
  <si>
    <r>
      <t>Elevated CO3 alters aggregate</t>
    </r>
    <r>
      <rPr>
        <b/>
        <sz val="10"/>
        <rFont val="Times New Roman"/>
        <charset val="134"/>
      </rPr>
      <t>‑</t>
    </r>
    <r>
      <rPr>
        <b/>
        <sz val="10"/>
        <rFont val="Arial"/>
        <charset val="134"/>
      </rPr>
      <t>carbon and microbial community but does not affect total soil organic C in the semi-arid tropics - ScienceDirect</t>
    </r>
  </si>
  <si>
    <r>
      <t>Bhattacharyya, R., Bhatia, A., Chakrabarti, B., Saha, N. D., Pramanik, P., Ghosh, A., ... &amp; Singh, S. D. (2023). Elevated CO2 alters aggregate</t>
    </r>
    <r>
      <rPr>
        <b/>
        <sz val="10"/>
        <rFont val="Times New Roman"/>
        <charset val="128"/>
      </rPr>
      <t>‑</t>
    </r>
    <r>
      <rPr>
        <b/>
        <sz val="10"/>
        <rFont val="Arial"/>
        <charset val="134"/>
      </rPr>
      <t>carbon and microbial community but does not affect total soil organic C in the semi-arid tropics. Applied Soil Ecology, 187, 104844.</t>
    </r>
  </si>
  <si>
    <r>
      <t>Elevated CO4 alters aggregate</t>
    </r>
    <r>
      <rPr>
        <b/>
        <sz val="10"/>
        <rFont val="Times New Roman"/>
        <charset val="134"/>
      </rPr>
      <t>‑</t>
    </r>
    <r>
      <rPr>
        <b/>
        <sz val="10"/>
        <rFont val="Arial"/>
        <charset val="134"/>
      </rPr>
      <t>carbon and microbial community but does not affect total soil organic C in the semi-arid tropics - ScienceDirect</t>
    </r>
  </si>
  <si>
    <r>
      <t>Elevated CO5 alters aggregate</t>
    </r>
    <r>
      <rPr>
        <b/>
        <sz val="10"/>
        <rFont val="Times New Roman"/>
        <charset val="134"/>
      </rPr>
      <t>‑</t>
    </r>
    <r>
      <rPr>
        <b/>
        <sz val="10"/>
        <rFont val="Arial"/>
        <charset val="134"/>
      </rPr>
      <t>carbon and microbial community but does not affect total soil organic C in the semi-arid tropics - ScienceDirect</t>
    </r>
  </si>
  <si>
    <r>
      <t>Elevated CO6 alters aggregate</t>
    </r>
    <r>
      <rPr>
        <b/>
        <sz val="10"/>
        <rFont val="Times New Roman"/>
        <charset val="134"/>
      </rPr>
      <t>‑</t>
    </r>
    <r>
      <rPr>
        <b/>
        <sz val="10"/>
        <rFont val="Arial"/>
        <charset val="134"/>
      </rPr>
      <t>carbon and microbial community but does not affect total soil organic C in the semi-arid tropics - ScienceDirect</t>
    </r>
  </si>
  <si>
    <r>
      <t>Elevated CO7 alters aggregate</t>
    </r>
    <r>
      <rPr>
        <b/>
        <sz val="10"/>
        <rFont val="Times New Roman"/>
        <charset val="134"/>
      </rPr>
      <t>‑</t>
    </r>
    <r>
      <rPr>
        <b/>
        <sz val="10"/>
        <rFont val="Arial"/>
        <charset val="134"/>
      </rPr>
      <t>carbon and microbial community but does not affect total soil organic C in the semi-arid tropics - ScienceDirect</t>
    </r>
  </si>
  <si>
    <t>pdf</t>
  </si>
  <si>
    <t>Pérez G L, Sotelo C E, Sirio A A, et al. Análisis comparativo de suelos cultivados y de monte de la provincia del Chaco, Argenti[J]. Revista agronómica del noroeste argentino, 2020, 40(2): 92-106.</t>
  </si>
  <si>
    <t>F-Farm</t>
  </si>
  <si>
    <t>LUCC</t>
  </si>
  <si>
    <t>Alteration in the amount of Glomalin in transition from forest to field/meadow - Valerie - 2022 - Soil Use and Magement - Wiley Online Library</t>
  </si>
  <si>
    <t>Valerie, V., &amp; Ladislav, H. (2022). Alteration in the amount of Glomalin in transition from forest to field/meadow. Soil Use and Magement, 38(1), 907-916.</t>
  </si>
  <si>
    <t>F-Gra</t>
  </si>
  <si>
    <t>SciELO - Brazil - Soil attributes as indicators of the stabilization process of erosion in gullies at different formation stages in the southeast region of Brazil Soil attributes as indicators of the stabilization process of erosion in gullies at different formation stages in the southeast region of Brazil</t>
  </si>
  <si>
    <t>Silva, C. F. D., Pereira, M. G., Rodrigues, L. A. D. S., Teodoro, S. A., Fontes, M. A., Gaia-Gomes, J. H., &amp; Silva, E. M. R. D. (2021). Soil attributes as indicators of the stabilization process of erosion in gullies at different formation stages in the southeast region of Brazil. Revista Ambiente &amp; Água, 16.</t>
  </si>
  <si>
    <t>F-SF</t>
  </si>
  <si>
    <t>Long-term effects of organic manure and inorganic fertilization on biological soil quality indicators of soybean-wheat rotation in the Indian mid-Himalaya - ScienceDirect</t>
  </si>
  <si>
    <t>Choudhary M, Mee V S, Panday S C, et al. Long-term effects of organic manure and inorganic fertilization on biological soil quality indicators of soybean-wheat rotation in the Indian mid-Himalaya[J]. Applied Soil Ecology, 2021, 157: 103754.</t>
  </si>
  <si>
    <t>Service crops improve a degraded monoculture system by changing common bean rhizospheric soil microbiota and reducing soil-borne fungal diseases | FEMS Microbiology Ecology | Oxford Academic (oup.com)</t>
  </si>
  <si>
    <t>Abán C L, Verdenelli R, Gil S V, et al. Service crops improve a degraded monoculture system by changing common bean rhizospheric soil microbiota and reducing soil-borne fungal diseases[J]. FEMS Microbiology Ecology, 2021, 97(2): fiaa259.</t>
  </si>
  <si>
    <t>Gra-Farm</t>
  </si>
  <si>
    <t>Abán C L, Verdenelli R, Gil S V, et al. Service crops improve a degraded monoculture system by changing common bean rhizospheric soil microbiota and reducing soil-borne fungal diseases[J]. FEMS Microbiology Ecology, 2021, 97(2): fiaa260.</t>
  </si>
  <si>
    <t>Abán C L, Verdenelli R, Gil S V, et al. Service crops improve a degraded monoculture system by changing common bean rhizospheric soil microbiota and reducing soil-borne fungal diseases[J]. FEMS Microbiology Ecology, 2021, 97(2): fiaa261.</t>
  </si>
  <si>
    <t>Ziogas M, Ipsilantis I, Matsi T, et al. Long-term fertilization with liquid cattle manure leaves legacy nutrients, but not organic carbon and has no effect on soil microbial and physical properties a year after last application[J]. Communications in Soil Science and Plant Alysis, 2021, 52(11): 1264-1274.</t>
  </si>
  <si>
    <t>tive arbuscular mycorrhizal fungi respond to rehabilitation in iron ore mining areas from the Eastern Brazilian Amazon - ScienceDirect</t>
  </si>
  <si>
    <t>Rodríguez-Rodríguez, R. M., Kemmelmeier, K., de Fátima Pedroso, D., Pinto, F. A., dos Santos, J. V., Gastauer, M., ... &amp; Carneiro, M. A. C. (2021). tive arbuscular mycorrhizal fungi respond to rehabilitation in iron ore mining areas from the Eastern Brazilian Amazon. Pedobiologia, 89, 150768.</t>
  </si>
  <si>
    <t>F-bare</t>
  </si>
  <si>
    <t>Rodríguez-Rodríguez, R. M., Kemmelmeier, K., de Fátima Pedroso, D., Pinto, F. A., dos Santos, J. V., Gastauer, M., ... &amp; Carneiro, M. A. C. (2021). tive arbuscular mycorrhizal fungi respond to rehabilitation in iron ore mining areas from the Eastern Brazilian Amazon. Pedobiologia, 89, 150769.</t>
  </si>
  <si>
    <t>Rodríguez-Rodríguez, R. M., Kemmelmeier, K., de Fátima Pedroso, D., Pinto, F. A., dos Santos, J. V., Gastauer, M., ... &amp; Carneiro, M. A. C. (2021). tive arbuscular mycorrhizal fungi respond to rehabilitation in iron ore mining areas from the Eastern Brazilian Amazon. Pedobiologia, 89, 150770.</t>
  </si>
  <si>
    <t>Rodríguez-Rodríguez, R. M., Kemmelmeier, K., de Fátima Pedroso, D., Pinto, F. A., dos Santos, J. V., Gastauer, M., ... &amp; Carneiro, M. A. C. (2021). tive arbuscular mycorrhizal fungi respond to rehabilitation in iron ore mining areas from the Eastern Brazilian Amazon. Pedobiologia, 89, 150771.</t>
  </si>
  <si>
    <t>Rodríguez-Rodríguez, R. M., Kemmelmeier, K., de Fátima Pedroso, D., Pinto, F. A., dos Santos, J. V., Gastauer, M., ... &amp; Carneiro, M. A. C. (2021). tive arbuscular mycorrhizal fungi respond to rehabilitation in iron ore mining areas from the Eastern Brazilian Amazon. Pedobiologia, 89, 150772.</t>
  </si>
  <si>
    <t>Rodríguez-Rodríguez, R. M., Kemmelmeier, K., de Fátima Pedroso, D., Pinto, F. A., dos Santos, J. V., Gastauer, M., ... &amp; Carneiro, M. A. C. (2021). tive arbuscular mycorrhizal fungi respond to rehabilitation in iron ore mining areas from the Eastern Brazilian Amazon. Pedobiologia, 89, 150773.</t>
  </si>
  <si>
    <t>Rodríguez-Rodríguez, R. M., Kemmelmeier, K., de Fátima Pedroso, D., Pinto, F. A., dos Santos, J. V., Gastauer, M., ... &amp; Carneiro, M. A. C. (2021). tive arbuscular mycorrhizal fungi respond to rehabilitation in iron ore mining areas from the Eastern Brazilian Amazon. Pedobiologia, 89, 150774.</t>
  </si>
  <si>
    <t>Rodríguez-Rodríguez, R. M., Kemmelmeier, K., de Fátima Pedroso, D., Pinto, F. A., dos Santos, J. V., Gastauer, M., ... &amp; Carneiro, M. A. C. (2021). tive arbuscular mycorrhizal fungi respond to rehabilitation in iron ore mining areas from the Eastern Brazilian Amazon. Pedobiologia, 89, 150775.</t>
  </si>
  <si>
    <t>Rodríguez-Rodríguez, R. M., Kemmelmeier, K., de Fátima Pedroso, D., Pinto, F. A., dos Santos, J. V., Gastauer, M., ... &amp; Carneiro, M. A. C. (2021). tive arbuscular mycorrhizal fungi respond to rehabilitation in iron ore mining areas from the Eastern Brazilian Amazon. Pedobiologia, 89, 150776.</t>
  </si>
  <si>
    <t>Rodríguez-Rodríguez, R. M., Kemmelmeier, K., de Fátima Pedroso, D., Pinto, F. A., dos Santos, J. V., Gastauer, M., ... &amp; Carneiro, M. A. C. (2021). tive arbuscular mycorrhizal fungi respond to rehabilitation in iron ore mining areas from the Eastern Brazilian Amazon. Pedobiologia, 89, 150777.</t>
  </si>
  <si>
    <t>Rodríguez-Rodríguez, R. M., Kemmelmeier, K., de Fátima Pedroso, D., Pinto, F. A., dos Santos, J. V., Gastauer, M., ... &amp; Carneiro, M. A. C. (2021). tive arbuscular mycorrhizal fungi respond to rehabilitation in iron ore mining areas from the Eastern Brazilian Amazon. Pedobiologia, 89, 150778.</t>
  </si>
  <si>
    <t>Agriculture | Free Full-Text | Comparative Alysis of Arbuscular Mycorrhizal Fungal Communities between Farmland and Woodland in the Black Soil Region of Northeast Chi (mdpi.com)</t>
  </si>
  <si>
    <t>Yang, W., Zhang, M., Song, F., Liu, S., Li, X., &amp; Zhu, X. (2021). Comparative alysis of arbuscular mycorrhizal fungal communities between farmland and woodland in the black soil region of Northeast Chi. Agriculture, 11(9), 866.</t>
  </si>
  <si>
    <t>Contrasting effects of long term phosphorus fertilization on glomalin-related soil protein (GRSP) - ScienceDirect</t>
  </si>
  <si>
    <t>Cissé, G., Essi, M., Kedi, B., Mollier, A., &amp; Staunton, S. (2021). Contrasting effects of long term phosphorus fertilization on glomalin-related soil protein (GRSP). European Jourl of Soil Biology, 107, 103363.</t>
  </si>
  <si>
    <t>Cissé, G., Essi, M., Kedi, B., Mollier, A., &amp; Staunton, S. (2021). Contrasting effects of long term phosphorus fertilization on glomalin-related soil protein (GRSP). European Jourl of Soil Biology, 107, 103364.</t>
  </si>
  <si>
    <t>Land Degradation &amp; Development | Environmental &amp; Soil Science Jourl | Wiley Online Jourl</t>
  </si>
  <si>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5281-5291.</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</si>
  <si>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5281-5291.</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</si>
  <si>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5281-5292.</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</si>
  <si>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5281-5292.</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</si>
  <si>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5281-5293.</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</si>
  <si>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5281-5293.</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</si>
  <si>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5281-5294.</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</si>
  <si>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5281-5294.</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</si>
  <si>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5281-5295.</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</si>
  <si>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5281-5295.</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</si>
  <si>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5281-5296.</t>
    </r>
  </si>
  <si>
    <r>
      <t>Singh, A. K., Jiang, X. J., Yang, B., Li, H., Liu, W., &amp; Singh, N. (2021). Effect of root</t>
    </r>
    <r>
      <rPr>
        <b/>
        <sz val="10"/>
        <rFont val="等线"/>
        <charset val="134"/>
      </rPr>
      <t>‐</t>
    </r>
    <r>
      <rPr>
        <b/>
        <sz val="10"/>
        <rFont val="Arial"/>
        <charset val="134"/>
      </rPr>
      <t>glomalin on soil carbon storage in trees' rhizosphere and interspace of a tropical dry forest. Land Degradation &amp; Development, 32(18), 5281-5296.</t>
    </r>
  </si>
  <si>
    <t>SciELO - Brazil - Stability, labile organic carbon, and glomalin of biogenic aggregates in sandy soils under magement systems in the subtropical region of Brazil Stability, labile organic carbon, and glomalin of biogenic aggregates in sandy soils under magement systems in the subtropical region of Brazil</t>
  </si>
  <si>
    <t>Pinto, L. A. D. S. R., Silva, C. F. D., Melo, T. R. D., Rosset, J. S., &amp; Pereira, M. G. (2022). Stability, labile organic carbon, and glomalin of biogenic aggregates in sandy soils under magement systems in the subtropical region of Brazil. Revista Brasileira de Ciência do Solo, 46.</t>
  </si>
  <si>
    <t>Pinto, L. A. D. S. R., Silva, C. F. D., Melo, T. R. D., Rosset, J. S., &amp; Pereira, M. G. (2022). Stability, labile organic carbon, and glomalin of biogenic aggregates in sandy soils under magement systems in the subtropical region of Brazil. Revista Brasileira de Ciência do Solo, 47.</t>
  </si>
  <si>
    <t>Pinto, L. A. D. S. R., Silva, C. F. D., Melo, T. R. D., Rosset, J. S., &amp; Pereira, M. G. (2022). Stability, labile organic carbon, and glomalin of biogenic aggregates in sandy soils under magement systems in the subtropical region of Brazil. Revista Brasileira de Ciência do Solo, 48.</t>
  </si>
  <si>
    <t>Pinto, L. A. D. S. R., Silva, C. F. D., Melo, T. R. D., Rosset, J. S., &amp; Pereira, M. G. (2022). Stability, labile organic carbon, and glomalin of biogenic aggregates in sandy soils under magement systems in the subtropical region of Brazil. Revista Brasileira de Ciência do Solo, 49.</t>
  </si>
  <si>
    <t>Pinto, L. A. D. S. R., Silva, C. F. D., Melo, T. R. D., Rosset, J. S., &amp; Pereira, M. G. (2022). Stability, labile organic carbon, and glomalin of biogenic aggregates in sandy soils under magement systems in the subtropical region of Brazil. Revista Brasileira de Ciência do Solo, 50.</t>
  </si>
  <si>
    <t>Pinto, L. A. D. S. R., Silva, C. F. D., Melo, T. R. D., Rosset, J. S., &amp; Pereira, M. G. (2022). Stability, labile organic carbon, and glomalin of biogenic aggregates in sandy soils under magement systems in the subtropical region of Brazil. Revista Brasileira de Ciência do Solo, 51.</t>
  </si>
  <si>
    <r>
      <t>Zhang J, Li J, Ma L, et al. Accumulation of glomalin</t>
    </r>
    <r>
      <rPr>
        <b/>
        <sz val="10"/>
        <rFont val="等线"/>
        <charset val="134"/>
      </rPr>
      <t>‐</t>
    </r>
    <r>
      <rPr>
        <b/>
        <sz val="10"/>
        <rFont val="Arial"/>
        <charset val="134"/>
      </rPr>
      <t>related soil protein benefits soil carbon sequestration: Tropical coastal forest restoration experiences[J]. Land Degradation &amp; Development, 2022, 33(10): 1541-1551.</t>
    </r>
  </si>
  <si>
    <t>Moura J B, Souza R F, Vieira-Júnior W G, et al. Effects of a megaAFire on the arbuscular mycorrhizal fungal community and parameters in the Brazilian Cerrado ecosystem[J]. Forest Systems, 2022, 31(1): e001-e001.</t>
  </si>
  <si>
    <t>Fire</t>
  </si>
  <si>
    <t>Moura J B, Souza R F, Vieira-Júnior W G, et al. Effects of a megaAFire on the arbuscular mycorrhizal fungal community and parameters in the Brazilian Cerrado ecosystem[J]. Forest Systems, 2022, 31(1): e001-e002.</t>
  </si>
  <si>
    <t>Moura J B, Souza R F, Vieira-Júnior W G, et al. Effects of a megaAFire on the arbuscular mycorrhizal fungal community and parameters in the Brazilian Cerrado ecosystem[J]. Forest Systems, 2022, 31(1): e001-e003.</t>
  </si>
  <si>
    <t>Moura J B, Souza R F, Vieira-Júnior W G, et al. Effects of a megaAFire on the arbuscular mycorrhizal fungal community and parameters in the Brazilian Cerrado ecosystem[J]. Forest Systems, 2022, 31(1): e001-e004.</t>
  </si>
  <si>
    <t>Short-term modifications of mycorrhizal fungi, glomalin and soil attributes in a tropical agroforestry - ScienceDirect</t>
  </si>
  <si>
    <t>Matos, P. S., da Silva, C. F., Pereira, M. G., da Silva, E. M. R., Tarré, R. M., Franco, A. L. C., &amp; Zonta, E. (2022). Short-term modifications of mycorrhizal fungi, glomalin and soil attributes in a tropical agroforestry. Acta Oecologica, 114, 103815.</t>
  </si>
  <si>
    <t>Carbon and nitrogen stocks and microbial indicators in tropical semiarid degraded Luvisols - ScienceDirect</t>
  </si>
  <si>
    <t>de Oliveira Santos T, Fracetto F J C, de Souza Júnior V S, et al. Carbon and nitrogen stocks and microbial indicators in tropical semiarid degraded Luvisols[J]. Cate, 2022, 210: 105885.</t>
  </si>
  <si>
    <t>de Oliveira Santos T, Fracetto F J C, de Souza Júnior V S, et al. Carbon and nitrogen stocks and microbial indicators in tropical semiarid degraded Luvisols[J]. Cate, 2022, 210: 105886.</t>
  </si>
  <si>
    <t>de Oliveira Santos T, Fracetto F J C, de Souza Júnior V S, et al. Carbon and nitrogen stocks and microbial indicators in tropical semiarid degraded Luvisols[J]. Cate, 2022, 210: 105887.</t>
  </si>
  <si>
    <t>de Oliveira Santos T, Fracetto F J C, de Souza Júnior V S, et al. Carbon and nitrogen stocks and microbial indicators in tropical semiarid degraded Luvisols[J]. Cate, 2022, 210: 105888.</t>
  </si>
  <si>
    <t>de Oliveira Santos T, Fracetto F J C, de Souza Júnior V S, et al. Carbon and nitrogen stocks and microbial indicators in tropical semiarid degraded Luvisols[J]. Cate, 2022, 210: 105889.</t>
  </si>
  <si>
    <t>de Oliveira Santos T, Fracetto F J C, de Souza Júnior V S, et al. Carbon and nitrogen stocks and microbial indicators in tropical semiarid degraded Luvisols[J]. Cate, 2022, 210: 105890.</t>
  </si>
  <si>
    <t>https://link.springer.com/article/10.1007/s11104-022-05389-2</t>
  </si>
  <si>
    <t>Zhou, J., Zhang, J., Lambers, H., Wu, J., Qin, G., Li, Y., ... &amp; Wang, F. (2022). Intensified rainfall in the wet season alters the microbial contribution to soil carbon storage. Plant and Soil, 476(1-2), 337-351.</t>
  </si>
  <si>
    <t>Forests | Free Full-Text | Distributions and Influencing Factors of Soil Organic Carbon Fractions under Different Vegetation Restoration Conditions in a Subtropical Mountainous Area, SW Chi (mdpi.com)</t>
  </si>
  <si>
    <t>Wu, X., Fu, D., Duan, C., Huang, G., &amp; Shang, H. (2022). Distributions and influencing factors of soil organic carbon fractions under different vegetation restoration conditions in a subtropical mountainous area, SW Chi. Forests, 13(4), 629.</t>
  </si>
  <si>
    <t>F-Shrub</t>
  </si>
  <si>
    <t>https://link.springer.com/article/10.1007/s10343-022-00651-0</t>
  </si>
  <si>
    <t>Akensous, F. Z., Anli, M., Boutasknit, A., Ben-Laouane, R., Ait-Rahou, Y., Ahmed, H. B., ... &amp; Meddich, A. (2022). Boosting date palm (Phoenix dactylifera L.) growth under drought stress: Effects of innovative biostimulants. Gesunde Pflanzen, 74(4), 961-982.</t>
  </si>
  <si>
    <t>Li, T., Yuan, Y., Mou, Z., Li, Y., Kuang, L., Zhang, J., ... &amp; Liu, Z. (2023). Faster accumulation and greater contribution of glomalin to the soil organic carbon pool than amino sugars do under tropical coastal forest restoration. Global Change Biology, 29(2), 533-546.</t>
  </si>
  <si>
    <t>Li, T., Yuan, Y., Mou, Z., Li, Y., Kuang, L., Zhang, J., ... &amp; Liu, Z. (2023). Faster accumulation and greater contribution of glomalin to the soil organic carbon pool than amino sugars do under tropical coastal forest restoration. Global Change Biology, 29(2), 533-547.</t>
  </si>
  <si>
    <t>Li, T., Yuan, Y., Mou, Z., Li, Y., Kuang, L., Zhang, J., ... &amp; Liu, Z. (2023). Faster accumulation and greater contribution of glomalin to the soil organic carbon pool than amino sugars do under tropical coastal forest restoration. Global Change Biology, 29(2), 533-548.</t>
  </si>
  <si>
    <t>Forests | Free Full-Text | Higher Soil Aggregate Stability in Subtropical Coniferous Plantations Than tural Forests Due to Microbial and Aggregate Factors (mdpi.com)</t>
  </si>
  <si>
    <t>Cai, L., Yang, Y., Chong, Y., Xiong, J., Wu, J., Ai, X., ... &amp; Li, Z. (2022). Higher Soil Aggregate Stability in Subtropical Coniferous Plantations Than tural Forests Due to Microbial and Aggregate Factors. Forests, 13(12), 2110.</t>
  </si>
  <si>
    <t>Frontiers | Arbuscular mycorrhizal fungi in the soil using cover crops with and without nitrogen addition (frontiersin.org)</t>
  </si>
  <si>
    <t>Moura, J. B. D., Ramos, M. L. G., Konrad, M. L. D. F., Saggin Júnior, O. J., Ribeiro Junior, W. Q., Carvalho, A. M. D., ... &amp; Dutra e Silva, S. (2022). Arbuscular mycorrhizal fungi in the soil using cover crops with and without nitrogen addition. Frontiers in Plant Science, 13, 1054484.</t>
  </si>
  <si>
    <t>Nitrogen fertilization degrades soil aggregation by increasing ammonium ions and decreasing biological binding agents on a Vertisol after 12 years - ScienceDirect</t>
  </si>
  <si>
    <t>Zichun, G. U. O., Wei, L. I., ISLAM, M. U., Yuekai, W. A. N. G., Zhang, Z., &amp; Xinhua, P. E. N. G. (2022). Nitrogen fertilization degrades soil aggregation by increasing ammonium ions and decreasing biological binding agents on a Vertisol after 12 years. Pedosphere, 32(4), 629-636.</t>
  </si>
  <si>
    <t>Contributions of mycorrhizal fungi to soil aggregate formation during subalpine forest succession - ScienceDirect</t>
  </si>
  <si>
    <t>Qiang, W., Guni, A., Kuzyakov, Y., He, L., Zhang, Y., Liu, B., &amp; Pang, X. (2023). Contributions of mycorrhizal fungi to soil aggregate formation during subalpine forest succession. Cate, 221, 106800.</t>
  </si>
  <si>
    <t>Frontiers | Effects of forest types on soil carbon content in aggregate faction under climate transition zone (frontiersin.org)</t>
  </si>
  <si>
    <t>Dong, X., Zhao, K., Wang, J., Gui, H., Xiao, Y., Chen, Z., ... &amp; Han, S. (2023). Effects of forest types on soil carbon content in aggregate faction under climate transition zone. Frontiers in Environmental Science, 10, 1052175.</t>
  </si>
  <si>
    <t>Short-term cultivation limiting soil aggregate stability and macronutrient accumulation associated with glomalin-related soil protein in Eucalyptus urophylla × Eucalyptus grandis plantations - ScienceDirect</t>
  </si>
  <si>
    <t>Wang, Y., He, C., Shi, Y., Li, H., Tang, Y., Chen, B., ... &amp; Chen, L. (2023). Short-term cultivation limiting soil aggregate stability and macronutrient accumulation associated with glomalin-related soil protein in Eucalyptus urophylla× Eucalyptus grandis plantations. Science of The Total Environment, 878, 163187.</t>
  </si>
  <si>
    <t>Determining the Most Sensitive Indicators of Soil Carbon Transformation to the Land-Use Change from Intact Rangeland to Cropland, Western Iran | Intertiol Jourl of Environmental Research (springer.com)</t>
  </si>
  <si>
    <t>Karami, Z., Sharifi, Z., &amp; Renella, G. (2023). Determining the Most Sensitive Indicators of Soil Carbon Transformation to the Land-Use Change from Intact Rangeland to Cropland, Western Iran. Intertiol Jourl of Environmental Research, 17(3), 37.</t>
  </si>
  <si>
    <t>Glomalin, an arbuscular-mycorrhizal fungal soil protein, responds to land-use change | Plant and Soil (springer.com)</t>
  </si>
  <si>
    <t>Rillig M C, Ramsey P W, Morris S, et al. Glomalin, an arbuscular-mycorrhizal fungal soil protein, responds to land-use change[J]. Plant and Soil, 2003, 253: 293-299.</t>
  </si>
  <si>
    <t>Mycorrhizae activity and diversity in conventiol and organic apple orchards from Brazil - ScienceDirect</t>
  </si>
  <si>
    <t>Purin, S., Klauberg Filho, O., &amp; Stürmer, S. L. (2006). Mycorrhizae activity and diversity in conventiol and organic apple orchards from Brazil. Soil Biology and Biochemistry, 38(7), 1831-1839.</t>
  </si>
  <si>
    <t>Treseder K K, Turner K M, Mack M C. Mycorrhizal responses to nitrogen fertilization in boreal ecosystems: potential consequences for soil carbon storage[J]. Global Change Biology, 2007, 13(1): 78-88.</t>
  </si>
  <si>
    <t>Losses of glomalin-related soil protein under prolonged arable cropping: A chronosequence study in sandy soils of the South African Highveld - ScienceDirect</t>
  </si>
  <si>
    <t>Preger, A. C., Rillig, M. C., Johns, A. R., Du Preez, C. C., Lobe, I., &amp; Amelung, W. (2007). Losses of glomalin-related soil protein under prolonged arable cropping: a chronosequence study in sandy soils of the South African Highveld. soil biology and biochemistry, 39(2), 445-453.</t>
  </si>
  <si>
    <t>Effects of long-term land use on arbuscular mycorrhizal fungi and glomalin-related soil protein - ScienceDirect</t>
  </si>
  <si>
    <t>Bedini, S., Avio, L., Argese, E., &amp; Giovannetti, M. (2007). Effects of long-term land use on arbuscular mycorrhizal fungi and glomalin-related soil protein. Agriculture, ecosystems &amp; environment, 120(2-4), 463-466.</t>
  </si>
  <si>
    <t>Disturbance changes arbuscular mycorrhizal fungal phenology and soil glomalin concentrations but not fungal spore composition in montane rainforests in Veracruz and Chiapas, Mexico - ScienceDirect</t>
  </si>
  <si>
    <t>Violi, H. A., Barrientos-Priego, A. F., Wright, S. F., Escamilla-Prado, E., Morton, J. B., Menge, J. A., &amp; Lovatt, C. J. (2008). Disturbance changes arbuscular mycorrhizal fungal phenology and soil glomalin concentrations but not fungal spore composition in montane rainforests in Veracruz and Chiapas, Mexico. Forest Ecology and Magement, 254(2), 276-290.</t>
  </si>
  <si>
    <t>Violi, H. A., Barrientos-Priego, A. F., Wright, S. F., Escamilla-Prado, E., Morton, J. B., Menge, J. A., &amp; Lovatt, C. J. (2008). Disturbance changes arbuscular mycorrhizal fungal phenology and soil glomalin concentrations but not fungal spore composition in montane rainforests in Veracruz and Chiapas, Mexico. Forest Ecology and Magement, 254(2), 276-291.</t>
  </si>
  <si>
    <t>Mycorrhizal dymics under elevated CO2 and nitrogen fertilization in a warm temperate forest | Plant and Soil (springer.com)</t>
  </si>
  <si>
    <t>Garcia M O, Ovasapyan T, Greas M, et al. Mycorrhizal dymics under elevated CO 2 and nitrogen fertilization in a warm temperate forest[J]. Plant and Soil, 2008, 303: 301-310.</t>
  </si>
  <si>
    <t>Mycorrhizal dymics under elevated CO3 and nitrogen fertilization in a warm temperate forest | Plant and Soil (springer.com)</t>
  </si>
  <si>
    <t>Garcia M O, Ovasapyan T, Greas M, et al. Mycorrhizal dymics under elevated CO 2 and nitrogen fertilization in a warm temperate forest[J]. Plant and Soil, 2008, 303: 301-311.</t>
  </si>
  <si>
    <t>Morell Planes F, Hernández Jiménez A. Degradation of properties agrobiological of red grounds ferralíticos leached by the anthropic influence and its answer agroproductiva to the improvement[J]. Agronomía Tropical, 2008, 58(4): 33-343.</t>
  </si>
  <si>
    <t>Water-stable aggregates, glomalin-related soil protein, and carbohydrates in a chronosequence of sandy hydromorphic soils - ScienceDirect</t>
  </si>
  <si>
    <t>Spohn, M., &amp; Giani, L. (2010). Water-stable aggregates, glomalin-related soil protein, and carbohydrates in a chronosequence of sandy hydromorphic soils. Soil Biology and Biochemistry, 42(9), 1505-1511.</t>
  </si>
  <si>
    <t>Morell F, López D, Hernández A, et al. Characterization agrobiological brown soils field region flowers in relation to changes in agricultural magement[J]. Cultivos Tropicales, 2010, 31(4).</t>
  </si>
  <si>
    <t>Fungi in century old maged soils could hold key to the development of soil water repellency - ScienceDirect</t>
  </si>
  <si>
    <t>Young, I. M., Feeney, D. S., O’Donnell, A. G., &amp; Goulding, K. W. (2012). Fungi in century old maged soils could hold key to the development of soil water repellency. Soil Biology and Biochemistry, 45, 125-127.</t>
  </si>
  <si>
    <t>https://onlinelibrary.wiley.com/doi/10.1002/ldr.1113</t>
  </si>
  <si>
    <t>De Souza, R. G., Da Silva, D. K. A., De Mello, C. M. A., Goto, B. T., Da Silva, F. S. B., Sampaio, E. V. S. B., &amp; Maia, L. C. (2013). Arbuscular mycorrhizal fungi in revegetated mined dunes. Land Degradation &amp; Development, 24(2), 147-155.</t>
  </si>
  <si>
    <r>
      <t>Soil structural stability and erosion rates influenced by agricultural magement practices in a semi</t>
    </r>
    <r>
      <rPr>
        <b/>
        <sz val="10"/>
        <rFont val="等线"/>
        <charset val="134"/>
      </rPr>
      <t>‐</t>
    </r>
    <r>
      <rPr>
        <b/>
        <sz val="10"/>
        <rFont val="Arial"/>
        <charset val="134"/>
      </rPr>
      <t>arid Mediterranean agro</t>
    </r>
    <r>
      <rPr>
        <b/>
        <sz val="10"/>
        <rFont val="等线"/>
        <charset val="134"/>
      </rPr>
      <t>‐</t>
    </r>
    <r>
      <rPr>
        <b/>
        <sz val="10"/>
        <rFont val="Arial"/>
        <charset val="134"/>
      </rPr>
      <t>ecosystem - García</t>
    </r>
    <r>
      <rPr>
        <b/>
        <sz val="10"/>
        <rFont val="等线"/>
        <charset val="134"/>
      </rPr>
      <t>‐</t>
    </r>
    <r>
      <rPr>
        <b/>
        <sz val="10"/>
        <rFont val="Arial"/>
        <charset val="134"/>
      </rPr>
      <t>Orenes - 2012 - Soil Use and Magement - Wiley Online Library</t>
    </r>
  </si>
  <si>
    <r>
      <t>García</t>
    </r>
    <r>
      <rPr>
        <b/>
        <sz val="10"/>
        <rFont val="等线"/>
        <charset val="134"/>
      </rPr>
      <t>‐</t>
    </r>
    <r>
      <rPr>
        <b/>
        <sz val="10"/>
        <rFont val="Arial"/>
        <charset val="134"/>
      </rPr>
      <t>Orenes, F., Roldán, A., Mataix</t>
    </r>
    <r>
      <rPr>
        <b/>
        <sz val="10"/>
        <rFont val="等线"/>
        <charset val="134"/>
      </rPr>
      <t>‐</t>
    </r>
    <r>
      <rPr>
        <b/>
        <sz val="10"/>
        <rFont val="Arial"/>
        <charset val="134"/>
      </rPr>
      <t>Solera, J., Cerdà, A., Campoy, M., Arcenegui, V., &amp; Caravaca, F. (2012). Soil structural stability and erosion rates influenced by agricultural magement practices in a semi</t>
    </r>
    <r>
      <rPr>
        <b/>
        <sz val="10"/>
        <rFont val="等线"/>
        <charset val="134"/>
      </rPr>
      <t>‐</t>
    </r>
    <r>
      <rPr>
        <b/>
        <sz val="10"/>
        <rFont val="Arial"/>
        <charset val="134"/>
      </rPr>
      <t>arid Mediterranean agro</t>
    </r>
    <r>
      <rPr>
        <b/>
        <sz val="10"/>
        <rFont val="等线"/>
        <charset val="134"/>
      </rPr>
      <t>‐</t>
    </r>
    <r>
      <rPr>
        <b/>
        <sz val="10"/>
        <rFont val="Arial"/>
        <charset val="134"/>
      </rPr>
      <t>ecosystem. Soil Use and Magement, 28(4), 571-579.</t>
    </r>
  </si>
  <si>
    <t>Arbuscular mycorrhizal fungal diversity, exterl mycelium length, and glomalin-related soil protein content in response to long-term fertilizer magement | Jourl of Soils and Sediments (springer.com)</t>
  </si>
  <si>
    <t>Dai, J., Hu, J., Lin, X., Yang, A., Wang, R., Zhang, J., &amp; Wong, M. H. (2013). Arbuscular mycorrhizal fungal diversity, exterl mycelium length, and glomalin-related soil protein content in response to long-term fertilizer magement. Jourl of Soils and Sediments, 13(1), 1-11.</t>
  </si>
  <si>
    <t>Soybean fungal soil-borne diseases: a parameter for measuring the effect of agricultural intensification on soil health (cdnsciencepub.com)</t>
  </si>
  <si>
    <t>Pérez-Brandán, C., Huidobro, J., Grümberg, B., Scandiani, M. M., Luque, A. G., Meriles, J. M., &amp; Vargas-Gil, S. (2014). Soybean fungal soil-borne diseases: a parameter for measuring the effect of agricultural intensification on soil health. Cadian Jourl of Microbiology, 60(2), 73-84.</t>
  </si>
  <si>
    <t>Arbuscular mycorrhizal fungi in the Brazilian Atlantic forest: A gradient of environmental restoration - ScienceDirect</t>
  </si>
  <si>
    <t>Bonfim, J. A., Vasconcellos, R. L. F., Stürmer, S. L., &amp; Cardoso, E. J. B. N. (2013). Arbuscular mycorrhizal fungi in the Brazilian Atlantic forest: A gradient of environmental restoration. Applied Soil Ecology, 71, 7-14.</t>
  </si>
  <si>
    <t>SciELO - Brazil - Arbuscular mycorrhizal fungi in soil aggregates from fields of "murundus" converted to agriculture Arbuscular mycorrhizal fungi in soil aggregates from fields of "murundus" converted to agriculture</t>
  </si>
  <si>
    <t>Carneiro, M. A. C., Ferreira, D. A., Souza, E. D. D., Paulino, H. B., Junior, O. J. S., &amp; Siqueira, J. O. (2015). Arbuscular mycorrhizal fungi in soil aggregates from fields of" murundus" converted to agriculture. Pesquisa Agropecuária Brasileira, 50, 313-321.</t>
  </si>
  <si>
    <t>Glomalin-related soil protein responses to elevated CO2 and nitrogen addition in a subtropical forest: Potential consequences for soil carbon accumulation - ScienceDirect</t>
  </si>
  <si>
    <t>Zhang J, Tang X, He X, et al. Glomalin-related soil protein responses to elevated CO2 and nitrogen addition in a subtropical forest: Potential consequences for soil carbon accumulation[J]. Soil Biology and Biochemistry, 2015, 83: 142-149.</t>
  </si>
  <si>
    <t>Turgay O C, Buchan D, Moeskops B, et al. Changes in soil ergosterol content, glomalin-related soil protein, and phospholipid fatty acid profile as affected by long-term organic and chemical fertilization practices in Mediterranean Turkey[J]. Arid Land Research and Magement, 2015, 29(2): 180-198.</t>
  </si>
  <si>
    <t>Long-term effects of fertilizer on soil enzymatic activity of wheat field soil in Loess Plateau, Chi | Ecotoxicology (springer.com)</t>
  </si>
  <si>
    <t>Hu, W., Jiao, Z., Wu, F., Liu, Y., Dong, M., Ma, X., ... &amp; Feng, H. (2014). Long-term effects of fertilizer on soil enzymatic activity of wheat field soil in Loess Plateau, Chi. Ecotoxicology, 23(10), 2069-2080.</t>
  </si>
  <si>
    <t>Role and Variation of the Amount and Composition of Glomalin in Soil Properties in Farmland and Adjacent Plantations with Reference to a Primary Forest in North-Eastern Chi | PLOS ONE</t>
  </si>
  <si>
    <t>Wang, Q., Wang, W., He, X., Zhang, W., Song, K., &amp; Han, S. (2015). Role and variation of the amount and composition of glomalin in soil properties in farmland and adjacent plantations with reference to a primary forest in North-Eastern Chi. PloS one, 10(10), e0139623.</t>
  </si>
  <si>
    <t>Seasol Patterns of Soil Respiration and Related Soil Biochemical Properties under Nitrogen Addition in Winter Wheat Field | PLOS ONE</t>
  </si>
  <si>
    <t>Liang, G., Houssou, A. A., Wu, H., Cai, D., Wu, X., Gao, L., ... &amp; Li, S. (2015). Seasol patterns of soil respiration and related soil biochemical properties under nitrogen addition in winter wheat field. PLoS One, 10(12), e0144115.</t>
  </si>
  <si>
    <t>SciELO - Brazil - Biological Properties and Organic Matter Dymics of Soil in Pasture and tural Regeneration Areas in the Atlantic Forest Biome Biological Properties and Organic Matter Dymics of Soil in Pasture and tural Regeneration Areas in the Atlantic Forest Biome</t>
  </si>
  <si>
    <t>Nogueira, L. R., Silva, C. F. D., Pereira, M. G., Gaia-Gomes, J. H., &amp; Silva, E. M. R. D. (2016). Biological properties and organic matter dymics of soil in pasture and tural regeneration areas in the Atlantic forest biome. Revista brasileira de ciência do solo, 40.</t>
  </si>
  <si>
    <t>Beutler, S. J., Pereira, M. G., Loss, A., Perin, A., &amp; SILVA, C. F. D. (2016). Edaphic attributes of a crop-livestock integration system in the Cerrado Biome. Revista Caatinga, 29, 892-900.</t>
  </si>
  <si>
    <t>Change in total glomalin content related to soil proteins after a wildAFire in an Andisol of Araucaria arauca forests of south-central Chile (scielo.cl)</t>
  </si>
  <si>
    <t>Rivas Y, Canseco M I, Knicker H, et al. Change in total glomalin content related to soil proteins after a wildAFire in an Andisol of Araucaria arauca forests of south-central Chile[J]. Revista Bosque, 2016, 37(2): 409-417.</t>
  </si>
  <si>
    <t>Soil carbon fractions under maize–wheat system: effect of tillage and nutrient magement | Environmental Monitoring and Assessment (springer.com)</t>
  </si>
  <si>
    <t>Sandeep, S., Manjaiah, K. M., Pal, S., &amp; Singh, A. K. (2016). Soil carbon fractions under maize–wheat system: effect of tillage and nutrient magement. Environmental monitoring and assessment, 188(1), 1-13.</t>
  </si>
  <si>
    <r>
      <t>Vasconcellos, R. L., Bonfim, J. A., Baretta, D., &amp; Cardoso, E. J. (2016). Arbuscular mycorrhizal fungi and glomalin</t>
    </r>
    <r>
      <rPr>
        <b/>
        <sz val="10"/>
        <rFont val="等线"/>
        <charset val="134"/>
      </rPr>
      <t>‐</t>
    </r>
    <r>
      <rPr>
        <b/>
        <sz val="10"/>
        <rFont val="Arial"/>
        <charset val="134"/>
      </rPr>
      <t>related soil protein as potential indicators of soil quality in a recuperation gradient of the Atlantic forest in Brazil. Land Degradation &amp; Development, 27(2), 325-334.</t>
    </r>
  </si>
  <si>
    <t>da Silva, C. F., Pereira, M. G., dos Santos, V. L., Miguel, D. L., &amp; da Silva, E. M. R. (2016). Arbuscular mycorrhizal fungi: composition, lenght extraradical mycelium and glomalin in areas of Atlantic forest, Rio de Janeiro. Ciência Florestal, 26(2), 419-433.</t>
  </si>
  <si>
    <t>Can soil properties and agricultural land use affect arbuscular mycorrhizal fungal communities indigenous from the Argentinean Pampas soils? - ScienceDirect</t>
  </si>
  <si>
    <t>Islas, A. T., Guijarro, K. H., Eyherabide, M., Rozas, H. S., Echeverria, H. E., &amp; Covacevich, F. (2016). Can soil properties and agricultural land use affect arbuscular mycorrhizal fungal communities indigenous from the Argentinean Pampas soils?. Applied Soil Ecology, 101, 47-56.</t>
  </si>
  <si>
    <t>Islas, A. T., Guijarro, K. H., Eyherabide, M., Rozas, H. S., Echeverria, H. E., &amp; Covacevich, F. (2016). Can soil properties and agricultural land use affect arbuscular mycorrhizal fungal communities indigenous from the Argentinean Pampas soils?. Applied Soil Ecology, 101, 47-57.</t>
  </si>
  <si>
    <t>Islas, A. T., Guijarro, K. H., Eyherabide, M., Rozas, H. S., Echeverria, H. E., &amp; Covacevich, F. (2016). Can soil properties and agricultural land use affect arbuscular mycorrhizal fungal communities indigenous from the Argentinean Pampas soils?. Applied Soil Ecology, 101, 47-58.</t>
  </si>
  <si>
    <t>Islas, A. T., Guijarro, K. H., Eyherabide, M., Rozas, H. S., Echeverria, H. E., &amp; Covacevich, F. (2016). Can soil properties and agricultural land use affect arbuscular mycorrhizal fungal communities indigenous from the Argentinean Pampas soils?. Applied Soil Ecology, 101, 47-59.</t>
  </si>
  <si>
    <t>Islas, A. T., Guijarro, K. H., Eyherabide, M., Rozas, H. S., Echeverria, H. E., &amp; Covacevich, F. (2016). Can soil properties and agricultural land use affect arbuscular mycorrhizal fungal communities indigenous from the Argentinean Pampas soils?. Applied Soil Ecology, 101, 47-60.</t>
  </si>
  <si>
    <t>Islas, A. T., Guijarro, K. H., Eyherabide, M., Rozas, H. S., Echeverria, H. E., &amp; Covacevich, F. (2016). Can soil properties and agricultural land use affect arbuscular mycorrhizal fungal communities indigenous from the Argentinean Pampas soils?. Applied Soil Ecology, 101, 47-61.</t>
  </si>
  <si>
    <t>Islas, A. T., Guijarro, K. H., Eyherabide, M., Rozas, H. S., Echeverria, H. E., &amp; Covacevich, F. (2016). Can soil properties and agricultural land use affect arbuscular mycorrhizal fungal communities indigenous from the Argentinean Pampas soils?. Applied Soil Ecology, 101, 47-62.</t>
  </si>
  <si>
    <t>Conversion of forest into irrigated pasture II. Changes in the physical properties of the soil - ScienceDirect</t>
  </si>
  <si>
    <t>Oliveira, S. P., Candido, M. J. D., Weber, O. B., Xavier, F. A. S., Escobar, M. E. O., &amp; Oliveira, T. S. (2016). Conversion of forest into irrigated pasture II. Changes in the physical properties of the soil. Cate, 143, 70-77.</t>
  </si>
  <si>
    <t>Enrichment of arbuscular mycorrhizal fungi in a contamited soil after rehabilitation - ScienceDirect</t>
  </si>
  <si>
    <t>Lopes Leal, P., Varón-López, M., Gonçalves de Oliveira Prado, I., Valentim dos Santos, J., Fonsêca Sousa Soares, C. R., Siqueira, J. O., &amp; de Souza Moreira, F. M. (2016). Enrichment of arbuscular mycorrhizal fungi in a contamited soil after rehabilitation. brazilian jourl of microbiology, 47, 853-862.</t>
  </si>
  <si>
    <t>Glomalin-related soil proteins respond negatively to fertilization and fungicide application in Chi's arid grassland - ScienceDirect</t>
  </si>
  <si>
    <t>Yang Y, Zhang J, He J, et al. Glomalin-related soil proteins respond negatively to fertilization and fungicide application in Chi's arid grassland[J]. European Jourl of Soil Biology, 2023, 119: 103557.</t>
  </si>
  <si>
    <t>Dymics of glomalin-related soil protein and soil aggregates during secondary succession in the temperate forest - ScienceDirect</t>
  </si>
  <si>
    <t>Sun X, **ng Y, Yan G, et al. Dymics of glomalin-related soil protein and soil aggregates during secondary succession in the temperate forest[J]. CATE, 2024, 234: 107602.</t>
  </si>
  <si>
    <t>Assessing differential land use impacts on soil quality: A method based on log-response ratios and polygol projections - ScienceDirect</t>
  </si>
  <si>
    <t>Aranguren R, Cañón J. Assessing differential land use impacts on soil quality: A method based on log-response ratios and polygol projections[J]. Jourl of Environmental Magement, 2023, 348: 119442.</t>
  </si>
  <si>
    <t>Sensitivity of glomalin-related soil protein to wildAFires: Immediate and medium-term changes - ScienceDirect</t>
  </si>
  <si>
    <t>Lozano, E., Jiménez-Pinilla, P., Mataix-Solera, J., Arcenegui, V., &amp; Mataix-Beneyto, J. (2016). Sensitivity of glomalin-related soil protein to wildAFires: Immediate and medium-term changes. Science of the Total Environment, 572, 1238-1243.</t>
  </si>
  <si>
    <t>Lozano, E., Jiménez-Pinilla, P., Mataix-Solera, J., Arcenegui, V., &amp; Mataix-Beneyto, J. (2016). Sensitivity of glomalin-related soil protein to wildAFires: Immediate and medium-term changes. Science of the Total Environment, 572, 1238-1244.</t>
  </si>
  <si>
    <t>Seguel, A., Cornejo, P., Ramos, A., Von Baer, E., Cumming, J., &amp; Borie, F. (2017). Phosphorus acquisition by three wheat cultivars contrasting in aluminium tolerance growing in an aluminium-rich volcanic soil. Crop and Pasture Science, 68(4), 305-316.</t>
  </si>
  <si>
    <t>Contribution of glomalin to dissolve organic carbon under different land uses and seasolity in dry tropics - ScienceDirect</t>
  </si>
  <si>
    <t>Singh, A. K., Rai, A., Pandey, V., &amp; Singh, N. (2017). Contribution of glomalin to dissolve organic carbon under different land uses and seasolity in dry tropics. Jourl of environmental magement, 192, 142-149.</t>
  </si>
  <si>
    <t>Bamboo forest expansion increases soil organic carbon through its effect on soil arbuscular mycorrhizal fungal community and abundance | Plant and Soil (springer.com)</t>
  </si>
  <si>
    <t>Qin, H., Niu, L., Wu, Q., Chen, J., Li, Y., Liang, C., ... &amp; Shen, Y. (2017). Bamboo forest expansion increases soil organic carbon through its effect on soil arbuscular mycorrhizal fungal community and abundance. Plant and Soil, 420(1), 407-421.</t>
  </si>
  <si>
    <t>Riparian reforestation with a single exotic species restores soil aggregation and porosity but not humic substances - Santos - 2018 - Soil Use and Magement - Wiley Online Library</t>
  </si>
  <si>
    <t>Santos, H. V., &amp; Scotti, M. R. (2018). Riparian reforestation with a single exotic species restores soil aggregation and porosity but not humic substances. Soil Use and Magement, 34(1), 124-133.</t>
  </si>
  <si>
    <t>Long-term fertilization effects on soil organic carbon sequestration in an Inceptisol - ScienceDirect</t>
  </si>
  <si>
    <t>Ghosh, A., Bhattacharyya, R., Mee, M. C., Dwivedi, B. S., Singh, G., Agnihotri, R., &amp; Sharma, C. (2018). Long-term fertilization effects on soil organic carbon sequestration in an Inceptisol. Soil and Tillage Research, 177, 134-144.</t>
  </si>
  <si>
    <t>The response of glomalin-related soil proteins to AFire or tillage - ScienceDirect</t>
  </si>
  <si>
    <t>Sharifi, Z., Azadi, N., Rahimi, S., &amp; Certini, G. (2018). The response of glomalin-related soil proteins to AFire or tillage. Geoderma, 329, 65-72.</t>
  </si>
  <si>
    <t>The response of glomalin-related soil proteins to fire or tillage - ScienceDirect</t>
  </si>
  <si>
    <t>Sharifi, Z., Azadi, N., Rahimi, S., &amp; Certini, G. (2018). The response of glomalin-related soil proteins to fire or tillage. Geoderma, 329, 65-72.</t>
  </si>
  <si>
    <t>SciELO - Brazil - Physical, Chemical, and Microbiological Properties of Soil under Different Plant Covers in the Seridó Desertification Region in the Brazilian Semiarid Physical, Chemical, and Microbiological Properties of Soil under Different Plant Covers in the Seridó Desertification Region in the Brazilian Semiarid</t>
  </si>
  <si>
    <t>Martins, A. F., Salcedo, I. H., Oliveira, F. P. D., &amp; Pereira, W. E. (2019). Physical, Chemical, and Microbiological Properties of Soil under Different Plant Covers in the Seridó Desertification Region in the Brazilian Semiarid. Revista Brasileira de Ciência do Solo, 43.</t>
  </si>
  <si>
    <t>Tree growth rate regulate the influence of elevated CO2 on soil biochemical responses under tropical condition - ScienceDirect</t>
  </si>
  <si>
    <t>Singh A K, Rai A, Kushwaha M, et al. Tree growth rate regulate the influence of elevated CO2 on soil biochemical responses under tropical condition[J]. Jourl of environmental magement, 2019, 231: 1211-1221.</t>
  </si>
  <si>
    <t>Plant community regulates soil multifunctiolity in a tropical dry forest - ScienceDirect</t>
  </si>
  <si>
    <t>Singh, A. K., Rai, A., Banyal, R., Chauhan, P. S., &amp; Singh, N. (2018). Plant community regulates soil multifunctiolity in a tropical dry forest. Ecological Indicators, 95, 953-963.</t>
  </si>
  <si>
    <t>Arbuscular mycorrhizal fungi along secondary forest succession at the eastern periphery of Amazonia: Seasol variability and impacts of soil fertility - ScienceDirect</t>
  </si>
  <si>
    <t>Reyes, H. A., Ferreira, P. F. A., Silva, L. C., da Costa, M. G., Nobre, C. P., &amp; Gehring, C. (2019). Arbuscular mycorrhizal fungi along secondary forest succession at the eastern periphery of Amazonia: Seasol variability and impacts of soil fertility. Applied Soil Ecology, 136, 1-10.</t>
  </si>
  <si>
    <r>
      <t>Ghosh, A., Bhattacharyya, R., Agarwal, B. K., Mahapatra, P., Shahi, D. K., Singh, G., ... &amp; Sharma, C. (2019). Long</t>
    </r>
    <r>
      <rPr>
        <b/>
        <sz val="10"/>
        <rFont val="等线"/>
        <charset val="134"/>
      </rPr>
      <t>‐</t>
    </r>
    <r>
      <rPr>
        <b/>
        <sz val="10"/>
        <rFont val="Arial"/>
        <charset val="134"/>
      </rPr>
      <t>term fertilization effects on 13C tural abundance, soil aggregation, and deep soil organic carbon sequestration in an Alfisol. Land Degradation &amp; Development, 30(4), 391-405.</t>
    </r>
  </si>
  <si>
    <t>Interactive effect of nitrogen addition and throughfall reduction decreases soil aggregate stability through reducing biological binding agents - ScienceDirect</t>
  </si>
  <si>
    <t>Chen, Z., Zhou, X., Geng, S., Miao, Y., Cao, Y., Chen, Z., ... &amp; Han, S. (2019). Interactive effect of nitrogen addition and throughfall reduction decreases soil aggregate stability through reducing biological binding agents. Forest Ecology and Magement, 445, 13-19.</t>
  </si>
  <si>
    <r>
      <t>Liu, H., Liang, C., Ai, Z., Zhang, J., Wu, Y., Xu, H., ... &amp; Liu, G. (2019). Plant</t>
    </r>
    <r>
      <rPr>
        <b/>
        <sz val="10"/>
        <rFont val="等线"/>
        <charset val="134"/>
      </rPr>
      <t>‐</t>
    </r>
    <r>
      <rPr>
        <b/>
        <sz val="10"/>
        <rFont val="Arial"/>
        <charset val="134"/>
      </rPr>
      <t>mycorrhizae association affects plant diversity, biomass, and soil nutrients along temporal gradients of tural restoration after farmland abandonment in the Loess Plateau, Chi. Land Degradation &amp; Development, 30(14), 1677-1690.</t>
    </r>
  </si>
  <si>
    <t>Silva A M M, Ramos M L G, scimento R S M P, et al. Soil quality indicators under magement systems in a Quilombola community in the Brazilian Cerrado[J]. Scientia Agricola, 2019, 76: 518-526.</t>
  </si>
  <si>
    <t>Sewage sludge biochar alters root colonization of mycorrhizal fungi in a soil cultivated with corn - ScienceDirect</t>
  </si>
  <si>
    <t>de Figueiredo, C. C., Farias, W. M., Coser, T. R., de Paula, A. M., Da Silva, M. R. S., &amp; Paz-Ferreiro, J. (2019). Sewage sludge biochar alters root colonization of mycorrhizal fungi in a soil cultivated with corn. European Jourl of Soil Biology, 93, 103092.</t>
  </si>
  <si>
    <t>Does animal manure application improve soil aggregation? Insights from nine long-term fertilization experiments - ScienceDirect</t>
  </si>
  <si>
    <t>Guo, Z., Zhang, J., Fan, J., Yang, X., Yi, Y., Han, X., ... &amp; Peng, X. (2019). Does animal manure application improve soil aggregation? Insights from nine long-term fertilization experiments. Science of the Total Environment, 660, 1029-1037.</t>
  </si>
  <si>
    <t>Long-term animal manure application promoted biological binding agents but not soil aggregation in a Vertisol - ScienceDirect</t>
  </si>
  <si>
    <t>Guo, Z. C., Zhang, Z. B., Zhou, H., Rahman, M. T., Wang, D. Z., Guo, X. S., ... &amp; Peng, X. H. (2018). Long-term animal manure application promoted biological binding agents but not soil aggregation in a Vertisol. Soil and Tillage Research, 180, 232-237.</t>
  </si>
  <si>
    <t>Miguel, D. L., da Silva, E. M. R., da Silva, C. F., Pereira, M. G., &amp; Leite, L. F. C. (2020). Soil microbiological properties and enzyme activity in agroforestry systems compared with monoculture, tural regeneration, and tive Caatinga.</t>
  </si>
  <si>
    <t>Short-term changes in soil functiolity after wildAFire and straw mulching in a Pinus halepensis M. forest - ScienceDirect</t>
  </si>
  <si>
    <t>Lucas-Borja, M. E., Plaza-Álvarez, P. A., Ortega, R., Miralles, I., González-Romero, J., Sagra, J., ... &amp; de las Heras, J. (2020). Short-term changes in soil functiolity after wildAFire and straw mulching in a Pinus halepensis M. forest. Forest Ecology and Magement, 457, 117700.</t>
  </si>
  <si>
    <t>Shifts in soil traits and arbuscular mycorrhizal symbiosis represent the conservation status of Araucaria arauca forests and the effects after AFire events - ScienceDirect</t>
  </si>
  <si>
    <t>Chávez, D., Machuca, Á., Fuentes-Ramirez, A., Ferndez, N., &amp; Cornejo, P. (2020). Shifts in soil traits and arbuscular mycorrhizal symbiosis represent the conservation status of Araucaria arauca forests and the effects after AFire events. Forest Ecology and Magement, 458, 117806.</t>
  </si>
  <si>
    <t>The role of soil as a carbon sink in coastal salt-marsh and agropastoral systems at La Pletera, NE Spain - ScienceDirect</t>
  </si>
  <si>
    <t>Gispert, M., Phang, C., &amp; Carrasco-Barea, L. (2020). The role of soil as a carbon sink in coastal salt-marsh and agropastoral systems at La Pletera, NE Spain. Cate, 185, 104331.</t>
  </si>
  <si>
    <t>Intercropping of kura clover (Trifolium ambiguum M. Bieb) with prairie cordgrass (Sparti pectita link.) enhanced soil biochemical activities and microbial community structure - ScienceDirect</t>
  </si>
  <si>
    <t>Sekaran, U., Loya, J. R., Abagandura, G. O., Subramanian, S., Owens, V., &amp; Kumar, S. (2020). Intercropping of kura clover (Trifolium ambiguum M. Bieb) with prairie cordgrass (Sparti pectita link.) enhanced soil biochemical activities and microbial community structure. Applied Soil Ecology, 147, 103427.</t>
  </si>
  <si>
    <t>Effects of wildAFire and logging on soil functiolity in the short-term in Pinus halepensis M. forests | European Jourl of Forest Research (springer.com)</t>
  </si>
  <si>
    <t>Lucas-Borja, M. E., Ortega, R., Miralles, I., Plaza-Álvarez, P. A., González-Romero, J., Peña-Moli, E., ... &amp; De las Heras, J. (2020). Effects of wildAFire and logging on soil functiolity in the short-term in Pinus halepensis M. forests. European Jourl of Forest Research, 139(6), 935-945.</t>
  </si>
  <si>
    <t>Ortiz, J., Faggioli, V. S., Ghio, H., Boccolini, M. F., Ioele, J. P., Tamburrini, P., ... &amp; Gudelj, V. (2020). Impacto a largo plazo de la fertilización sobre la estructura y funciolidad de la comunidad microbia del suelo. Ciencia del suelo, 38(1), 45-55.</t>
  </si>
  <si>
    <t>Fertilization effects on soil ecology strongly depend on the genotype in a willow (Salix spp.) plantation - ScienceDirect</t>
  </si>
  <si>
    <t>Baum, C., Amm, T., Kahle, P., &amp; Weih, M. (2020). Fertilization effects on soil ecology strongly depend on the genotype in a willow (Salix spp.) plantation. Forest Ecology and Magement, 466, 118126.</t>
  </si>
  <si>
    <t>Gain in biodiversity but not in phytostabilization after 3 years of ecological restoration of contamited Mediterranean soils - ScienceDirect</t>
  </si>
  <si>
    <t>Tosini L, Folzer H, Heckenroth A, et al. Gain in biodiversity but not in phytostabilization after 3 years of ecological restoration of contamited Mediterranean soils[J]. Ecological Engineering, 2020, 157: 105998.</t>
  </si>
  <si>
    <t>LI Shanjia,WANG Junqiang,**,SHI Zhiguo,ZHAO Xu &amp; LI Yanrong.Effect of different base fertilizer treatments on maize soil enzyme activity and glomalin-related protein[J].Chinese Jourl of Applied &amp; Environmental Biology,2017,23(02):357-363.doi:10.3724/SP.J.1145.2016.04045</t>
  </si>
  <si>
    <t>10.3975/cagsb.2022.012703</t>
  </si>
  <si>
    <t>10.3975/cagsb.2022.012704</t>
  </si>
  <si>
    <t>10.3975/cagsb.2022.012705</t>
  </si>
  <si>
    <t>10.3975/cagsb.2022.012706</t>
  </si>
  <si>
    <t>10.3975/cagsb.2022.012707</t>
  </si>
  <si>
    <t>10.3975/cagsb.2022.012708</t>
  </si>
  <si>
    <t>10.3975/cagsb.2022.012709</t>
  </si>
  <si>
    <t>10.3975/cagsb.2022.012710</t>
  </si>
  <si>
    <t>10.3975/cagsb.2022.012711</t>
  </si>
  <si>
    <t>10.3975/cagsb.2022.012712</t>
  </si>
  <si>
    <t>10.3975/cagsb.2022.012713</t>
  </si>
  <si>
    <t>10.3975/cagsb.2022.012714</t>
  </si>
  <si>
    <t>ZHANG Jian, XU Ming, WU Lifeng, WEN Chunyu, ZHANG Jiao, NIE Kun. Effects of different disturbance types on the glomalin-related soil protein of Pinus massonia forests in Central Guizhou. Jourl of Forest and Environment, 2022, 42(1): 63-70. DOI: 10.13324/j.cnki.jfcf.2022.01.008</t>
  </si>
  <si>
    <t>10.16175/j.cnki.1009-4229.2010.05.011</t>
  </si>
  <si>
    <t>RELATIONSHIPS AMONG AFireS, FUNGI, AND SOIL DYMICS IN ALASKAN BOREAL FORESTS - Treseder - 2004 - Ecological Applications - Wiley Online Library</t>
  </si>
  <si>
    <t>Treseder, K. K., Mack, M. C., &amp; Cross, A. (2004). Relationships among AFires, fungi, and soil dymics in Alaskan boreal forests. Ecological Applications, 14(6), 1826-1838.</t>
  </si>
  <si>
    <r>
      <t>Soil aggregation and carbon sequestration are tightly correlated with the abundance of arbuscular mycorrhizal fungi: results from long</t>
    </r>
    <r>
      <rPr>
        <b/>
        <sz val="10"/>
        <rFont val="等线"/>
        <charset val="134"/>
      </rPr>
      <t>‐</t>
    </r>
    <r>
      <rPr>
        <b/>
        <sz val="10"/>
        <rFont val="Arial"/>
        <charset val="134"/>
      </rPr>
      <t>term field experiments - Wilson - 2009 - Ecology Letters - Wiley Online Library</t>
    </r>
  </si>
  <si>
    <r>
      <t>Wilson, G. W., Rice, C. W., Rillig, M. C., Springer, A., &amp; Hartnett, D. C. (2009). Soil aggregation and carbon sequestration are tightly correlated with the abundance of arbuscular mycorrhizal fungi: results from long</t>
    </r>
    <r>
      <rPr>
        <b/>
        <sz val="10"/>
        <rFont val="等线"/>
        <charset val="134"/>
      </rPr>
      <t>‐</t>
    </r>
    <r>
      <rPr>
        <b/>
        <sz val="10"/>
        <rFont val="Arial"/>
        <charset val="134"/>
      </rPr>
      <t>term field experiments. Ecology letters, 12(5), 452-461.</t>
    </r>
  </si>
  <si>
    <t>Long-term manure amendments reduced soil aggregate stability via redistribution of the glomalin-related soil protein in macroaggregates | Scientific Reports (ture.com)</t>
  </si>
  <si>
    <t>Xie, H., Li, J., Zhang, B., Wang, L., Wang, J., He, H., &amp; Zhang, X. (2015). Long-term manure amendments reduced soil aggregate stability via redistribution of the glomalin-related soil protein in macroaggregates. Scientific reports, 5(1), 1-9.</t>
  </si>
  <si>
    <t>Xie, H., Li, J., Zhang, B., Wang, L., Wang, J., He, H., &amp; Zhang, X. (2015). Long-term manure amendments reduced soil aggregate stability via redistribution of the glomalin-related soil protein in macroaggregates. Scientific reports, 5(1), 1-10.</t>
  </si>
  <si>
    <t>Xie, H., Li, J., Zhang, B., Wang, L., Wang, J., He, H., &amp; Zhang, X. (2015). Long-term manure amendments reduced soil aggregate stability via redistribution of the glomalin-related soil protein in macroaggregates. Scientific reports, 5(1), 1-11.</t>
  </si>
  <si>
    <t>Land use alters arbuscular mycorrhizal fungal communities and their potential role in carbon sequestration on the Tibetan Plateau | Scientific Reports (ture.com)</t>
  </si>
  <si>
    <t>Xu, M., Li, X., Cai, X., Li, X., Christie, P., &amp; Zhang, J. (2017). Land use alters arbuscular mycorrhizal fungal communities and their potential role in carbon sequestration on the Tibetan Plateau. Scientific Reports, 7(1), 1-11.</t>
  </si>
  <si>
    <t>Distribution of soil organic carbon and glomalin related soil protein in reclaimed coal mine-land chronosequence under tropical condition - ScienceDirect</t>
  </si>
  <si>
    <t>Kumar, S., Singh, A. K., &amp; Ghosh, P. (2018). Distribution of soil organic carbon and glomalin related soil protein in reclaimed coal mine-land chronosequence under tropical condition. Science of the Total Environment, 625, 1341-1350.</t>
  </si>
  <si>
    <t>Plants | Free Full-Text | The tive Arbuscular Mycorrhizal Fungi and Vermicompost-Based Organic Amendments Enhance Soil Fertility, Growth Performance, and the Drought Stress Tolerance of Quinoa (mdpi.com)</t>
  </si>
  <si>
    <t>Beffari, W., Boutasknit, A., Anli, M., Ait-El-Mokhtar, M., Ait-Rahou, Y., Ben-Laouane, R., ... &amp; Meddich, A. (2022). The tive arbuscular mycorrhizal fungi and vermicompost-based organic amendments enhance soil fertility, growth performance, and the drought stress tolerance of quinoa. Plants, 11(3), 393.</t>
  </si>
  <si>
    <t>Crop–livestock integration enhanced soil aggregate-associated carbon and nitrogen, and phospholipid fatty acid | Scientific Reports (ture.com)</t>
  </si>
  <si>
    <t>Bansal, S., Chakraborty, P., &amp; Kumar, S. (2022). Crop–livestock integration enhanced soil aggregate-associated carbon and nitrogen, and phospholipid fatty acid. Scientific Reports, 12(1), 2781.</t>
  </si>
  <si>
    <t>https://doi.org/10.1016/j.fcr.2021.108131</t>
  </si>
  <si>
    <t>Sharma, S., Singh, P., &amp; Choudhary, O. P. (2021). Nitrogen and rice straw incorporation impact nitrogen use efficiency, soil nitrogen pools and enzyme activity in rice-wheat system in north-western India. Field Crops Research, 266, 108131.</t>
  </si>
  <si>
    <t>https://doi.org/10.1016/j.fcr.2021.108132</t>
  </si>
  <si>
    <t>https://doi.org/10.1016/j.fcr.2021.108133</t>
  </si>
  <si>
    <t>https://doi.org/10.1016/j.fcr.2021.108134</t>
  </si>
  <si>
    <t>https://doi.org/10.1016/j.fcr.2021.108135</t>
  </si>
  <si>
    <t>https://doi.org/10.1016/j.fcr.2021.108136</t>
  </si>
  <si>
    <t>https://doi.org/10.1016/j.fcr.2021.108137</t>
  </si>
  <si>
    <t>https://doi.org/10.1016/j.fcr.2021.108138</t>
  </si>
  <si>
    <t>https://doi.org/10.1016/j.fcr.2021.108139</t>
  </si>
  <si>
    <t>https://doi.org/10.1016/j.fcr.2021.108140</t>
  </si>
  <si>
    <t>https://doi.org/10.1016/j.fcr.2021.108141</t>
  </si>
  <si>
    <t>https://doi.org/10.1016/j.fcr.2021.108142</t>
  </si>
  <si>
    <r>
      <t>Zhang, Y., Dong, L., &amp; Shangguan, Z. (2023). Appropriate N addition improves soil aggregate stability through AMF and glomalin</t>
    </r>
    <r>
      <rPr>
        <b/>
        <sz val="10"/>
        <rFont val="等线"/>
        <charset val="134"/>
      </rPr>
      <t>‐</t>
    </r>
    <r>
      <rPr>
        <b/>
        <sz val="10"/>
        <rFont val="Arial"/>
        <charset val="134"/>
      </rPr>
      <t>related soil proteins in a semiarid agroecosystem. Land Degradation &amp; Development, 34(3), 710-722.</t>
    </r>
  </si>
  <si>
    <t>https://onlinelibrary.wiley.com/doi/full/10.1002/ldr.4488</t>
  </si>
  <si>
    <t>https://onlinelibrary.wiley.com/doi/full/10.1002/ldr.4489</t>
  </si>
  <si>
    <t>https://onlinelibrary.wiley.com/doi/full/10.1002/ldr.4490</t>
  </si>
  <si>
    <t>https://onlinelibrary.wiley.com/doi/full/10.1002/ldr.4491</t>
  </si>
  <si>
    <t>https://onlinelibrary.wiley.com/doi/full/10.1002/ldr.4492</t>
  </si>
  <si>
    <t>https://onlinelibrary.wiley.com/doi/full/10.1002/ldr.4493</t>
  </si>
  <si>
    <t>https://onlinelibrary.wiley.com/doi/full/10.1002/ldr.4494</t>
  </si>
  <si>
    <t>https://onlinelibrary.wiley.com/doi/full/10.1002/ldr.4495</t>
  </si>
  <si>
    <t>https://onlinelibrary.wiley.com/doi/full/10.1002/ldr.4496</t>
  </si>
  <si>
    <t>Alfaro-Leranoz, A., Emran, M., &amp; Badía-Villas, D. (2022). Evolución de la glomali tras la quema prescrita de matorral en suelos de alta montaña (Pirineo Central, NE-España). Revista de Ciências Agrárias, 45(4), 477-481.</t>
  </si>
  <si>
    <t>Long-term N addition reduced the diversity of Arbuscular mycorrhizal fungi and understory herb of the Korean pine plantation in northern Chi (authorea.com)</t>
  </si>
  <si>
    <t>Wang, W., Feng, Y., Wu, R., Wang, X., He, X., Zhang, M., ... &amp; Song, F. (2023). Long-term N addition reduced the diversity of Arbuscular mycorrhizal fungi and understory herb of the Korean pine plantation in northern Chi. Frontiers in Ecology and Evolution, 11, 1192267.</t>
  </si>
  <si>
    <t>DOI:10.19336/j.cnki.trtb.2011.03.012</t>
  </si>
  <si>
    <t>Glomalin-related soil protein affects soil aggregation and recovery of soil nutrient following tural revegetation on the Loess Plateau - ScienceDirect</t>
  </si>
  <si>
    <t>Liu, H., Wang, X., Liang, C., Ai, Z., Wu, Y., Xu, H., ... &amp; Liu, G. (2020). Glomalin-related soil protein affects soil aggregation and recovery of soil nutrient following tural revegetation on the Loess Plateau. Geoderma, 357, 113921.</t>
  </si>
  <si>
    <t>Seasol evolution of soil organic matter, glomalin and enzymes and potential for C storage after land abandonment and returalization processes in soils of NE Spain - ScienceDirect</t>
  </si>
  <si>
    <t>Gispert, M., Pardini, G., Emran, M., Doni, S., &amp; Masciandaro, G. (2018). Seasol evolution of soil organic matter, glomalin and enzymes and potential for C storage after land abandonment and returalization processes in soils of NE Spain. Cate, 162, 402-413.</t>
  </si>
  <si>
    <t>SciELO - Brazil - Edaphic properties in a eucalyptusforest ecotone in the Nova Baden State Park, Southeastern Brazil Edaphic properties in a eucalyptusforest ecotone in the Nova Baden State Park, Southeastern Brazil</t>
  </si>
  <si>
    <t>Fonseca Júnior, A. M., Pinto, L. A. S. R., Silva, C. F. D., Ferreira, R., Morais, I. D. S., Camara, R., ... &amp; Pereira, M. G. (2023). Edaphic properties in a eucalyptusforest ecotone in the Nova Baden State Park, Southeastern Brazil. Revista Brasileira de Ciência do Solo, 47, e0230074.</t>
  </si>
  <si>
    <t>Biotic relationships to aggregation in a Vertisol under long-term no-till, stubble retention and nitrogen fertilisation - ScienceDirect</t>
  </si>
  <si>
    <t>Daroch R K, Dang Y P, McKen B, et al. Biotic relationships to aggregation in a Vertisol under long-term no-till, stubble retention and nitrogen fertilisation[J]. Applied Soil Ecology, 2024, 195: 105260.</t>
  </si>
  <si>
    <t>Field</t>
  </si>
  <si>
    <t>Description</t>
  </si>
  <si>
    <t>Mean annual temperature (℃)</t>
  </si>
  <si>
    <t>Mean annual precipitation (mm)</t>
  </si>
  <si>
    <r>
      <t>eCO</t>
    </r>
    <r>
      <rPr>
        <vertAlign val="subscript"/>
        <sz val="14"/>
        <color theme="1"/>
        <rFont val="Arial"/>
        <charset val="134"/>
      </rPr>
      <t>2</t>
    </r>
  </si>
  <si>
    <t>elevated carbon dioxide</t>
  </si>
  <si>
    <t>Nitrogen addition</t>
  </si>
  <si>
    <t>phosphorus addition</t>
  </si>
  <si>
    <t>Nitrogen and phosphorus mixed addition</t>
  </si>
  <si>
    <t>Forest to farmland</t>
  </si>
  <si>
    <t>F-Gras</t>
  </si>
  <si>
    <t>Forest to grassland</t>
  </si>
  <si>
    <t>Forest to secondary forest</t>
  </si>
  <si>
    <t>Forest to bareland</t>
  </si>
  <si>
    <t>Forest to shurb</t>
  </si>
  <si>
    <t>Grassland to farmland</t>
  </si>
  <si>
    <t>Soil sample depth (cm)</t>
  </si>
  <si>
    <t>GRSP</t>
  </si>
  <si>
    <t>Glomalin-related soil protein</t>
  </si>
  <si>
    <t>T-GRSP</t>
  </si>
  <si>
    <t>total GRSP</t>
  </si>
  <si>
    <t>EE-GRSP</t>
  </si>
  <si>
    <t>easily extractable GRSP</t>
  </si>
  <si>
    <t>SOC</t>
  </si>
  <si>
    <t>Soil organic carbon</t>
  </si>
  <si>
    <t>TN</t>
  </si>
  <si>
    <t>Total nitrogen</t>
  </si>
  <si>
    <t>C:N</t>
  </si>
  <si>
    <t>Carbon nitrogen ratio</t>
  </si>
  <si>
    <t>TP</t>
  </si>
  <si>
    <t>Total phosphorus</t>
  </si>
  <si>
    <t>DOC</t>
  </si>
  <si>
    <t>dissolved organic C</t>
  </si>
  <si>
    <t>MBC</t>
  </si>
  <si>
    <t>microbial C</t>
  </si>
  <si>
    <t>MWD</t>
  </si>
  <si>
    <t>mean weight diameter</t>
  </si>
  <si>
    <t>Soil_BD</t>
  </si>
  <si>
    <t>soil bulk density</t>
  </si>
  <si>
    <t>AMF</t>
  </si>
  <si>
    <t>arbuscular mycorrhizal fungi</t>
  </si>
  <si>
    <t>yi</t>
  </si>
  <si>
    <t>Response ratio</t>
  </si>
  <si>
    <t>vi</t>
  </si>
  <si>
    <t>Variances of target variable</t>
  </si>
  <si>
    <t>References</t>
  </si>
  <si>
    <t>Zhu F, Zhao Q H, Deng W G, Chen M Z. (2010). Relationships among gbmalin related soil protein, soc and soil texture under different land use types. Agricultural Science &amp; Technology, 11(05), 82-86. DOI:10.16175/j.cnki.1009-4229.2010.05.011.</t>
  </si>
  <si>
    <t>Huang, B., Xing, Y, J., Yan, G, Y., Wang, Q, G. (2019). Response of GRSP Content to Interannual Simulated Nitrogen Deposition in Larix gmelinii Forest in Greater Khingan Mountains[J]. Ecology and Environmental Sciences, 28(3): 446-454. DOI: 10.16258/j.cnki.1674-5906.2019.03.003</t>
  </si>
  <si>
    <t>Shen, Y, Y., Teng, Q, M., Xu, G, P., Sun, Y, J., Zhang, D, N., Mou, Z, Y., Zhou, L, W. (2022). Effects of Land Use Type on Distribution of Glomalin-related Soil Protein in the Huixian Karst Wetland, Guilin. Acta geologica sinica, 43(4), 491-501. DOI: 10.3975/cagsb.2022.012701</t>
  </si>
  <si>
    <t>Bhattacharyya, R., Bhatia, A., Chakrabarti, B., Saha, N. D., Pramanik, P., Ghosh, A., ... &amp; Singh, S. D. (2023). Elevated CO2 alters aggregate‑carbon and microbial community but does not affect total soil organic C in the semi-arid tropics. Applied Soil Ecology, 187, 104844.</t>
  </si>
  <si>
    <t>Chávez, D., Machuca, Á., Fuentes-Ramirez, A., Ferndez, N., &amp; Cornejo, P. (2020). Shifts in soil traits and arbuscular mycorrhizal symbiosis represent the conservation status of Araucaria arauca forests and the effects after fire events. Forest Ecology and Magement, 458, 117806.</t>
  </si>
  <si>
    <t>Du, J. F., Zhang, B., Xie, H. T., Wang, L. F., He, H. B., Zhang, X. D. (2011). The effect of Fertilization Treatments on the Concentration of GRSP[J]. Chinese Journal of Soil Science, 42(03):573-577. DOI: 10.19336/j.cnki.trtb.2011.03.012</t>
  </si>
  <si>
    <t>Emery, S. M., Reid, M. L., Bell‐Dereske, L., &amp; Gross, K. L. (2017). Soil mycorrhizal and nematode diversity vary in response to bioenergy crop identity and fertilization. Gcb Bioenergy, 9(11), 1644-1656.</t>
  </si>
  <si>
    <t>García‐Orenes, F., Roldán, A., Mataix‐Solera, J., Cerdà, A., Campoy, M., Arcenegui, V., &amp; Caravaca, F. (2012). Soil structural stability and erosion rates influenced by agricultural magement practices in a semi‐arid Mediterranean agro‐ecosystem. Soil Use and Magement, 28(4), 571-579.</t>
  </si>
  <si>
    <t>Ghosh, A., Bhattacharyya, R., Agarwal, B. K., Mahapatra, P., Shahi, D. K., Singh, G., ... &amp; Sharma, C. (2019). Long‐term fertilization effects on 13C tural abundance, soil aggregation, and deep soil organic carbon sequestration in an Alfisol. Land Degradation &amp; Development, 30(4), 391-405.</t>
  </si>
  <si>
    <t>Haile-Mariam S, Collins H P, Wright S, et al. Fractiotion and long‐term laboratory incubation to measure soil organic matter dymics[J]. Soil Science Society of America Jourl, 2008, 72(2): 370-380.</t>
  </si>
  <si>
    <t>Liu, H., Liang, C., Ai, Z., Zhang, J., Wu, Y., Xu, H., ... &amp; Liu, G. (2019). Plant‐mycorrhizae association affects plant diversity, biomass, and soil nutrients along temporal gradients of tural restoration after farmland abandonment in the Loess Plateau, Chi. Land Degradation &amp; Development, 30(14), 1677-1690.</t>
  </si>
  <si>
    <t>Lozano, E., Jiménez-Pinilla, P., Mataix-Solera, J., Arcenegui, V., &amp; Mataix-Beneyto, J. (2016). Sensitivity of glomalin-related soil protein to wildfires: Immediate and medium-term changes. Science of the Total Environment, 572, 1238-1243.</t>
  </si>
  <si>
    <t>Lucas-Borja, M. E., Ortega, R., Miralles, I., Plaza-Álvarez, P. A., González-Romero, J., Peña-Moli, E., ... &amp; De las Heras, J. (2020). Effects of wildfire and logging on soil functiolity in the short-term in Pinus halepensis M. forests. European Jourl of Forest Research, 139(6), 935-945.</t>
  </si>
  <si>
    <t>Lucas-Borja, M. E., Plaza-Álvarez, P. A., Ortega, R., Miralles, I., González-Romero, J., Sagra, J., ... &amp; de las Heras, J. (2020). Short-term changes in soil functiolity after wildfire and straw mulching in a Pinus halepensis M. forest. Forest Ecology and Magement, 457, 117700.</t>
  </si>
  <si>
    <t>Moura J B, Souza R F, Vieira-Júnior W G, et al. Effects of a megafire on the arbuscular mycorrhizal fungal community and parameters in the Brazilian Cerrado ecosystem[J]. Forest Systems, 2022, 31(1): e001-e001.</t>
  </si>
  <si>
    <t>Qiu L, Lin H, Song B, et al. Glomalin-related soil protein (GRSP) in metal sequestration at Pb/Zn-contamited sites[J]. Jourl of Soils and Sediments, 2022: 1-17.</t>
  </si>
  <si>
    <t>Rivas Y, Canseco M I, Knicker H, et al. Change in total glomalin content related to soil proteins after a wildfire in an Andisol of Araucaria arauca forests of south-central Chile[J]. Revista Bosque, 2016, 37(2): 409-417.</t>
  </si>
  <si>
    <t>Singh, A. K., Jiang, X. J., Yang, B., Li, H., Liu, W., &amp; Singh, N. (2021). Effect of root‐glomalin on soil carbon storage in trees' rhizosphere and interspace of a tropical dry forest. Land Degradation &amp; Development, 32(18), 5281-5291.</t>
  </si>
  <si>
    <t>Treseder, K. K., Mack, M. C., &amp; Cross, A. (2004). Relationships among fires, fungi, and soil dymics in Alaskan boreal forests. Ecological Applications, 14(6), 1826-1838.</t>
  </si>
  <si>
    <t>Vasconcellos, R. L., Bonfim, J. A., Baretta, D., &amp; Cardoso, E. J. (2016). Arbuscular mycorrhizal fungi and glomalin‐related soil protein as potential indicators of soil quality in a recuperation gradient of the Atlantic forest in Brazil. Land Degradation &amp; Development, 27(2), 325-334.</t>
  </si>
  <si>
    <t>Wilson, G. W., Rice, C. W., Rillig, M. C., Springer, A., &amp; Hartnett, D. C. (2009). Soil aggregation and carbon sequestration are tightly correlated with the abundance of arbuscular mycorrhizal fungi: results from long‐term field experiments. Ecology letters, 12(5), 452-461.</t>
  </si>
  <si>
    <t>Zhang J, Li J, Ma L, et al. Accumulation of glomalin‐related soil protein benefits soil carbon sequestration: Tropical coastal forest restoration experiences[J]. Land Degradation &amp; Development, 2022, 33(10): 1541-1551.</t>
  </si>
  <si>
    <t>Zhang, Y., Dong, L., &amp; Shangguan, Z. (2023). Appropriate N addition improves soil aggregate stability through AMF and glomalin‐related soil proteins in a semiarid agroecosystem. Land Degradation &amp; Development, 34(3), 710-722.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</si>
</sst>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0_ "/>
  </numFmts>
  <fonts count="30">
    <font>
      <sz val="11"/>
      <color theme="1"/>
      <name val="等线"/>
      <charset val="134"/>
      <scheme val="minor"/>
    </font>
    <font>
      <b/>
      <sz val="14"/>
      <color theme="1"/>
      <name val="Arial"/>
      <charset val="134"/>
    </font>
    <font>
      <sz val="14"/>
      <color theme="1"/>
      <name val="Arial"/>
      <charset val="134"/>
    </font>
    <font>
      <b/>
      <sz val="10"/>
      <name val="Arial"/>
      <charset val="134"/>
    </font>
    <font>
      <b/>
      <i/>
      <sz val="10"/>
      <name val="Arial"/>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vertAlign val="subscript"/>
      <sz val="14"/>
      <color theme="1"/>
      <name val="Arial"/>
      <charset val="134"/>
    </font>
    <font>
      <b/>
      <vertAlign val="subscript"/>
      <sz val="10"/>
      <name val="Arial"/>
      <charset val="134"/>
    </font>
    <font>
      <b/>
      <sz val="10"/>
      <name val="等线"/>
      <charset val="134"/>
    </font>
    <font>
      <b/>
      <sz val="10"/>
      <name val="Times New Roman"/>
      <charset val="134"/>
    </font>
    <font>
      <b/>
      <sz val="10"/>
      <name val="Times New Roman"/>
      <charset val="128"/>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0" fontId="0" fillId="0" borderId="0"/>
    <xf numFmtId="0" fontId="24" fillId="0" borderId="0"/>
    <xf numFmtId="0" fontId="24" fillId="0" borderId="0"/>
  </cellStyleXfs>
  <cellXfs count="51">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xf>
    <xf numFmtId="176" fontId="3" fillId="0" borderId="0" xfId="0" applyNumberFormat="1" applyFont="1" applyFill="1" applyBorder="1" applyAlignment="1">
      <alignment horizontal="center" vertical="center"/>
    </xf>
    <xf numFmtId="177" fontId="3" fillId="0" borderId="0" xfId="0" applyNumberFormat="1" applyFont="1" applyFill="1" applyBorder="1" applyAlignment="1">
      <alignment horizontal="center" vertical="center"/>
    </xf>
    <xf numFmtId="178" fontId="3" fillId="0" borderId="0" xfId="0" applyNumberFormat="1" applyFont="1" applyFill="1" applyBorder="1" applyAlignment="1">
      <alignment horizontal="center" vertical="center"/>
    </xf>
    <xf numFmtId="178"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xf>
    <xf numFmtId="176" fontId="4" fillId="0" borderId="0" xfId="0" applyNumberFormat="1" applyFont="1" applyFill="1" applyBorder="1" applyAlignment="1">
      <alignment horizontal="center" vertical="center" wrapText="1"/>
    </xf>
    <xf numFmtId="176" fontId="4" fillId="0" borderId="0" xfId="0" applyNumberFormat="1" applyFont="1" applyFill="1" applyBorder="1" applyAlignment="1">
      <alignment horizontal="center" vertical="center" wrapText="1"/>
    </xf>
    <xf numFmtId="176" fontId="4" fillId="0" borderId="0" xfId="0" applyNumberFormat="1" applyFont="1" applyFill="1" applyBorder="1" applyAlignment="1">
      <alignment horizontal="center" vertical="center" wrapText="1"/>
    </xf>
    <xf numFmtId="177" fontId="4"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6" applyFont="1" applyFill="1" applyBorder="1" applyAlignment="1">
      <alignment horizontal="center" vertical="center"/>
    </xf>
    <xf numFmtId="176" fontId="3" fillId="0" borderId="0" xfId="0" applyNumberFormat="1" applyFont="1" applyFill="1" applyBorder="1" applyAlignment="1">
      <alignment horizontal="center" vertical="center"/>
    </xf>
    <xf numFmtId="177"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178" fontId="3" fillId="0" borderId="0" xfId="0" applyNumberFormat="1" applyFont="1" applyFill="1" applyBorder="1" applyAlignment="1">
      <alignment horizontal="center" vertical="center"/>
    </xf>
    <xf numFmtId="0" fontId="3" fillId="0" borderId="0" xfId="6" applyFont="1" applyFill="1" applyBorder="1" applyAlignment="1">
      <alignment horizontal="center" vertical="center"/>
    </xf>
    <xf numFmtId="178" fontId="3" fillId="0" borderId="0" xfId="0" applyNumberFormat="1" applyFont="1" applyFill="1" applyBorder="1" applyAlignment="1">
      <alignment horizontal="center" vertical="center"/>
    </xf>
    <xf numFmtId="176" fontId="3" fillId="0" borderId="0" xfId="0" applyNumberFormat="1" applyFont="1" applyFill="1" applyBorder="1" applyAlignment="1">
      <alignment horizontal="center" vertical="center"/>
    </xf>
    <xf numFmtId="177" fontId="3"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176" fontId="3" fillId="0" borderId="0" xfId="0" applyNumberFormat="1" applyFont="1" applyFill="1" applyBorder="1" applyAlignment="1">
      <alignment horizontal="center" vertical="center"/>
    </xf>
    <xf numFmtId="49" fontId="3" fillId="0" borderId="0" xfId="0" applyNumberFormat="1" applyFont="1" applyFill="1" applyBorder="1" applyAlignment="1">
      <alignment horizontal="center" vertical="center"/>
    </xf>
    <xf numFmtId="176" fontId="4" fillId="0" borderId="0" xfId="0" applyNumberFormat="1" applyFont="1" applyFill="1" applyBorder="1" applyAlignment="1">
      <alignment horizontal="center" vertical="center" wrapText="1"/>
    </xf>
    <xf numFmtId="177" fontId="4" fillId="0" borderId="0" xfId="0" applyNumberFormat="1" applyFont="1" applyFill="1" applyBorder="1" applyAlignment="1">
      <alignment horizontal="center" vertical="center"/>
    </xf>
    <xf numFmtId="178" fontId="3" fillId="0" borderId="0" xfId="0" applyNumberFormat="1" applyFont="1" applyFill="1" applyBorder="1" applyAlignment="1">
      <alignment horizontal="center" vertical="center"/>
    </xf>
    <xf numFmtId="177"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NumberFormat="1" applyFont="1" applyFill="1" applyBorder="1" applyAlignment="1">
      <alignment horizontal="center" vertical="center"/>
    </xf>
    <xf numFmtId="0" fontId="3" fillId="0" borderId="0" xfId="50" applyFont="1" applyFill="1" applyBorder="1" applyAlignment="1">
      <alignment horizontal="center" vertical="center"/>
    </xf>
    <xf numFmtId="178" fontId="3" fillId="0" borderId="0" xfId="0" applyNumberFormat="1" applyFont="1" applyFill="1" applyBorder="1" applyAlignment="1" applyProtection="1">
      <alignment horizontal="center" vertical="center"/>
      <protection locked="0"/>
    </xf>
    <xf numFmtId="176" fontId="3" fillId="0" borderId="0" xfId="0" applyNumberFormat="1" applyFont="1" applyFill="1" applyBorder="1" applyAlignment="1" applyProtection="1">
      <alignment horizontal="center" vertical="center"/>
      <protection locked="0"/>
    </xf>
    <xf numFmtId="177"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lignment horizontal="center" vertical="center" wrapText="1"/>
    </xf>
    <xf numFmtId="0" fontId="3" fillId="0" borderId="0" xfId="0" applyFont="1" applyFill="1" applyBorder="1" applyAlignment="1" applyProtection="1">
      <alignment horizontal="center" vertical="center"/>
      <protection locked="0"/>
    </xf>
    <xf numFmtId="0" fontId="3" fillId="0" borderId="0" xfId="49" applyFont="1" applyFill="1" applyBorder="1" applyAlignment="1">
      <alignment horizontal="center" vertical="center"/>
    </xf>
    <xf numFmtId="0" fontId="3" fillId="0" borderId="0" xfId="0" applyFont="1" applyFill="1" applyBorder="1" applyAlignment="1" applyProtection="1">
      <alignment horizontal="center" vertical="center"/>
      <protection locked="0"/>
    </xf>
    <xf numFmtId="178"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lignment horizontal="center" vertical="center" wrapText="1"/>
    </xf>
    <xf numFmtId="0" fontId="3" fillId="0" borderId="0" xfId="49" applyFont="1" applyFill="1" applyBorder="1" applyAlignment="1">
      <alignment horizontal="center" vertical="center"/>
    </xf>
    <xf numFmtId="0" fontId="3" fillId="0" borderId="0" xfId="6" applyFont="1" applyFill="1" applyBorder="1" applyAlignment="1">
      <alignment horizontal="center" vertical="center"/>
    </xf>
    <xf numFmtId="0" fontId="3" fillId="0" borderId="0" xfId="0" applyFont="1" applyFill="1" applyBorder="1" applyAlignment="1">
      <alignment horizontal="center" vertical="center"/>
    </xf>
    <xf numFmtId="177" fontId="3" fillId="0" borderId="0" xfId="0" applyNumberFormat="1" applyFont="1" applyFill="1" applyBorder="1" applyAlignment="1">
      <alignment horizontal="center"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_碳氮磷" xfId="51"/>
    <cellStyle name="常规_微生物量"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'#REF'!#REF!</c:f>
              <c:strCache>
                <c:ptCount val="1"/>
                <c:pt idx="0">
                  <c:v/>
                </c:pt>
              </c:strCache>
            </c:strRef>
          </c:tx>
          <c:spPr/>
          <c:explosion val="0"/>
          <c:dPt>
            <c:idx val="0"/>
            <c:bubble3D val="0"/>
            <c:spPr>
              <a:solidFill>
                <a:schemeClr val="accent1"/>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References!$A$2:$A$138</c:f>
              <c:strCache>
                <c:ptCount val="137"/>
                <c:pt idx="0">
                  <c:v>Zhu F, Zhao Q H, Deng W G, Chen M Z. (2010). Relationships among gbmalin related soil protein, soc and soil texture under different land use types. Agricultural Science &amp; Technology, 11(05), 82-86. DOI:10.16175/j.cnki.1009-4229.2010.05.011.</c:v>
                </c:pt>
                <c:pt idx="1">
                  <c:v>Huang, B., Xing, Y, J., Yan, G, Y., Wang, Q, G. (2019). Response of GRSP Content to Interannual Simulated Nitrogen Deposition in Larix gmelinii Forest in Greater Khingan Mountains[J]. Ecology and Environmental Sciences, 28(3): 446-454. DOI: 10.16258/j.cnki.1674-5906.2019.03.003</c:v>
                </c:pt>
                <c:pt idx="2">
                  <c:v>Shen, Y, Y., Teng, Q, M., Xu, G, P., Sun, Y, J., Zhang, D, N., Mou, Z, Y., Zhou, L, W. (2022). Effects of Land Use Type on Distribution of Glomalin-related Soil Protein in the Huixian Karst Wetland, Guilin. Acta geologica sinica, 43(4), 491-501. DOI: 10.3975/cagsb.2022.012701</c:v>
                </c:pt>
                <c:pt idx="3">
                  <c:v>Abán C L, Verdenelli R, Gil S V, et al. Service crops improve a degraded monoculture system by changing common bean rhizospheric soil microbiota and reducing soil-borne fungal diseases[J]. FEMS Microbiology Ecology, 2021, 97(2): fiaa259.</c:v>
                </c:pt>
                <c:pt idx="4">
                  <c:v>Akensous, F. Z., Anli, M., Boutasknit, A., Ben-Laouane, R., Ait-Rahou, Y., Ahmed, H. B., ... &amp; Meddich, A. (2022). Boosting date palm (Phoenix dactylifera L.) growth under drought stress: Effects of innovative biostimulants. Gesunde Pflanzen, 74(4), 961-982.</c:v>
                </c:pt>
                <c:pt idx="5">
                  <c:v>Alfaro-Leranoz, A., Emran, M., &amp; Badía-Villas, D. (2022). Evolución de la glomali tras la quema prescrita de matorral en suelos de alta montaña (Pirineo Central, NE-España). Revista de Ciências Agrárias, 45(4), 477-481.</c:v>
                </c:pt>
                <c:pt idx="6">
                  <c:v>Antibus R K, Lauber C, Sinsabaugh R L, et al. Responses of Bradford-reactive soil protein to experimental nitrogen addition in three forest communities in northern lower Michigan[J]. Plant and soil, 2006, 288: 173-188.</c:v>
                </c:pt>
                <c:pt idx="7">
                  <c:v>Aranguren R, Cañón J. Assessing differential land use impacts on soil quality: A method based on log-response ratios and polygol projections[J]. Jourl of Environmental Magement, 2023, 348: 119442.</c:v>
                </c:pt>
                <c:pt idx="8">
                  <c:v>Balík, J., Kulhánek, M., Černý, J., Sedlář, O., Suran, P., &amp; Asrade, D. A. (2022). The influence of organic and mineral fertilizers on the quality of soil organic matter and glomalin content. Agronomy, 12(6), 1375.</c:v>
                </c:pt>
                <c:pt idx="9">
                  <c:v>Balík, J., Kulhánek, M., Černý, J., Sedlář, O., Suran, P., Procházková, S., &amp; Asrade, D. A. (2022). The impact of the long-term application of mineral nitrogen and sewage sludge fertilizers on the quality of soil organic matter. Chemical and Biological Technologies in Agriculture, 9(1), 1-11.</c:v>
                </c:pt>
                <c:pt idx="10">
                  <c:v>Balík, J., Sedlář, O., Kulhánek, M., Černý, J., Smatanová, M., &amp; Suran, P. (2020). Effect of organic fertilisers on glomalin content and soil organic matter quality. Plant, Soil and Environment, 66(11), 590-597.</c:v>
                </c:pt>
                <c:pt idx="11">
                  <c:v>Banegas N, Dos Santos D A, Guerrero Moli F, et al. Glomalin contribution to soil organic carbon under different pasture magements in a saline soil environment[J]. Archives of Agronomy and Soil Science, 2022, 68(3): 340-354.</c:v>
                </c:pt>
                <c:pt idx="12">
                  <c:v>Bansal, S., Chakraborty, P., &amp; Kumar, S. (2022). Crop–livestock integration enhanced soil aggregate-associated carbon and nitrogen, and phospholipid fatty acid. Scientific Reports, 12(1), 2781.</c:v>
                </c:pt>
                <c:pt idx="13">
                  <c:v>Baum, C., Amm, T., Kahle, P., &amp; Weih, M. (2020). Fertilization effects on soil ecology strongly depend on the genotype in a willow (Salix spp.) plantation. Forest Ecology and Magement, 466, 118126.</c:v>
                </c:pt>
                <c:pt idx="14">
                  <c:v>Bedini, S., Avio, L., Argese, E., &amp; Giovannetti, M. (2007). Effects of long-term land use on arbuscular mycorrhizal fungi and glomalin-related soil protein. Agriculture, ecosystems &amp; environment, 120(2-4), 463-466.</c:v>
                </c:pt>
                <c:pt idx="15">
                  <c:v>Beffari, W., Boutasknit, A., Anli, M., Ait-El-Mokhtar, M., Ait-Rahou, Y., Ben-Laouane, R., ... &amp; Meddich, A. (2022). The tive arbuscular mycorrhizal fungi and vermicompost-based organic amendments enhance soil fertility, growth performance, and the drought stress tolerance of quinoa. Plants, 11(3), 393.</c:v>
                </c:pt>
                <c:pt idx="16">
                  <c:v>Beutler, S. J., Pereira, M. G., Loss, A., Perin, A., &amp; SILVA, C. F. D. (2016). Edaphic attributes of a crop-livestock integration system in the Cerrado Biome. Revista Caatinga, 29, 892-900.</c:v>
                </c:pt>
                <c:pt idx="17">
                  <c:v>Bhattacharyya, R., Bhatia, A., Chakrabarti, B., Saha, N. D., Pramanik, P., Ghosh, A., ... &amp; Singh, S. D. (2023). Elevated CO2 alters aggregate‑carbon and microbial community but does not affect total soil organic C in the semi-arid tropics. Applied Soil Ecology, 187, 104844.</c:v>
                </c:pt>
                <c:pt idx="18">
                  <c:v>Bonfim, J. A., Vasconcellos, R. L. F., Stürmer, S. L., &amp; Cardoso, E. J. B. N. (2013). Arbuscular mycorrhizal fungi in the Brazilian Atlantic forest: A gradient of environmental restoration. Applied Soil Ecology, 71, 7-14.</c:v>
                </c:pt>
                <c:pt idx="19">
                  <c:v>Cai, L., Yang, Y., Chong, Y., Xiong, J., Wu, J., Ai, X., ... &amp; Li, Z. (2022). Higher Soil Aggregate Stability in Subtropical Coniferous Plantations Than tural Forests Due to Microbial and Aggregate Factors. Forests, 13(12), 2110.</c:v>
                </c:pt>
                <c:pt idx="20">
                  <c:v>Carneiro, M. A. C., Ferreira, D. A., Souza, E. D. D., Paulino, H. B., Junior, O. J. S., &amp; Siqueira, J. O. (2015). Arbuscular mycorrhizal fungi in soil aggregates from fields of" murundus" converted to agriculture. Pesquisa Agropecuária Brasileira, 50, 313-321.</c:v>
                </c:pt>
                <c:pt idx="21">
                  <c:v>Chávez, D., Machuca, Á., Fuentes-Ramirez, A., Ferndez, N., &amp; Cornejo, P. (2020). Shifts in soil traits and arbuscular mycorrhizal symbiosis represent the conservation status of Araucaria arauca forests and the effects after fire events. Forest Ecology and Magement, 458, 117806.</c:v>
                </c:pt>
                <c:pt idx="22">
                  <c:v>Chen, Z., Zhou, X., Geng, S., Miao, Y., Cao, Y., Chen, Z., ... &amp; Han, S. (2019). Interactive effect of nitrogen addition and throughfall reduction decreases soil aggregate stability through reducing biological binding agents. Forest Ecology and Magement, 445, 13-19.</c:v>
                </c:pt>
                <c:pt idx="23">
                  <c:v>Choudhary M, Mee V S, Panday S C, et al. Long-term effects of organic manure and inorganic fertilization on biological soil quality indicators of soybean-wheat rotation in the Indian mid-Himalaya[J]. Applied Soil Ecology, 2021, 157: 103754.</c:v>
                </c:pt>
                <c:pt idx="24">
                  <c:v>Cissé, G., Essi, M., Kedi, B., Mollier, A., &amp; Staunton, S. (2021). Contrasting effects of long term phosphorus fertilization on glomalin-related soil protein (GRSP). European Jourl of Soil Biology, 107, 103363.</c:v>
                </c:pt>
                <c:pt idx="25">
                  <c:v>da Silva, C. F., Pereira, M. G., dos Santos, V. L., Miguel, D. L., &amp; da Silva, E. M. R. (2016). Arbuscular mycorrhizal fungi: composition, lenght extraradical mycelium and glomalin in areas of Atlantic forest, Rio de Janeiro. Ciência Florestal, 26(2), 419-433.</c:v>
                </c:pt>
                <c:pt idx="26">
                  <c:v>Dai, J., Hu, J., Lin, X., Yang, A., Wang, R., Zhang, J., &amp; Wong, M. H. (2013). Arbuscular mycorrhizal fungal diversity, exterl mycelium length, and glomalin-related soil protein content in response to long-term fertilizer magement. Jourl of Soils and Sediments, 13(1), 1-11.</c:v>
                </c:pt>
                <c:pt idx="27">
                  <c:v>Daroch R K, Dang Y P, McKen B, et al. Biotic relationships to aggregation in a Vertisol under long-term no-till, stubble retention and nitrogen fertilisation[J]. Applied Soil Ecology, 2024, 195: 105260.</c:v>
                </c:pt>
                <c:pt idx="28">
                  <c:v>de Figueiredo, C. C., Farias, W. M., Coser, T. R., de Paula, A. M., Da Silva, M. R. S., &amp; Paz-Ferreiro, J. (2019). Sewage sludge biochar alters root colonization of mycorrhizal fungi in a soil cultivated with corn. European Jourl of Soil Biology, 93, 103092.</c:v>
                </c:pt>
                <c:pt idx="29">
                  <c:v>de Oliveira Santos T, Fracetto F J C, de Souza Júnior V S, et al. Carbon and nitrogen stocks and microbial indicators in tropical semiarid degraded Luvisols[J]. Cate, 2022, 210: 105885.</c:v>
                </c:pt>
                <c:pt idx="30">
                  <c:v>De Souza, R. G., Da Silva, D. K. A., De Mello, C. M. A., Goto, B. T., Da Silva, F. S. B., Sampaio, E. V. S. B., &amp; Maia, L. C. (2013). Arbuscular mycorrhizal fungi in revegetated mined dunes. Land Degradation &amp; Development, 24(2), 147-155.</c:v>
                </c:pt>
                <c:pt idx="31">
                  <c:v>del Mar Alguacil M, Lozano Z, Campoy M J, et al. Phosphorus fertilisation magement modifies the biodiversity of AM fungi in a tropical savan forage system[J]. Soil Biology and Biochemistry, 2010, 42(7): 1114-1122.</c:v>
                </c:pt>
                <c:pt idx="32">
                  <c:v>Du, J. F., Zhang, B., Xie, H. T., Wang, L. F., He, H. B., Zhang, X. D. (2011). The effect of Fertilization Treatments on the Concentration of GRSP[J]. Chinese Journal of Soil Science, 42(03):573-577. DOI: 10.19336/j.cnki.trtb.2011.03.012</c:v>
                </c:pt>
                <c:pt idx="33">
                  <c:v>Dong, J., Jiang, Y., Lyu, M., Cao, C., Li, X., Xiong, X., ... &amp; Xie, J. (2023). Drought changes the trade-off strategy of root and arbuscular mycorrhizal fungi growth in a subtropical Chinese fir plantation. Forests, 14(1), 114.</c:v>
                </c:pt>
                <c:pt idx="34">
                  <c:v>Dong, X., Zhao, K., Wang, J., Gui, H., Xiao, Y., Chen, Z., ... &amp; Han, S. (2023). Effects of forest types on soil carbon content in aggregate faction under climate transition zone. Frontiers in Environmental Science, 10, 1052175.</c:v>
                </c:pt>
                <c:pt idx="35">
                  <c:v>Emery, S. M., Reid, M. L., Bell‐Dereske, L., &amp; Gross, K. L. (2017). Soil mycorrhizal and nematode diversity vary in response to bioenergy crop identity and fertilization. Gcb Bioenergy, 9(11), 1644-1656.</c:v>
                </c:pt>
                <c:pt idx="36">
                  <c:v>Fonseca Júnior, A. M., Pinto, L. A. S. R., Silva, C. F. D., Ferreira, R., Morais, I. D. S., Camara, R., ... &amp; Pereira, M. G. (2023). Edaphic properties in a eucalyptusforest ecotone in the Nova Baden State Park, Southeastern Brazil. Revista Brasileira de Ciência do Solo, 47, e0230074.</c:v>
                </c:pt>
                <c:pt idx="37">
                  <c:v>Garcia M O, Ovasapyan T, Greas M, et al. Mycorrhizal dymics under elevated CO 2 and nitrogen fertilization in a warm temperate forest[J]. Plant and Soil, 2008, 303: 301-310.</c:v>
                </c:pt>
                <c:pt idx="38">
                  <c:v>García‐Orenes, F., Roldán, A., Mataix‐Solera, J., Cerdà, A., Campoy, M., Arcenegui, V., &amp; Caravaca, F. (2012). Soil structural stability and erosion rates influenced by agricultural magement practices in a semi‐arid Mediterranean agro‐ecosystem. Soil Use and Magement, 28(4), 571-579.</c:v>
                </c:pt>
                <c:pt idx="39">
                  <c:v>Ghosh, A., Bhattacharyya, R., Agarwal, B. K., Mahapatra, P., Shahi, D. K., Singh, G., ... &amp; Sharma, C. (2019). Long‐term fertilization effects on 13C tural abundance, soil aggregation, and deep soil organic carbon sequestration in an Alfisol. Land Degradation &amp; Development, 30(4), 391-405.</c:v>
                </c:pt>
                <c:pt idx="40">
                  <c:v>Ghosh, A., Bhattacharyya, R., Mee, M. C., Dwivedi, B. S., Singh, G., Agnihotri, R., &amp; Sharma, C. (2018). Long-term fertilization effects on soil organic carbon sequestration in an Inceptisol. Soil and Tillage Research, 177, 134-144.</c:v>
                </c:pt>
                <c:pt idx="41">
                  <c:v>Gispert, M., Pardini, G., Emran, M., Doni, S., &amp; Masciandaro, G. (2018). Seasol evolution of soil organic matter, glomalin and enzymes and potential for C storage after land abandonment and returalization processes in soils of NE Spain. Cate, 162, 402-413.</c:v>
                </c:pt>
                <c:pt idx="42">
                  <c:v>Gispert, M., Phang, C., &amp; Carrasco-Barea, L. (2020). The role of soil as a carbon sink in coastal salt-marsh and agropastoral systems at La Pletera, NE Spain. Cate, 185, 104331.</c:v>
                </c:pt>
                <c:pt idx="43">
                  <c:v>Guo, Z. C., Zhang, Z. B., Zhou, H., Rahman, M. T., Wang, D. Z., Guo, X. S., ... &amp; Peng, X. H. (2018). Long-term animal manure application promoted biological binding agents but not soil aggregation in a Vertisol. Soil and Tillage Research, 180, 232-237.</c:v>
                </c:pt>
                <c:pt idx="44">
                  <c:v>Guo, Z., Zhang, J., Fan, J., Yang, X., Yi, Y., Han, X., ... &amp; Peng, X. (2019). Does animal manure application improve soil aggregation? Insights from nine long-term fertilization experiments. Science of the Total Environment, 660, 1029-1037.</c:v>
                </c:pt>
                <c:pt idx="45">
                  <c:v>Haile-Mariam S, Collins H P, Wright S, et al. Fractiotion and long‐term laboratory incubation to measure soil organic matter dymics[J]. Soil Science Society of America Jourl, 2008, 72(2): 370-380.</c:v>
                </c:pt>
                <c:pt idx="46">
                  <c:v>Hu, W., Jiao, Z., Wu, F., Liu, Y., Dong, M., Ma, X., ... &amp; Feng, H. (2014). Long-term effects of fertilizer on soil enzymatic activity of wheat field soil in Loess Plateau, Chi. Ecotoxicology, 23(10), 2069-2080.</c:v>
                </c:pt>
                <c:pt idx="47">
                  <c:v>Huang, B., Yan, G., Liu, G., Sun, X., Wang, X., Xing, Y., &amp; Wang, Q. (2022). Effects of long-term nitrogen addition and precipitation reduction on glomalin-related soil protein and soil aggregate stability in a temperate forest. Cate, 214, 106284.</c:v>
                </c:pt>
                <c:pt idx="48">
                  <c:v>Islas, A. T., Guijarro, K. H., Eyherabide, M., Rozas, H. S., Echeverria, H. E., &amp; Covacevich, F. (2016). Can soil properties and agricultural land use affect arbuscular mycorrhizal fungal communities indigenous from the Argentinean Pampas soils?. Applied Soil Ecology, 101, 47-56.</c:v>
                </c:pt>
                <c:pt idx="49">
                  <c:v>Jha, P., Hati, K. M., Dalal, R. C., Dang, Y. P., Kopittke, P. M., McKen, B. A., &amp; Menzies, N. W. (2022). Effect of 50 years of No-tillage, stubble retention, and nitrogen fertilization on soil respiration, easily extractable glomalin, and nitrogen mineralization. Agronomy, 12(1), 151.</c:v>
                </c:pt>
                <c:pt idx="50">
                  <c:v>Jia, S., Liu, X., Lin, W., Zheng, Y., Li, J., Hui, D., &amp; Guo, J. (2022). Decreased glomalin-related soil protein with nitrogen deposition in a 3-year-old Cunninghamia lanceolata plantation. Jourl of Soils and Sediments, 1-11.</c:v>
                </c:pt>
                <c:pt idx="51">
                  <c:v>Karami, Z., Sharifi, Z., &amp; Renella, G. (2023). Determining the Most Sensitive Indicators of Soil Carbon Transformation to the Land-Use Change from Intact Rangeland to Cropland, Western Iran. Intertiol Jourl of Environmental Research, 17(3), 37.</c:v>
                </c:pt>
                <c:pt idx="52">
                  <c:v>Kumar, S., Singh, A. K., &amp; Ghosh, P. (2018). Distribution of soil organic carbon and glomalin related soil protein in reclaimed coal mine-land chronosequence under tropical condition. Science of the Total Environment, 625, 1341-1350.</c:v>
                </c:pt>
                <c:pt idx="53">
                  <c:v>LI Shanjia,WANG Junqiang,**,SHI Zhiguo,ZHAO Xu &amp; LI Yanrong.Effect of different base fertilizer treatments on maize soil enzyme activity and glomalin-related protein[J].Chinese Jourl of Applied &amp; Environmental Biology,2017,23(02):357-363.doi:10.3724/SP.J.1145.2016.04045</c:v>
                </c:pt>
                <c:pt idx="54">
                  <c:v>Li, T., Yuan, Y., Mou, Z., Li, Y., Kuang, L., Zhang, J., ... &amp; Liu, Z. (2023). Faster accumulation and greater contribution of glomalin to the soil organic carbon pool than amino sugars do under tropical coastal forest restoration. Global Change Biology, 29(2), 533-546.</c:v>
                </c:pt>
                <c:pt idx="55">
                  <c:v>Liang, G., Cai, A., Wu, H., Wu, X., Houssou, A. A., Ren, C., ... &amp; Cai, D. (2019). Soil biochemical parameters in the rhizosphere contribute more to changes in soil respiration and its components than those in the bulk soil under nitrogen application in croplands. Plant and Soil, 435(1), 111-125.</c:v>
                </c:pt>
                <c:pt idx="56">
                  <c:v>Liang, G., Houssou, A. A., Wu, H., Cai, D., Wu, X., Gao, L., ... &amp; Li, S. (2015). Seasol patterns of soil respiration and related soil biochemical properties under nitrogen addition in winter wheat field. PLoS One, 10(12), e0144115.</c:v>
                </c:pt>
                <c:pt idx="57">
                  <c:v>Liu, H., Liang, C., Ai, Z., Zhang, J., Wu, Y., Xu, H., ... &amp; Liu, G. (2019). Plant‐mycorrhizae association affects plant diversity, biomass, and soil nutrients along temporal gradients of tural restoration after farmland abandonment in the Loess Plateau, Chi. Land Degradation &amp; Development, 30(14), 1677-1690.</c:v>
                </c:pt>
                <c:pt idx="58">
                  <c:v>Liu, H., Wang, X., Liang, C., Ai, Z., Wu, Y., Xu, H., ... &amp; Liu, G. (2020). Glomalin-related soil protein affects soil aggregation and recovery of soil nutrient following tural revegetation on the Loess Plateau. Geoderma, 357, 113921.</c:v>
                </c:pt>
                <c:pt idx="59">
                  <c:v>Lopes Leal, P., Varón-López, M., Gonçalves de Oliveira Prado, I., Valentim dos Santos, J., Fonsêca Sousa Soares, C. R., Siqueira, J. O., &amp; de Souza Moreira, F. M. (2016). Enrichment of arbuscular mycorrhizal fungi in a contamited soil after rehabilitation. brazilian jourl of microbiology, 47, 853-862.</c:v>
                </c:pt>
                <c:pt idx="60">
                  <c:v>Lozano, E., Jiménez-Pinilla, P., Mataix-Solera, J., Arcenegui, V., &amp; Mataix-Beneyto, J. (2016). Sensitivity of glomalin-related soil protein to wildfires: Immediate and medium-term changes. Science of the Total Environment, 572, 1238-1243.</c:v>
                </c:pt>
                <c:pt idx="61">
                  <c:v>Lucas-Borja, M. E., Ortega, R., Miralles, I., Plaza-Álvarez, P. A., González-Romero, J., Peña-Moli, E., ... &amp; De las Heras, J. (2020). Effects of wildfire and logging on soil functiolity in the short-term in Pinus halepensis M. forests. European Jourl of Forest Research, 139(6), 935-945.</c:v>
                </c:pt>
                <c:pt idx="62">
                  <c:v>Lucas-Borja, M. E., Plaza-Álvarez, P. A., Ortega, R., Miralles, I., González-Romero, J., Sagra, J., ... &amp; de las Heras, J. (2020). Short-term changes in soil functiolity after wildfire and straw mulching in a Pinus halepensis M. forest. Forest Ecology and Magement, 457, 117700.</c:v>
                </c:pt>
                <c:pt idx="63">
                  <c:v>Martins, A. F., Salcedo, I. H., Oliveira, F. P. D., &amp; Pereira, W. E. (2019). Physical, Chemical, and Microbiological Properties of Soil under Different Plant Covers in the Seridó Desertification Region in the Brazilian Semiarid. Revista Brasileira de Ciência do Solo, 43.</c:v>
                </c:pt>
                <c:pt idx="64">
                  <c:v>Matos, P. S., da Silva, C. F., Pereira, M. G., da Silva, E. M. R., Tarré, R. M., Franco, A. L. C., &amp; Zonta, E. (2022). Short-term modifications of mycorrhizal fungi, glomalin and soil attributes in a tropical agroforestry. Acta Oecologica, 114, 103815.</c:v>
                </c:pt>
                <c:pt idx="65">
                  <c:v>Miguel, D. L., da Silva, E. M. R., da Silva, C. F., Pereira, M. G., &amp; Leite, L. F. C. (2020). Soil microbiological properties and enzyme activity in agroforestry systems compared with monoculture, tural regeneration, and tive Caatinga.</c:v>
                </c:pt>
                <c:pt idx="66">
                  <c:v>Morell F, López D, Hernández A, et al. Characterization agrobiological brown soils field region flowers in relation to changes in agricultural magement[J]. Cultivos Tropicales, 2010, 31(4).</c:v>
                </c:pt>
                <c:pt idx="67">
                  <c:v>Morell Planes F, Hernández Jiménez A. Degradation of properties agrobiological of red grounds ferralíticos leached by the anthropic influence and its answer agroproductiva to the improvement[J]. Agronomía Tropical, 2008, 58(4): 33-343.</c:v>
                </c:pt>
                <c:pt idx="68">
                  <c:v>Moura J B, Souza R F, Vieira-Júnior W G, et al. Effects of a megafire on the arbuscular mycorrhizal fungal community and parameters in the Brazilian Cerrado ecosystem[J]. Forest Systems, 2022, 31(1): e001-e001.</c:v>
                </c:pt>
                <c:pt idx="69">
                  <c:v>Moura, J. B. D., Ramos, M. L. G., Konrad, M. L. D. F., Saggin Júnior, O. J., Ribeiro Junior, W. Q., Carvalho, A. M. D., ... &amp; Dutra e Silva, S. (2022). Arbuscular mycorrhizal fungi in the soil using cover crops with and without nitrogen addition. Frontiers in Plant Science, 13, 1054484.</c:v>
                </c:pt>
                <c:pt idx="70">
                  <c:v>Nie, J., Zhou, J. M., Wang, H. Y., Chen, X. Q., &amp; Du, C. W. (2007). Effect of long-term rice straw return on soil glomalin, carbon and nitrogen. Pedosphere, 17(3), 295-302.</c:v>
                </c:pt>
                <c:pt idx="71">
                  <c:v>Nogueira, L. R., Silva, C. F. D., Pereira, M. G., Gaia-Gomes, J. H., &amp; Silva, E. M. R. D. (2016). Biological properties and organic matter dymics of soil in pasture and tural regeneration areas in the Atlantic forest biome. Revista brasileira de ciência do solo, 40.</c:v>
                </c:pt>
                <c:pt idx="72">
                  <c:v>Oladele, S. O., Ojo, J., Curaqueo, G., &amp; Ajayi, A. E. (2022). Does pyrolysis temperature determine soil phosphorus bioavailability and uptake on peri-urban cropland amended with poultry litter biochar?. Biomass Conversion and Biorefinery, 1-14.</c:v>
                </c:pt>
                <c:pt idx="73">
                  <c:v>Oliveira, S. P., Candido, M. J. D., Weber, O. B., Xavier, F. A. S., Escobar, M. E. O., &amp; Oliveira, T. S. (2016). Conversion of forest into irrigated pasture II. Changes in the physical properties of the soil. Cate, 143, 70-77.</c:v>
                </c:pt>
                <c:pt idx="74">
                  <c:v>Ortiz, J., Faggioli, V. S., Ghio, H., Boccolini, M. F., Ioele, J. P., Tamburrini, P., ... &amp; Gudelj, V. (2020). Impacto a largo plazo de la fertilización sobre la estructura y funciolidad de la comunidad microbia del suelo. Ciencia del suelo, 38(1), 45-55.</c:v>
                </c:pt>
                <c:pt idx="75">
                  <c:v>Pérez G L, Sotelo C E, Sirio A A, et al. Análisis comparativo de suelos cultivados y de monte de la provincia del Chaco, Argenti[J]. Revista agronómica del noroeste argentino, 2020, 40(2): 92-106.</c:v>
                </c:pt>
                <c:pt idx="76">
                  <c:v>Pérez-Brandán, C., Huidobro, J., Grümberg, B., Scandiani, M. M., Luque, A. G., Meriles, J. M., &amp; Vargas-Gil, S. (2014). Soybean fungal soil-borne diseases: a parameter for measuring the effect of agricultural intensification on soil health. Cadian Jourl of Microbiology, 60(2), 73-84.</c:v>
                </c:pt>
                <c:pt idx="77">
                  <c:v>Pinto, L. A. D. S. R., Silva, C. F. D., Melo, T. R. D., Rosset, J. S., &amp; Pereira, M. G. (2022). Stability, labile organic carbon, and glomalin of biogenic aggregates in sandy soils under magement systems in the subtropical region of Brazil. Revista Brasileira de Ciência do Solo, 46.</c:v>
                </c:pt>
                <c:pt idx="78">
                  <c:v>Preger, A. C., Rillig, M. C., Johns, A. R., Du Preez, C. C., Lobe, I., &amp; Amelung, W. (2007). Losses of glomalin-related soil protein under prolonged arable cropping: a chronosequence study in sandy soils of the South African Highveld. soil biology and biochemistry, 39(2), 445-453.</c:v>
                </c:pt>
                <c:pt idx="79">
                  <c:v>Purin, S., Klauberg Filho, O., &amp; Stürmer, S. L. (2006). Mycorrhizae activity and diversity in conventiol and organic apple orchards from Brazil. Soil Biology and Biochemistry, 38(7), 1831-1839.</c:v>
                </c:pt>
                <c:pt idx="80">
                  <c:v>Qiang, W., Guni, A., Kuzyakov, Y., He, L., Zhang, Y., Liu, B., &amp; Pang, X. (2023). Contributions of mycorrhizal fungi to soil aggregate formation during subalpine forest succession. Cate, 221, 106800.</c:v>
                </c:pt>
                <c:pt idx="81">
                  <c:v>Qiao, L., Zhou, H., Wang, Z., Li, Y., Chen, W., Wu, Y., ... &amp; Xue, S. (2023). Variations in soil aggregate stability and organic carbon stability of alpine meadow and shrubland under long-term warming. Cate, 222, 106848.</c:v>
                </c:pt>
                <c:pt idx="82">
                  <c:v>Qin, H., Niu, L., Wu, Q., Chen, J., Li, Y., Liang, C., ... &amp; Shen, Y. (2017). Bamboo forest expansion increases soil organic carbon through its effect on soil arbuscular mycorrhizal fungal community and abundance. Plant and Soil, 420(1), 407-421.</c:v>
                </c:pt>
                <c:pt idx="83">
                  <c:v>Qiu L, Lin H, Song B, et al. Glomalin-related soil protein (GRSP) in metal sequestration at Pb/Zn-contamited sites[J]. Jourl of Soils and Sediments, 2022: 1-17.</c:v>
                </c:pt>
                <c:pt idx="84">
                  <c:v>Reyes, H. A., Ferreira, P. F. A., Silva, L. C., da Costa, M. G., Nobre, C. P., &amp; Gehring, C. (2019). Arbuscular mycorrhizal fungi along secondary forest succession at the eastern periphery of Amazonia: Seasol variability and impacts of soil fertility. Applied Soil Ecology, 136, 1-10.</c:v>
                </c:pt>
                <c:pt idx="85">
                  <c:v>Rillig M C, Ramsey P W, Morris S, et al. Glomalin, an arbuscular-mycorrhizal fungal soil protein, responds to land-use change[J]. Plant and Soil, 2003, 253: 293-299.</c:v>
                </c:pt>
                <c:pt idx="86">
                  <c:v>Rillig M C, Wright S F, Allen M F, et al. Rise in carbon dioxide changes soil structure[J]. ture, 1999, 400(6745): 628-628.</c:v>
                </c:pt>
                <c:pt idx="87">
                  <c:v>Rillig, M. C., Wright, S. F., Kimball, B. A., Pinter, P. J., Wall, G. W., Ottman, M. J., &amp; Leavitt, S. W. (2001). Elevated carbon dioxide and irrigation effects on water stable aggregates in a Sorghum field: a possible role for arbuscular mycorrhizal fungi. Global Change Biology, 7(3), 333-337.</c:v>
                </c:pt>
                <c:pt idx="88">
                  <c:v>Rillig, M. C., Wright, S. F., Shaw, M. R., &amp; Field, C. B. (2002). Artificial climate warming positively affects arbuscular mycorrhizae but decreases soil aggregate water stability in an annual grassland. Oikos, 97(1), 52-58.</c:v>
                </c:pt>
                <c:pt idx="89">
                  <c:v>Rivas Y, Canseco M I, Knicker H, et al. Change in total glomalin content related to soil proteins after a wildfire in an Andisol of Araucaria arauca forests of south-central Chile[J]. Revista Bosque, 2016, 37(2): 409-417.</c:v>
                </c:pt>
                <c:pt idx="90">
                  <c:v>Rodríguez-Rodríguez, R. M., Kemmelmeier, K., de Fátima Pedroso, D., Pinto, F. A., dos Santos, J. V., Gastauer, M., ... &amp; Carneiro, M. A. C. (2021). tive arbuscular mycorrhizal fungi respond to rehabilitation in iron ore mining areas from the Eastern Brazilian Amazon. Pedobiologia, 89, 150768.</c:v>
                </c:pt>
                <c:pt idx="91">
                  <c:v>Sandeep, S., Manjaiah, K. M., Pal, S., &amp; Singh, A. K. (2016). Soil carbon fractions under maize–wheat system: effect of tillage and nutrient magement. Environmental monitoring and assessment, 188(1), 1-13.</c:v>
                </c:pt>
                <c:pt idx="92">
                  <c:v>Santos, H. V., &amp; Scotti, M. R. (2018). Riparian reforestation with a single exotic species restores soil aggregation and porosity but not humic substances. Soil Use and Magement, 34(1), 124-133.</c:v>
                </c:pt>
                <c:pt idx="93">
                  <c:v>Seguel, A., Cornejo, P., Ramos, A., Von Baer, E., Cumming, J., &amp; Borie, F. (2017). Phosphorus acquisition by three wheat cultivars contrasting in aluminium tolerance growing in an aluminium-rich volcanic soil. Crop and Pasture Science, 68(4), 305-316.</c:v>
                </c:pt>
                <c:pt idx="94">
                  <c:v>Sekaran, U., Loya, J. R., Abagandura, G. O., Subramanian, S., Owens, V., &amp; Kumar, S. (2020). Intercropping of kura clover (Trifolium ambiguum M. Bieb) with prairie cordgrass (Sparti pectita link.) enhanced soil biochemical activities and microbial community structure. Applied Soil Ecology, 147, 103427.</c:v>
                </c:pt>
                <c:pt idx="95">
                  <c:v>Sharifi, Z., Azadi, N., Rahimi, S., &amp; Certini, G. (2018). The response of glomalin-related soil proteins to fire or tillage. Geoderma, 329, 65-72.</c:v>
                </c:pt>
                <c:pt idx="96">
                  <c:v>Sharma, S., Singh, P., &amp; Choudhary, O. P. (2021). Nitrogen and rice straw incorporation impact nitrogen use efficiency, soil nitrogen pools and enzyme activity in rice-wheat system in north-western India. Field Crops Research, 266, 108131.</c:v>
                </c:pt>
                <c:pt idx="97">
                  <c:v>Silva A M M, Ramos M L G, scimento R S M P, et al. Soil quality indicators under magement systems in a Quilombola community in the Brazilian Cerrado[J]. Scientia Agricola, 2019, 76: 518-526.</c:v>
                </c:pt>
                <c:pt idx="98">
                  <c:v>Silva E, Arrobas M, Goncalves A, et al. A controlled-release fertilizer improved soil fertility but not olive tree performance[J]. Nutrient Cycling in Agroecosystems, 2021, 120(1): 1-15.</c:v>
                </c:pt>
                <c:pt idx="99">
                  <c:v>Silva, C. F. D., Pereira, M. G., Rodrigues, L. A. D. S., Teodoro, S. A., Fontes, M. A., Gaia-Gomes, J. H., &amp; Silva, E. M. R. D. (2021). Soil attributes as indicators of the stabilization process of erosion in gullies at different formation stages in the southeast region of Brazil. Revista Ambiente &amp; Água, 16.</c:v>
                </c:pt>
                <c:pt idx="100">
                  <c:v>Singh A K, Rai A, Kushwaha M, et al. Tree growth rate regulate the influence of elevated CO2 on soil biochemical responses under tropical condition[J]. Jourl of environmental magement, 2019, 231: 1211-1221.</c:v>
                </c:pt>
                <c:pt idx="101">
                  <c:v>Singh, A. K., Jiang, X. J., Yang, B., Li, H., Liu, W., &amp; Singh, N. (2021). Effect of root‐glomalin on soil carbon storage in trees' rhizosphere and interspace of a tropical dry forest. Land Degradation &amp; Development, 32(18), 5281-5291.</c:v>
                </c:pt>
                <c:pt idx="102">
                  <c:v>Singh, A. K., Rai, A., Banyal, R., Chauhan, P. S., &amp; Singh, N. (2018). Plant community regulates soil multifunctiolity in a tropical dry forest. Ecological Indicators, 95, 953-963.</c:v>
                </c:pt>
                <c:pt idx="103">
                  <c:v>Singh, A. K., Rai, A., Pandey, V., &amp; Singh, N. (2017). Contribution of glomalin to dissolve organic carbon under different land uses and seasolity in dry tropics. Jourl of environmental magement, 192, 142-149.</c:v>
                </c:pt>
                <c:pt idx="104">
                  <c:v>Spohn, M., &amp; Giani, L. (2010). Water-stable aggregates, glomalin-related soil protein, and carbohydrates in a chronosequence of sandy hydromorphic soils. Soil Biology and Biochemistry, 42(9), 1505-1511.</c:v>
                </c:pt>
                <c:pt idx="105">
                  <c:v>Sun X, **ng Y, Yan G, et al. Dymics of glomalin-related soil protein and soil aggregates during secondary succession in the temperate forest[J]. CATE, 2024, 234: 107602.</c:v>
                </c:pt>
                <c:pt idx="106">
                  <c:v>Sun, L., Jing, H., Wang, G., &amp; Liu, G. (2018). Nitrogen addition increases the contents of glomalin-related soil protein and soil organic carbon but retains aggregate stability in a Pinus tabulaeformis forest. PeerJ, 6, e5039.</c:v>
                </c:pt>
                <c:pt idx="107">
                  <c:v>Tosini L, Folzer H, Heckenroth A, et al. Gain in biodiversity but not in phytostabilization after 3 years of ecological restoration of contamited Mediterranean soils[J]. Ecological Engineering, 2020, 157: 105998.</c:v>
                </c:pt>
                <c:pt idx="108">
                  <c:v>Treseder K K, Turner K M, Mack M C. Mycorrhizal responses to nitrogen fertilization in boreal ecosystems: potential consequences for soil carbon storage[J]. Global Change Biology, 2007, 13(1): 78-88.</c:v>
                </c:pt>
                <c:pt idx="109">
                  <c:v>Treseder, K. K., Mack, M. C., &amp; Cross, A. (2004). Relationships among fires, fungi, and soil dymics in Alaskan boreal forests. Ecological Applications, 14(6), 1826-1838.</c:v>
                </c:pt>
                <c:pt idx="110">
                  <c:v>Trivedi, A., Bhattacharyya, R., Ghosh, A., Saha, N. D., Biswas, D. R., Mahapatra, P., ... &amp; Sharma, C. (2021). 60 years of fertilization and liming impacts on soil organic carbon stabilization in a sub-tropical Alfisol. Environmental Science and Pollution Research, 28, 45946-45961.</c:v>
                </c:pt>
                <c:pt idx="111">
                  <c:v>Turgay O C, Buchan D, Moeskops B, et al. Changes in soil ergosterol content, glomalin-related soil protein, and phospholipid fatty acid profile as affected by long-term organic and chemical fertilization practices in Mediterranean Turkey[J]. Arid Land Research and Magement, 2015, 29(2): 180-198.</c:v>
                </c:pt>
                <c:pt idx="112">
                  <c:v>Valerie, V., &amp; Ladislav, H. (2022). Alteration in the amount of Glomalin in transition from forest to field/meadow. Soil Use and Magement, 38(1), 907-916.</c:v>
                </c:pt>
                <c:pt idx="113">
                  <c:v>Vasconcellos, R. L., Bonfim, J. A., Baretta, D., &amp; Cardoso, E. J. (2016). Arbuscular mycorrhizal fungi and glomalin‐related soil protein as potential indicators of soil quality in a recuperation gradient of the Atlantic forest in Brazil. Land Degradation &amp; Development, 27(2), 325-334.</c:v>
                </c:pt>
                <c:pt idx="114">
                  <c:v>Violi, H. A., Barrientos-Priego, A. F., Wright, S. F., Escamilla-Prado, E., Morton, J. B., Menge, J. A., &amp; Lovatt, C. J. (2008). Disturbance changes arbuscular mycorrhizal fungal phenology and soil glomalin concentrations but not fungal spore composition in montane rainforests in Veracruz and Chiapas, Mexico. Forest Ecology and Magement, 254(2), 276-290.</c:v>
                </c:pt>
                <c:pt idx="115">
                  <c:v>Vodnik D, Maček I, Péli E, et al. Elevated CO 2 affects the content of glomalin related soil protein in xeric temperate loess and temperate semi-desert sand grasslands[J]. Community Ecology, 2008, 9(Supplement-1): 161-167.</c:v>
                </c:pt>
                <c:pt idx="116">
                  <c:v>Wang, C., Ning, P., Li, J., Wei, X., Ge, T., Cui, Y., ... &amp; Shen, W. (2022). Responses of soil microbial community composition and enzyme activities to long-term organic amendments in a continuous tobacco cropping system. Applied Soil Ecology, 169, 104210.</c:v>
                </c:pt>
                <c:pt idx="117">
                  <c:v>Wang, Q., Wang, W., He, X., Zhang, W., Song, K., &amp; Han, S. (2015). Role and variation of the amount and composition of glomalin in soil properties in farmland and adjacent plantations with reference to a primary forest in North-Eastern Chi. PloS one, 10(10), e0139623.</c:v>
                </c:pt>
                <c:pt idx="118">
                  <c:v>Wang, Y., He, C., Shi, Y., Li, H., Tang, Y., Chen, B., ... &amp; Chen, L. (2023). Short-term cultivation limiting soil aggregate stability and macronutrient accumulation associated with glomalin-related soil protein in Eucalyptus urophylla× Eucalyptus grandis plantations. Science of The Total Environment, 878, 163187.</c:v>
                </c:pt>
                <c:pt idx="119">
                  <c:v>Wang, W., Feng, Y., Wu, R., Wang, X., He, X., Zhang, M., ... &amp; Song, F. (2023). Long-term N addition reduced the diversity of Arbuscular mycorrhizal fungi and understory herb of the Korean pine plantation in northern Chi. Frontiers in Ecology and Evolution, 11, 1192267.</c:v>
                </c:pt>
                <c:pt idx="120">
                  <c:v>Wilson, G. W., Rice, C. W., Rillig, M. C., Springer, A., &amp; Hartnett, D. C. (2009). Soil aggregation and carbon sequestration are tightly correlated with the abundance of arbuscular mycorrhizal fungi: results from long‐term field experiments. Ecology letters, 12(5), 452-461.</c:v>
                </c:pt>
                <c:pt idx="121">
                  <c:v>Wu, F., Dong, M., Liu, Y., Ma, X., An, L., Young, J. P. W., &amp; Feng, H. (2011). Effects of long-term fertilization on AM fungal community structure and Glomalin-related soil protein in the Loess Plateau of Chi. Plant and soil, 342(1), 233-247.</c:v>
                </c:pt>
                <c:pt idx="122">
                  <c:v>Wu, X., Fu, D., Duan, C., Huang, G., &amp; Shang, H. (2022). Distributions and influencing factors of soil organic carbon fractions under different vegetation restoration conditions in a subtropical mountainous area, SW Chi. Forests, 13(4), 629.</c:v>
                </c:pt>
                <c:pt idx="123">
                  <c:v>Xie, H., Li, J., Zhang, B., Wang, L., Wang, J., He, H., &amp; Zhang, X. (2015). Long-term manure amendments reduced soil aggregate stability via redistribution of the glomalin-related soil protein in macroaggregates. Scientific reports, 5(1), 1-9.</c:v>
                </c:pt>
                <c:pt idx="124">
                  <c:v>Xu, M., Li, X., Cai, X., Li, X., Christie, P., &amp; Zhang, J. (2017). Land use alters arbuscular mycorrhizal fungal communities and their potential role in carbon sequestration on the Tibetan Plateau. Scientific Reports, 7(1), 1-11.</c:v>
                </c:pt>
                <c:pt idx="125">
                  <c:v>Yang Y, Luo W, Xu J, et al. Fallow land enhances carbon sequestration in glomalin and soil aggregates through regulating diversity and network complexity of arbuscular mycorrhizal fungi under climate change in relatively high-latitude regions[J]. Frontiers in Microbiology, 2022, 13: 930622.</c:v>
                </c:pt>
                <c:pt idx="126">
                  <c:v>Yang Y, Zhang J, He J, et al. Glomalin-related soil proteins respond negatively to fertilization and fungicide application in Chi's arid grassland[J]. European Jourl of Soil Biology, 2023, 119: 103557.</c:v>
                </c:pt>
                <c:pt idx="127">
                  <c:v>Yang, W., Zhang, M., Song, F., Liu, S., Li, X., &amp; Zhu, X. (2021). Comparative alysis of arbuscular mycorrhizal fungal communities between farmland and woodland in the black soil region of Northeast Chi. Agriculture, 11(9), 866.</c:v>
                </c:pt>
                <c:pt idx="128">
                  <c:v>Young, I. M., Feeney, D. S., O’Donnell, A. G., &amp; Goulding, K. W. (2012). Fungi in century old maged soils could hold key to the development of soil water repellency. Soil Biology and Biochemistry, 45, 125-127.</c:v>
                </c:pt>
                <c:pt idx="129">
                  <c:v>Zhang J, Li J, Ma L, et al. Accumulation of glomalin‐related soil protein benefits soil carbon sequestration: Tropical coastal forest restoration experiences[J]. Land Degradation &amp; Development, 2022, 33(10): 1541-1551.</c:v>
                </c:pt>
                <c:pt idx="130">
                  <c:v>Zhang J, Tang X, He X, et al. Glomalin-related soil protein responses to elevated CO2 and nitrogen addition in a subtropical forest: Potential consequences for soil carbon accumulation[J]. Soil Biology and Biochemistry, 2015, 83: 142-149.</c:v>
                </c:pt>
                <c:pt idx="131">
                  <c:v>ZHANG Jian, XU Ming, WU Lifeng, WEN Chunyu, ZHANG Jiao, NIE Kun. Effects of different disturbance types on the glomalin-related soil protein of Pinus massonia forests in Central Guizhou. Jourl of Forest and Environment, 2022, 42(1): 63-70. DOI: 10.13324/j.cnki.jfcf.2022.01.008</c:v>
                </c:pt>
                <c:pt idx="132">
                  <c:v>Zhang, J., Zhou, J., Sayer, E. J., Lambers, H., Liu, Z., Lu, X., ... &amp; Wang, F. (2023). Nitrogen deposition enhances soil organic carbon and microbial residual carbon in a tropical forest. Plant and Soil, 484(1-2), 217-235.</c:v>
                </c:pt>
                <c:pt idx="133">
                  <c:v>Zhang, Y., Dong, L., &amp; Shangguan, Z. (2023). Appropriate N addition improves soil aggregate stability through AMF and glomalin‐related soil proteins in a semiarid agroecosystem. Land Degradation &amp; Development, 34(3), 710-722.</c:v>
                </c:pt>
                <c:pt idx="134">
                  <c:v>Zhou, J., Zhang, J., Lambers, H., Wu, J., Qin, G., Li, Y., ... &amp; Wang, F. (2022). Intensified rainfall in the wet season alters the microbial contribution to soil carbon storage. Plant and Soil, 476(1-2), 337-351.</c:v>
                </c:pt>
                <c:pt idx="135">
                  <c:v>Zichun, G. U. O., Wei, L. I., ISLAM, M. U., Yuekai, W. A. N. G., Zhang, Z., &amp; Xinhua, P. E. N. G. (2022). Nitrogen fertilization degrades soil aggregation by increasing ammonium ions and decreasing biological binding agents on a Vertisol after 12 years. Pedosphere, 32(4), 629-636.</c:v>
                </c:pt>
                <c:pt idx="136">
                  <c:v>Ziogas M, Ipsilantis I, Matsi T, et al. Long-term fertilization with liquid cattle manure leaves legacy nutrients, but not organic carbon and has no effect on soil microbial and physical properties a year after last application[J]. Communications in Soil Science and Plant Alysis, 2021, 52(11): 1264-1274.</c:v>
                </c:pt>
              </c:strCache>
            </c:strRef>
          </c:cat>
          <c:val>
            <c:numRef>
              <c:f>'#REF'!#REF!</c:f>
              <c:numCache>
                <c:formatCode>General</c:formatCode>
                <c:ptCount val="1"/>
                <c:pt idx="0">
                  <c:v>1</c:v>
                </c:pt>
              </c:numCache>
            </c:numRef>
          </c:val>
        </c:ser>
        <c:dLbls>
          <c:showLegendKey val="0"/>
          <c:showVal val="0"/>
          <c:showCatName val="0"/>
          <c:showSerName val="0"/>
          <c:showPercent val="0"/>
          <c:showBubbleSize val="1"/>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457200</xdr:colOff>
      <xdr:row>14</xdr:row>
      <xdr:rowOff>25400</xdr:rowOff>
    </xdr:from>
    <xdr:to>
      <xdr:col>16</xdr:col>
      <xdr:colOff>406400</xdr:colOff>
      <xdr:row>28</xdr:row>
      <xdr:rowOff>139700</xdr:rowOff>
    </xdr:to>
    <xdr:graphicFrame>
      <xdr:nvGraphicFramePr>
        <xdr:cNvPr id="2" name="图表 1"/>
        <xdr:cNvGraphicFramePr/>
      </xdr:nvGraphicFramePr>
      <xdr:xfrm>
        <a:off x="20589240" y="2479040"/>
        <a:ext cx="4826000" cy="25679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link.springer.com/article/10.1007/s10342-020-01296-2" TargetMode="External"/><Relationship Id="rId98" Type="http://schemas.openxmlformats.org/officeDocument/2006/relationships/hyperlink" Target="https://www.sciencedirect.com/science/article/pii/S0929139319308923" TargetMode="External"/><Relationship Id="rId97" Type="http://schemas.openxmlformats.org/officeDocument/2006/relationships/hyperlink" Target="https://www.sciencedirect.com/science/article/pii/S0341816219304734" TargetMode="External"/><Relationship Id="rId96" Type="http://schemas.openxmlformats.org/officeDocument/2006/relationships/hyperlink" Target="https://www.sciencedirect.com/science/article/pii/S0378112719319528" TargetMode="External"/><Relationship Id="rId95" Type="http://schemas.openxmlformats.org/officeDocument/2006/relationships/hyperlink" Target="https://www.sciencedirect.com/science/article/pii/S0378112719317669" TargetMode="External"/><Relationship Id="rId94" Type="http://schemas.openxmlformats.org/officeDocument/2006/relationships/hyperlink" Target="https://www.sciencedirect.com/science/article/pii/S016719871830182X" TargetMode="External"/><Relationship Id="rId93" Type="http://schemas.openxmlformats.org/officeDocument/2006/relationships/hyperlink" Target="https://www.sciencedirect.com/science/article/pii/S0048969719300579" TargetMode="External"/><Relationship Id="rId92" Type="http://schemas.openxmlformats.org/officeDocument/2006/relationships/hyperlink" Target="https://www.sciencedirect.com/science/article/pii/S1164556319300561" TargetMode="External"/><Relationship Id="rId91" Type="http://schemas.openxmlformats.org/officeDocument/2006/relationships/hyperlink" Target="https://onlinelibrary.wiley.com/doi/full/10.1002/ldr.3372" TargetMode="External"/><Relationship Id="rId90" Type="http://schemas.openxmlformats.org/officeDocument/2006/relationships/hyperlink" Target="https://www.sciencedirect.com/science/article/pii/S0378112719301471" TargetMode="External"/><Relationship Id="rId9" Type="http://schemas.openxmlformats.org/officeDocument/2006/relationships/hyperlink" Target="https://link.springer.com/article/10.1007/s11104-018-3886-0" TargetMode="External"/><Relationship Id="rId89" Type="http://schemas.openxmlformats.org/officeDocument/2006/relationships/hyperlink" Target="https://onlinelibrary.wiley.com/doi/full/10.1002/ldr.3229" TargetMode="External"/><Relationship Id="rId88" Type="http://schemas.openxmlformats.org/officeDocument/2006/relationships/hyperlink" Target="https://www.sciencedirect.com/science/article/pii/S092913931830982X" TargetMode="External"/><Relationship Id="rId87" Type="http://schemas.openxmlformats.org/officeDocument/2006/relationships/hyperlink" Target="https://www.sciencedirect.com/science/article/pii/S1470160X18306307" TargetMode="External"/><Relationship Id="rId86" Type="http://schemas.openxmlformats.org/officeDocument/2006/relationships/hyperlink" Target="https://www.sciencedirect.com/science/article/pii/S0301479718312908" TargetMode="External"/><Relationship Id="rId85" Type="http://schemas.openxmlformats.org/officeDocument/2006/relationships/hyperlink" Target="https://www.scielo.br/j/rbcs/a/R7SMCx3txSYJhz3gGwpshnz/" TargetMode="External"/><Relationship Id="rId84" Type="http://schemas.openxmlformats.org/officeDocument/2006/relationships/hyperlink" Target="https://www.sciencedirect.com/science/article/pii/S0016706117312739" TargetMode="External"/><Relationship Id="rId83" Type="http://schemas.openxmlformats.org/officeDocument/2006/relationships/hyperlink" Target="https://www.sciencedirect.com/science/article/pii/S0167198717302313" TargetMode="External"/><Relationship Id="rId82" Type="http://schemas.openxmlformats.org/officeDocument/2006/relationships/hyperlink" Target="https://bsssjournals.onlinelibrary.wiley.com/doi/full/10.1111/sum.12405" TargetMode="External"/><Relationship Id="rId81" Type="http://schemas.openxmlformats.org/officeDocument/2006/relationships/hyperlink" Target="https://link.springer.com/article/10.1007/s11104-017-3415-6" TargetMode="External"/><Relationship Id="rId80" Type="http://schemas.openxmlformats.org/officeDocument/2006/relationships/hyperlink" Target="https://onlinelibrary.wiley.com/doi/10.1111/gcbb.12460" TargetMode="External"/><Relationship Id="rId8" Type="http://schemas.openxmlformats.org/officeDocument/2006/relationships/hyperlink" Target="https://peerj.com/articles/5039/" TargetMode="External"/><Relationship Id="rId79" Type="http://schemas.openxmlformats.org/officeDocument/2006/relationships/hyperlink" Target="https://www.sciencedirect.com/science/article/pii/S0301479717300592" TargetMode="External"/><Relationship Id="rId78" Type="http://schemas.openxmlformats.org/officeDocument/2006/relationships/hyperlink" Target="https://www.sciencedirect.com/science/article/pii/S004896971530574X" TargetMode="External"/><Relationship Id="rId77" Type="http://schemas.openxmlformats.org/officeDocument/2006/relationships/hyperlink" Target="https://www.sciencedirect.com/science/article/pii/S0301479723022302" TargetMode="External"/><Relationship Id="rId76" Type="http://schemas.openxmlformats.org/officeDocument/2006/relationships/hyperlink" Target="https://www.sciencedirect.com/science/article/pii/S0341816223006938" TargetMode="External"/><Relationship Id="rId75" Type="http://schemas.openxmlformats.org/officeDocument/2006/relationships/hyperlink" Target="https://www.sciencedirect.com/science/article/pii/S1164556323000936" TargetMode="External"/><Relationship Id="rId74" Type="http://schemas.openxmlformats.org/officeDocument/2006/relationships/hyperlink" Target="https://www.sciencedirect.com/science/article/pii/S0341816216301023" TargetMode="External"/><Relationship Id="rId73" Type="http://schemas.openxmlformats.org/officeDocument/2006/relationships/hyperlink" Target="https://www.sciencedirect.com/science/article/pii/S0929139316300051" TargetMode="External"/><Relationship Id="rId72" Type="http://schemas.openxmlformats.org/officeDocument/2006/relationships/hyperlink" Target="https://onlinelibrary.wiley.com/doi/10.1002/ldr.2228" TargetMode="External"/><Relationship Id="rId71" Type="http://schemas.openxmlformats.org/officeDocument/2006/relationships/hyperlink" Target="https://link.springer.com/article/10.1007/s10661-015-4995-3" TargetMode="External"/><Relationship Id="rId70" Type="http://schemas.openxmlformats.org/officeDocument/2006/relationships/hyperlink" Target="https://www.scielo.cl/scielo.php?script=sci_arttext&amp;pid=S0717-92002016000200019&amp;lng=en" TargetMode="External"/><Relationship Id="rId7" Type="http://schemas.openxmlformats.org/officeDocument/2006/relationships/hyperlink" Target="https://onlinelibrary.wiley.com/doi/full/10.1111/gcbb.12460" TargetMode="External"/><Relationship Id="rId69" Type="http://schemas.openxmlformats.org/officeDocument/2006/relationships/hyperlink" Target="https://www.scielo.br/j/rbcs/a/SpBkZMLNyFcNCZHbcxQFLDc/" TargetMode="External"/><Relationship Id="rId68" Type="http://schemas.openxmlformats.org/officeDocument/2006/relationships/hyperlink" Target="https://journals.plos.org/plosone/article?id=10.1371/journal.pone.0144115" TargetMode="External"/><Relationship Id="rId67" Type="http://schemas.openxmlformats.org/officeDocument/2006/relationships/hyperlink" Target="https://journals.plos.org/plosone/article?id=10.1371/journal.pone.0139623" TargetMode="External"/><Relationship Id="rId66" Type="http://schemas.openxmlformats.org/officeDocument/2006/relationships/hyperlink" Target="https://link.springer.com/article/10.1007/s10646-014-1329-0" TargetMode="External"/><Relationship Id="rId65" Type="http://schemas.openxmlformats.org/officeDocument/2006/relationships/hyperlink" Target="https://www.sciencedirect.com/science/article/pii/S0038071715000425" TargetMode="External"/><Relationship Id="rId64" Type="http://schemas.openxmlformats.org/officeDocument/2006/relationships/hyperlink" Target="https://www.scielo.br/j/pab/a/4j4p6JhgjQ8zGJjKtkXkYpp/" TargetMode="External"/><Relationship Id="rId63" Type="http://schemas.openxmlformats.org/officeDocument/2006/relationships/hyperlink" Target="https://www.sciencedirect.com/science/article/pii/S0929139313001108" TargetMode="External"/><Relationship Id="rId62" Type="http://schemas.openxmlformats.org/officeDocument/2006/relationships/hyperlink" Target="https://cdnsciencepub.com/doi/full/10.1139/cjm-2013-0792" TargetMode="External"/><Relationship Id="rId61" Type="http://schemas.openxmlformats.org/officeDocument/2006/relationships/hyperlink" Target="https://link.springer.com/article/10.1007/s11368-012-0576-z" TargetMode="External"/><Relationship Id="rId60" Type="http://schemas.openxmlformats.org/officeDocument/2006/relationships/hyperlink" Target="https://bsssjournals.onlinelibrary.wiley.com/doi/10.1111/j.1475-2743.2012.00451.x" TargetMode="External"/><Relationship Id="rId6" Type="http://schemas.openxmlformats.org/officeDocument/2006/relationships/hyperlink" Target="https://sci-hub.wf/10.17221/385/2020-pse" TargetMode="External"/><Relationship Id="rId59" Type="http://schemas.openxmlformats.org/officeDocument/2006/relationships/hyperlink" Target="https://www.sciencedirect.com/science/article/pii/S0038071711003671" TargetMode="External"/><Relationship Id="rId58" Type="http://schemas.openxmlformats.org/officeDocument/2006/relationships/hyperlink" Target="https://www.sciencedirect.com/science/article/pii/S0038071710001768" TargetMode="External"/><Relationship Id="rId57" Type="http://schemas.openxmlformats.org/officeDocument/2006/relationships/hyperlink" Target="https://link.springer.com/article/10.1007/s11104-007-9509-9" TargetMode="External"/><Relationship Id="rId56" Type="http://schemas.openxmlformats.org/officeDocument/2006/relationships/hyperlink" Target="https://www.sciencedirect.com/science/article/pii/S037811270700597X" TargetMode="External"/><Relationship Id="rId55" Type="http://schemas.openxmlformats.org/officeDocument/2006/relationships/hyperlink" Target="https://www.sciencedirect.com/science/article/pii/S0167880906003380" TargetMode="External"/><Relationship Id="rId54" Type="http://schemas.openxmlformats.org/officeDocument/2006/relationships/hyperlink" Target="https://www.sciencedirect.com/science/article/pii/S0038071706003725" TargetMode="External"/><Relationship Id="rId53" Type="http://schemas.openxmlformats.org/officeDocument/2006/relationships/hyperlink" Target="https://onlinelibrary.wiley.com/doi/full/10.1111/j.1365-2486.2006.01279.x" TargetMode="External"/><Relationship Id="rId52" Type="http://schemas.openxmlformats.org/officeDocument/2006/relationships/hyperlink" Target="https://www.sciencedirect.com/science/article/pii/S0038071706000629" TargetMode="External"/><Relationship Id="rId51" Type="http://schemas.openxmlformats.org/officeDocument/2006/relationships/hyperlink" Target="https://link.springer.com/article/10.1023/A:1024807820579" TargetMode="External"/><Relationship Id="rId50" Type="http://schemas.openxmlformats.org/officeDocument/2006/relationships/hyperlink" Target="https://link.springer.com/article/10.1007/s41742-023-00527-9" TargetMode="External"/><Relationship Id="rId5" Type="http://schemas.openxmlformats.org/officeDocument/2006/relationships/hyperlink" Target="https://www.nature.com/articles/23168" TargetMode="External"/><Relationship Id="rId49" Type="http://schemas.openxmlformats.org/officeDocument/2006/relationships/hyperlink" Target="https://www.sciencedirect.com/science/article/pii/S0048969723018065" TargetMode="External"/><Relationship Id="rId48" Type="http://schemas.openxmlformats.org/officeDocument/2006/relationships/hyperlink" Target="https://www.frontiersin.org/articles/10.3389/fenvs.2022.1052175/full" TargetMode="External"/><Relationship Id="rId47" Type="http://schemas.openxmlformats.org/officeDocument/2006/relationships/hyperlink" Target="https://www.sciencedirect.com/science/article/pii/S034181622200786X" TargetMode="External"/><Relationship Id="rId46" Type="http://schemas.openxmlformats.org/officeDocument/2006/relationships/hyperlink" Target="https://www.frontiersin.org/articles/10.3389/fpls.2022.1054484/full" TargetMode="External"/><Relationship Id="rId45" Type="http://schemas.openxmlformats.org/officeDocument/2006/relationships/hyperlink" Target="https://www.mdpi.com/1999-4907/13/12/2110" TargetMode="External"/><Relationship Id="rId44" Type="http://schemas.openxmlformats.org/officeDocument/2006/relationships/hyperlink" Target="https://onlinelibrary.wiley.com/doi/full/10.1111/gcb.16467" TargetMode="External"/><Relationship Id="rId43" Type="http://schemas.openxmlformats.org/officeDocument/2006/relationships/hyperlink" Target="https://link.springer.com/article/10.1007/s10343-022-00651-0" TargetMode="External"/><Relationship Id="rId42" Type="http://schemas.openxmlformats.org/officeDocument/2006/relationships/hyperlink" Target="https://www.mdpi.com/1999-4907/13/4/629" TargetMode="External"/><Relationship Id="rId41" Type="http://schemas.openxmlformats.org/officeDocument/2006/relationships/hyperlink" Target="https://link.springer.com/article/10.1007/s11104-022-05389-2" TargetMode="External"/><Relationship Id="rId40" Type="http://schemas.openxmlformats.org/officeDocument/2006/relationships/hyperlink" Target="https://www.sciencedirect.com/science/article/pii/S0341816221007438" TargetMode="External"/><Relationship Id="rId4" Type="http://schemas.openxmlformats.org/officeDocument/2006/relationships/hyperlink" Target="https://link.springer.com/article/10.1007/s11104-010-0688-4" TargetMode="External"/><Relationship Id="rId39" Type="http://schemas.openxmlformats.org/officeDocument/2006/relationships/hyperlink" Target="https://www.sciencedirect.com/science/article/pii/S1146609X22000054" TargetMode="External"/><Relationship Id="rId38" Type="http://schemas.openxmlformats.org/officeDocument/2006/relationships/hyperlink" Target="https://onlinelibrary.wiley.com/doi/10.1002/ldr.4192" TargetMode="External"/><Relationship Id="rId37" Type="http://schemas.openxmlformats.org/officeDocument/2006/relationships/hyperlink" Target="https://www.scielo.br/j/rbcs/a/JBByJnDWcdPgkTnGjwqjJfw/" TargetMode="External"/><Relationship Id="rId36" Type="http://schemas.openxmlformats.org/officeDocument/2006/relationships/hyperlink" Target="https://onlinelibrary.wiley.com/doi/10.1002/ldr.4108" TargetMode="External"/><Relationship Id="rId35" Type="http://schemas.openxmlformats.org/officeDocument/2006/relationships/hyperlink" Target="https://www.sciencedirect.com/science/article/pii/S1164556321000996" TargetMode="External"/><Relationship Id="rId34" Type="http://schemas.openxmlformats.org/officeDocument/2006/relationships/hyperlink" Target="https://link.springer.com/article/10.1007/s10705-021-10134-9" TargetMode="External"/><Relationship Id="rId33" Type="http://schemas.openxmlformats.org/officeDocument/2006/relationships/hyperlink" Target="https://www.mdpi.com/2077-0472/11/9/866" TargetMode="External"/><Relationship Id="rId32" Type="http://schemas.openxmlformats.org/officeDocument/2006/relationships/hyperlink" Target="https://www.sciencedirect.com/science/article/pii/S0031405621000627" TargetMode="External"/><Relationship Id="rId31" Type="http://schemas.openxmlformats.org/officeDocument/2006/relationships/hyperlink" Target="https://academic.oup.com/femsec/article/97/2/fiaa258/6047177?login=true" TargetMode="External"/><Relationship Id="rId30" Type="http://schemas.openxmlformats.org/officeDocument/2006/relationships/hyperlink" Target="https://www.scielo.br/j/ambiagua/a/PHw7wKMLgRCjhdvG4nFCP4z/" TargetMode="External"/><Relationship Id="rId3" Type="http://schemas.openxmlformats.org/officeDocument/2006/relationships/hyperlink" Target="https://www.sciencedirect.com/science/article/pii/S1002016007600368" TargetMode="External"/><Relationship Id="rId29" Type="http://schemas.openxmlformats.org/officeDocument/2006/relationships/hyperlink" Target="https://bsssjournals.onlinelibrary.wiley.com/doi/10.1111/sum.12685" TargetMode="External"/><Relationship Id="rId28" Type="http://schemas.openxmlformats.org/officeDocument/2006/relationships/hyperlink" Target="https://link.springer.com/article/10.1007/s13399-022-03505-x" TargetMode="External"/><Relationship Id="rId27" Type="http://schemas.openxmlformats.org/officeDocument/2006/relationships/hyperlink" Target="https://www.sciencedirect.com/science/article/pii/S0929139321003334" TargetMode="External"/><Relationship Id="rId26" Type="http://schemas.openxmlformats.org/officeDocument/2006/relationships/hyperlink" Target="https://www.sciencedirect.com/science/article/pii/S0929139323000410" TargetMode="External"/><Relationship Id="rId25" Type="http://schemas.openxmlformats.org/officeDocument/2006/relationships/hyperlink" Target="https://www.mdpi.com/1999-4907/14/1/114" TargetMode="External"/><Relationship Id="rId24" Type="http://schemas.openxmlformats.org/officeDocument/2006/relationships/hyperlink" Target="https://www.sciencedirect.com/science/article/pii/S0341816222008347" TargetMode="External"/><Relationship Id="rId23" Type="http://schemas.openxmlformats.org/officeDocument/2006/relationships/hyperlink" Target="https://chembioagro.springeropen.com/articles/10.1186/s40538-022-00353-9" TargetMode="External"/><Relationship Id="rId22" Type="http://schemas.openxmlformats.org/officeDocument/2006/relationships/hyperlink" Target="https://www.frontiersin.org/articles/10.3389/fmicb.2022.930622/full" TargetMode="External"/><Relationship Id="rId21" Type="http://schemas.openxmlformats.org/officeDocument/2006/relationships/hyperlink" Target="https://www.mdpi.com/2073-4395/12/6/1375" TargetMode="External"/><Relationship Id="rId20" Type="http://schemas.openxmlformats.org/officeDocument/2006/relationships/hyperlink" Target="https://www.sciencedirect.com/science/article/pii/S1002016021600917" TargetMode="External"/><Relationship Id="rId2" Type="http://schemas.openxmlformats.org/officeDocument/2006/relationships/hyperlink" Target="https://onlinelibrary.wiley.com/doi/full/10.1034/j.1600-0706.2002.970105.x" TargetMode="External"/><Relationship Id="rId19" Type="http://schemas.openxmlformats.org/officeDocument/2006/relationships/hyperlink" Target="https://www.sciencedirect.com/science/article/pii/S0341816222002703" TargetMode="External"/><Relationship Id="rId18" Type="http://schemas.openxmlformats.org/officeDocument/2006/relationships/hyperlink" Target="https://www.mdpi.com/2073-4395/12/1/151" TargetMode="External"/><Relationship Id="rId17" Type="http://schemas.openxmlformats.org/officeDocument/2006/relationships/hyperlink" Target="https://link.springer.com/article/10.1007/s11368-021-03115-6" TargetMode="External"/><Relationship Id="rId16" Type="http://schemas.openxmlformats.org/officeDocument/2006/relationships/hyperlink" Target="https://link.springer.com/article/10.1007/s11356-021-14019-w" TargetMode="External"/><Relationship Id="rId15" Type="http://schemas.openxmlformats.org/officeDocument/2006/relationships/hyperlink" Target="https://www.sciencedirect.com/science/article/pii/S0378429021000770" TargetMode="External"/><Relationship Id="rId14" Type="http://schemas.openxmlformats.org/officeDocument/2006/relationships/hyperlink" Target="https://www.sciencedirect.com/science/article/pii/S0929139320306831" TargetMode="External"/><Relationship Id="rId13" Type="http://schemas.openxmlformats.org/officeDocument/2006/relationships/hyperlink" Target="https://www.sciencedirect.com/science/article/abs/pii/S0038071710001045" TargetMode="External"/><Relationship Id="rId12" Type="http://schemas.openxmlformats.org/officeDocument/2006/relationships/hyperlink" Target="https://acsess.onlinelibrary.wiley.com/doi/full/10.2136/sssaj2007.0126" TargetMode="External"/><Relationship Id="rId119" Type="http://schemas.openxmlformats.org/officeDocument/2006/relationships/hyperlink" Target="https://onlinelibrary.wiley.com/doi/10.1002/ldr.1113" TargetMode="External"/><Relationship Id="rId118" Type="http://schemas.openxmlformats.org/officeDocument/2006/relationships/hyperlink" Target="https://www.sciencedirect.com/science/article/pii/S0929139323004584" TargetMode="External"/><Relationship Id="rId117" Type="http://schemas.openxmlformats.org/officeDocument/2006/relationships/hyperlink" Target="https://www.scielo.br/j/rbcs/a/XRZrZBgpD5wLxWQjgyjrPxG/?lang=en" TargetMode="External"/><Relationship Id="rId116" Type="http://schemas.openxmlformats.org/officeDocument/2006/relationships/hyperlink" Target="https://www.sciencedirect.com/science/article/pii/S034181621730348X" TargetMode="External"/><Relationship Id="rId115" Type="http://schemas.openxmlformats.org/officeDocument/2006/relationships/hyperlink" Target="https://www.sciencedirect.com/science/article/pii/S0016706119301193" TargetMode="External"/><Relationship Id="rId114" Type="http://schemas.openxmlformats.org/officeDocument/2006/relationships/hyperlink" Target="https://www.authorea.com/users/653579/articles/660485-long-term-n-addition-reduced-the-diversity-of-arbuscular-mycorrhizal-fungi-and-understory-herb-of-the-korean-pine-plantation-in-northern-china" TargetMode="External"/><Relationship Id="rId113" Type="http://schemas.openxmlformats.org/officeDocument/2006/relationships/hyperlink" Target="https://link.springer.com/article/10.1007/s11104-022-05787-6" TargetMode="External"/><Relationship Id="rId112" Type="http://schemas.openxmlformats.org/officeDocument/2006/relationships/hyperlink" Target="https://onlinelibrary.wiley.com/doi/full/10.1002/ldr.4488" TargetMode="External"/><Relationship Id="rId111" Type="http://schemas.openxmlformats.org/officeDocument/2006/relationships/hyperlink" Target="https://doi.org/10.1016/j.fcr.2021.108131" TargetMode="External"/><Relationship Id="rId110" Type="http://schemas.openxmlformats.org/officeDocument/2006/relationships/hyperlink" Target="https://www.nature.com/articles/s41598-022-06560-6" TargetMode="External"/><Relationship Id="rId11" Type="http://schemas.openxmlformats.org/officeDocument/2006/relationships/hyperlink" Target="https://www.researchgate.net/publication/250008880_Elevated_CO_2_affects_the_content_of_glomalin_related_soil_protein_in_xeric_temperate_loess_and_temperate_semi-desert_sand_grasslands" TargetMode="External"/><Relationship Id="rId109" Type="http://schemas.openxmlformats.org/officeDocument/2006/relationships/hyperlink" Target="https://www.mdpi.com/2223-7747/11/3/393" TargetMode="External"/><Relationship Id="rId108" Type="http://schemas.openxmlformats.org/officeDocument/2006/relationships/hyperlink" Target="https://www.sciencedirect.com/science/article/pii/S0048969718300822" TargetMode="External"/><Relationship Id="rId107" Type="http://schemas.openxmlformats.org/officeDocument/2006/relationships/hyperlink" Target="https://www.nature.com/articles/s41598-017-03248-0" TargetMode="External"/><Relationship Id="rId106" Type="http://schemas.openxmlformats.org/officeDocument/2006/relationships/hyperlink" Target="https://www.nature.com/articles/srep14687" TargetMode="External"/><Relationship Id="rId105" Type="http://schemas.openxmlformats.org/officeDocument/2006/relationships/hyperlink" Target="https://onlinelibrary.wiley.com/doi/full/10.1111/j.1461-0248.2009.01303.x" TargetMode="External"/><Relationship Id="rId104" Type="http://schemas.openxmlformats.org/officeDocument/2006/relationships/hyperlink" Target="https://esajournals.onlinelibrary.wiley.com/doi/full/10.1890/03-5133" TargetMode="External"/><Relationship Id="rId103" Type="http://schemas.openxmlformats.org/officeDocument/2006/relationships/hyperlink" Target="http://dx.doi.org/10.3975/cagsb.2022.012701" TargetMode="External"/><Relationship Id="rId102" Type="http://schemas.openxmlformats.org/officeDocument/2006/relationships/hyperlink" Target="https://www.sciencedirect.com/science/article/pii/S1517838216305251" TargetMode="External"/><Relationship Id="rId101" Type="http://schemas.openxmlformats.org/officeDocument/2006/relationships/hyperlink" Target="https://www.sciencedirect.com/science/article/pii/S092585742030286X" TargetMode="External"/><Relationship Id="rId100" Type="http://schemas.openxmlformats.org/officeDocument/2006/relationships/hyperlink" Target="https://www.sciencedirect.com/science/article/pii/S0378112719326416" TargetMode="External"/><Relationship Id="rId10" Type="http://schemas.openxmlformats.org/officeDocument/2006/relationships/hyperlink" Target="https://link.springer.com/article/10.1007/s11104-006-9106-3" TargetMode="External"/><Relationship Id="rId1" Type="http://schemas.openxmlformats.org/officeDocument/2006/relationships/hyperlink" Target="https://onlinelibrary.wiley.com/doi/full/10.1046/j.1365-2486.2001.00404.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951"/>
  <sheetViews>
    <sheetView tabSelected="1" workbookViewId="0">
      <selection activeCell="C1" sqref="C$1:D$1048576"/>
    </sheetView>
  </sheetViews>
  <sheetFormatPr defaultColWidth="8.91666666666667" defaultRowHeight="13.2"/>
  <cols>
    <col min="1" max="1" width="8.91666666666667" style="3"/>
    <col min="2" max="2" width="8.91666666666667" style="6"/>
    <col min="3" max="3" width="15" style="3" customWidth="1"/>
    <col min="4" max="4" width="21.787037037037" style="3" customWidth="1"/>
    <col min="5" max="6" width="15.5555555555556" style="3"/>
    <col min="7" max="7" width="14.1111111111111" style="7"/>
    <col min="8" max="8" width="11.7777777777778" style="8"/>
    <col min="9" max="9" width="8.91666666666667" style="3"/>
    <col min="10" max="10" width="16.0648148148148" style="3" customWidth="1"/>
    <col min="11" max="11" width="19.1388888888889" style="3" customWidth="1"/>
    <col min="12" max="15" width="8.91666666666667" style="3"/>
    <col min="16" max="16" width="12.8888888888889" style="7"/>
    <col min="17" max="17" width="14.3333333333333" style="7"/>
    <col min="18" max="19" width="14.3333333333333" style="3"/>
    <col min="20" max="22" width="8.91666666666667" style="8"/>
    <col min="23" max="23" width="14.3333333333333" style="3"/>
    <col min="24" max="24" width="12.9166666666667" style="3"/>
    <col min="25" max="27" width="8.91666666666667" style="3"/>
    <col min="28" max="28" width="14.1111111111111" style="9"/>
    <col min="29" max="29" width="12.8888888888889" style="9"/>
    <col min="30" max="31" width="8.91666666666667" style="10"/>
    <col min="32" max="32" width="16.3333333333333" style="9" customWidth="1"/>
    <col min="33" max="33" width="13.5555555555556" style="9" customWidth="1"/>
    <col min="34" max="34" width="14.1111111111111" style="10"/>
    <col min="35" max="35" width="12.8888888888889" style="10"/>
    <col min="36" max="36" width="15.5555555555556" style="4"/>
    <col min="37" max="37" width="14.3333333333333" style="4"/>
    <col min="38" max="38" width="15.5555555555556" style="3"/>
    <col min="39" max="39" width="14.3333333333333" style="3"/>
    <col min="40" max="40" width="15.5555555555556" style="11"/>
    <col min="41" max="41" width="14.3333333333333" style="11"/>
    <col min="42" max="42" width="15.5555555555556" style="12"/>
    <col min="43" max="43" width="14.3333333333333" style="12"/>
    <col min="44" max="44" width="15.5555555555556" style="4"/>
    <col min="45" max="45" width="14.3333333333333" style="4"/>
    <col min="46" max="46" width="15.5555555555556" style="3"/>
    <col min="47" max="47" width="14.3333333333333" style="3"/>
    <col min="48" max="48" width="15.5555555555556" style="11"/>
    <col min="49" max="49" width="14.3333333333333" style="11"/>
    <col min="50" max="50" width="15.5555555555556" style="3"/>
    <col min="51" max="51" width="14.3333333333333" style="3"/>
    <col min="52" max="52" width="15.5555555555556" style="3"/>
    <col min="53" max="53" width="14.3333333333333" style="3"/>
    <col min="54" max="54" width="15.5555555555556" style="3"/>
    <col min="55" max="55" width="14.3333333333333" style="3"/>
    <col min="56" max="56" width="15.5555555555556" style="3"/>
    <col min="57" max="57" width="14.3333333333333" style="3"/>
    <col min="58" max="58" width="15.5555555555556" style="12"/>
    <col min="59" max="59" width="14.3333333333333" style="12"/>
    <col min="60" max="60" width="15.5555555555556" style="12"/>
    <col min="61" max="61" width="14.3333333333333" style="12"/>
    <col min="62" max="62" width="15.5555555555556" style="3"/>
    <col min="63" max="63" width="14.3333333333333" style="3"/>
    <col min="64" max="65" width="15.6851851851852" style="3" customWidth="1"/>
    <col min="66" max="67" width="20.2592592592593" style="3" customWidth="1"/>
    <col min="68" max="69" width="18.8148148148148" style="3" customWidth="1"/>
    <col min="70" max="71" width="17.3888888888889" style="3" customWidth="1"/>
    <col min="72" max="73" width="17.5185185185185" style="3" customWidth="1"/>
    <col min="74" max="75" width="18.4537037037037" style="3" customWidth="1"/>
    <col min="76" max="16384" width="8.91666666666667" style="3"/>
  </cols>
  <sheetData>
    <row r="1" s="3" customFormat="1" ht="30" customHeight="1" spans="1:75">
      <c r="A1" s="13" t="s">
        <v>0</v>
      </c>
      <c r="B1" s="14" t="s">
        <v>1</v>
      </c>
      <c r="C1" s="15" t="s">
        <v>2</v>
      </c>
      <c r="D1" s="15" t="s">
        <v>3</v>
      </c>
      <c r="E1" s="16" t="s">
        <v>4</v>
      </c>
      <c r="F1" s="16" t="s">
        <v>5</v>
      </c>
      <c r="G1" s="16" t="s">
        <v>6</v>
      </c>
      <c r="H1" s="17" t="s">
        <v>7</v>
      </c>
      <c r="I1" s="16" t="s">
        <v>8</v>
      </c>
      <c r="J1" s="16" t="s">
        <v>9</v>
      </c>
      <c r="K1" s="16" t="s">
        <v>10</v>
      </c>
      <c r="L1" s="16" t="s">
        <v>11</v>
      </c>
      <c r="M1" s="16" t="s">
        <v>12</v>
      </c>
      <c r="N1" s="16" t="s">
        <v>13</v>
      </c>
      <c r="O1" s="16" t="s">
        <v>14</v>
      </c>
      <c r="P1" s="16" t="s">
        <v>15</v>
      </c>
      <c r="Q1" s="16" t="s">
        <v>16</v>
      </c>
      <c r="R1" s="16" t="s">
        <v>17</v>
      </c>
      <c r="S1" s="16" t="s">
        <v>18</v>
      </c>
      <c r="T1" s="27" t="s">
        <v>19</v>
      </c>
      <c r="U1" s="27" t="s">
        <v>20</v>
      </c>
      <c r="V1" s="27" t="s">
        <v>21</v>
      </c>
      <c r="W1" s="31" t="s">
        <v>22</v>
      </c>
      <c r="X1" s="31" t="s">
        <v>23</v>
      </c>
      <c r="Y1" s="31" t="s">
        <v>24</v>
      </c>
      <c r="Z1" s="32" t="s">
        <v>25</v>
      </c>
      <c r="AA1" s="32" t="s">
        <v>26</v>
      </c>
      <c r="AB1" s="23" t="s">
        <v>27</v>
      </c>
      <c r="AC1" s="23" t="s">
        <v>28</v>
      </c>
      <c r="AD1" s="33" t="s">
        <v>29</v>
      </c>
      <c r="AE1" s="33" t="s">
        <v>30</v>
      </c>
      <c r="AF1" s="23" t="s">
        <v>31</v>
      </c>
      <c r="AG1" s="23" t="s">
        <v>32</v>
      </c>
      <c r="AH1" s="33" t="s">
        <v>33</v>
      </c>
      <c r="AI1" s="33" t="s">
        <v>34</v>
      </c>
      <c r="AJ1" s="5" t="s">
        <v>35</v>
      </c>
      <c r="AK1" s="5" t="s">
        <v>36</v>
      </c>
      <c r="AL1" s="13" t="s">
        <v>37</v>
      </c>
      <c r="AM1" s="13" t="s">
        <v>38</v>
      </c>
      <c r="AN1" s="5" t="s">
        <v>39</v>
      </c>
      <c r="AO1" s="5" t="s">
        <v>40</v>
      </c>
      <c r="AP1" s="13" t="s">
        <v>41</v>
      </c>
      <c r="AQ1" s="13" t="s">
        <v>42</v>
      </c>
      <c r="AR1" s="5" t="s">
        <v>43</v>
      </c>
      <c r="AS1" s="5" t="s">
        <v>44</v>
      </c>
      <c r="AT1" s="13" t="s">
        <v>45</v>
      </c>
      <c r="AU1" s="13" t="s">
        <v>46</v>
      </c>
      <c r="AV1" s="5" t="s">
        <v>47</v>
      </c>
      <c r="AW1" s="5"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row>
    <row r="2" s="4" customFormat="1" ht="16.8" spans="1:75">
      <c r="A2" s="4">
        <v>1</v>
      </c>
      <c r="B2" s="18">
        <v>1</v>
      </c>
      <c r="C2" s="19" t="s">
        <v>75</v>
      </c>
      <c r="D2" s="5" t="s">
        <v>76</v>
      </c>
      <c r="E2" s="9">
        <v>33.0732287557934</v>
      </c>
      <c r="F2" s="9">
        <v>-111.979480743408</v>
      </c>
      <c r="G2" s="20">
        <v>21.3666667938232</v>
      </c>
      <c r="H2" s="21">
        <v>202</v>
      </c>
      <c r="I2" s="4"/>
      <c r="J2" s="5" t="s">
        <v>77</v>
      </c>
      <c r="K2" s="5" t="s">
        <v>78</v>
      </c>
      <c r="L2" s="4">
        <v>1999</v>
      </c>
      <c r="M2" s="4">
        <v>1</v>
      </c>
      <c r="N2" s="5" t="s">
        <v>79</v>
      </c>
      <c r="O2" s="28" t="s">
        <v>80</v>
      </c>
      <c r="P2" s="20"/>
      <c r="Q2" s="5"/>
      <c r="R2" s="5"/>
      <c r="S2" s="13"/>
      <c r="T2" s="21">
        <v>16</v>
      </c>
      <c r="U2" s="21">
        <v>20</v>
      </c>
      <c r="V2" s="21">
        <v>64</v>
      </c>
      <c r="W2" s="18">
        <v>1</v>
      </c>
      <c r="X2" s="5" t="s">
        <v>81</v>
      </c>
      <c r="Y2" s="5" t="s">
        <v>82</v>
      </c>
      <c r="Z2" s="4">
        <v>4</v>
      </c>
      <c r="AA2" s="4">
        <v>4</v>
      </c>
      <c r="AB2" s="9">
        <v>0.00773889846482756</v>
      </c>
      <c r="AC2" s="9">
        <v>0.0035000721163212</v>
      </c>
      <c r="AD2" s="9">
        <v>0.0727085050606885</v>
      </c>
      <c r="AE2" s="9">
        <v>0.0205020730808958</v>
      </c>
      <c r="AF2" s="9">
        <v>0.0649696065958608</v>
      </c>
      <c r="AG2" s="9">
        <v>0.0240021451972169</v>
      </c>
      <c r="AH2" s="9"/>
      <c r="AI2" s="9"/>
      <c r="AJ2" s="4"/>
      <c r="AK2" s="4"/>
      <c r="AL2" s="4"/>
      <c r="AM2" s="4"/>
      <c r="AN2" s="4"/>
      <c r="AO2" s="4"/>
      <c r="AP2" s="4"/>
      <c r="AQ2" s="4"/>
      <c r="AR2" s="4"/>
      <c r="AS2" s="4"/>
      <c r="AT2" s="4"/>
      <c r="AU2" s="4"/>
      <c r="AV2" s="4"/>
      <c r="AW2" s="4"/>
      <c r="AX2" s="4"/>
      <c r="AY2" s="4"/>
      <c r="BD2" s="4">
        <v>0.188374219881591</v>
      </c>
      <c r="BE2" s="4">
        <v>0.000450343087482334</v>
      </c>
      <c r="BV2" s="4">
        <v>1.23368442440358</v>
      </c>
      <c r="BW2" s="4">
        <v>0.00601609258221008</v>
      </c>
    </row>
    <row r="3" s="4" customFormat="1" ht="16.8" spans="1:75">
      <c r="A3" s="4">
        <v>2</v>
      </c>
      <c r="B3" s="18">
        <v>1</v>
      </c>
      <c r="C3" s="19" t="s">
        <v>75</v>
      </c>
      <c r="D3" s="5" t="s">
        <v>76</v>
      </c>
      <c r="E3" s="9">
        <v>33.0732287557934</v>
      </c>
      <c r="F3" s="9">
        <v>-111.979480743408</v>
      </c>
      <c r="G3" s="20">
        <v>21.3666667938232</v>
      </c>
      <c r="H3" s="21">
        <v>202</v>
      </c>
      <c r="I3" s="4"/>
      <c r="J3" s="5" t="s">
        <v>77</v>
      </c>
      <c r="K3" s="5" t="s">
        <v>78</v>
      </c>
      <c r="L3" s="4">
        <v>1999</v>
      </c>
      <c r="M3" s="4">
        <v>1</v>
      </c>
      <c r="N3" s="5" t="s">
        <v>79</v>
      </c>
      <c r="O3" s="28" t="s">
        <v>80</v>
      </c>
      <c r="P3" s="20"/>
      <c r="Q3" s="5"/>
      <c r="R3" s="5"/>
      <c r="S3" s="13"/>
      <c r="T3" s="21">
        <v>16</v>
      </c>
      <c r="U3" s="21">
        <v>20</v>
      </c>
      <c r="V3" s="21">
        <v>64</v>
      </c>
      <c r="W3" s="18">
        <v>1</v>
      </c>
      <c r="X3" s="5" t="s">
        <v>81</v>
      </c>
      <c r="Y3" s="5" t="s">
        <v>82</v>
      </c>
      <c r="Z3" s="4">
        <v>4</v>
      </c>
      <c r="AA3" s="4">
        <v>4</v>
      </c>
      <c r="AB3" s="9">
        <v>0.134912488087396</v>
      </c>
      <c r="AC3" s="9">
        <v>0.00406191777177055</v>
      </c>
      <c r="AD3" s="9">
        <v>0.292934057444289</v>
      </c>
      <c r="AE3" s="9">
        <v>0.0362671870224303</v>
      </c>
      <c r="AF3" s="9">
        <v>0.158021569356892</v>
      </c>
      <c r="AG3" s="9">
        <v>0.0403291047942011</v>
      </c>
      <c r="AH3" s="9"/>
      <c r="AI3" s="9"/>
      <c r="AJ3" s="4"/>
      <c r="AK3" s="4"/>
      <c r="AL3" s="4"/>
      <c r="AM3" s="4"/>
      <c r="AN3" s="4"/>
      <c r="AO3" s="4"/>
      <c r="AP3" s="4"/>
      <c r="AQ3" s="4"/>
      <c r="AR3" s="4"/>
      <c r="AS3" s="4"/>
      <c r="AT3" s="4"/>
      <c r="AU3" s="4"/>
      <c r="AV3" s="4"/>
      <c r="AW3" s="4"/>
      <c r="AX3" s="4"/>
      <c r="AY3" s="4"/>
      <c r="BD3" s="4">
        <v>0.333457138205069</v>
      </c>
      <c r="BE3" s="4">
        <v>0.00622766020417729</v>
      </c>
      <c r="BV3" s="4">
        <v>0.777161999162129</v>
      </c>
      <c r="BW3" s="4">
        <v>0.013342772664287</v>
      </c>
    </row>
    <row r="4" s="5" customFormat="1" spans="1:75">
      <c r="A4" s="4">
        <v>3</v>
      </c>
      <c r="B4" s="22">
        <v>1</v>
      </c>
      <c r="C4" s="19" t="s">
        <v>75</v>
      </c>
      <c r="D4" s="5" t="s">
        <v>76</v>
      </c>
      <c r="E4" s="23">
        <v>33.0732287557934</v>
      </c>
      <c r="F4" s="23">
        <v>-111.979480743408</v>
      </c>
      <c r="G4" s="20">
        <v>21.3666667938232</v>
      </c>
      <c r="H4" s="21">
        <v>202</v>
      </c>
      <c r="I4" s="5"/>
      <c r="J4" s="5" t="s">
        <v>83</v>
      </c>
      <c r="K4" s="5" t="s">
        <v>78</v>
      </c>
      <c r="L4" s="5">
        <v>1999</v>
      </c>
      <c r="M4" s="5">
        <v>1</v>
      </c>
      <c r="N4" s="5" t="s">
        <v>79</v>
      </c>
      <c r="O4" s="28" t="s">
        <v>80</v>
      </c>
      <c r="P4" s="20"/>
      <c r="Q4" s="5"/>
      <c r="R4" s="5"/>
      <c r="S4" s="13"/>
      <c r="T4" s="21">
        <v>16</v>
      </c>
      <c r="U4" s="21">
        <v>20</v>
      </c>
      <c r="V4" s="21">
        <v>64</v>
      </c>
      <c r="W4" s="22">
        <v>1</v>
      </c>
      <c r="X4" s="5" t="s">
        <v>81</v>
      </c>
      <c r="Y4" s="5" t="s">
        <v>82</v>
      </c>
      <c r="Z4" s="5">
        <v>4</v>
      </c>
      <c r="AA4" s="5">
        <v>4</v>
      </c>
      <c r="AB4" s="23">
        <v>-0.0259347950519573</v>
      </c>
      <c r="AC4" s="23">
        <v>0.00575543750334476</v>
      </c>
      <c r="AD4" s="23">
        <v>-0.092788803460397</v>
      </c>
      <c r="AE4" s="23">
        <v>0.0218940230435381</v>
      </c>
      <c r="AF4" s="23">
        <v>-0.06685400840844</v>
      </c>
      <c r="AG4" s="23">
        <v>0.0276494605468828</v>
      </c>
      <c r="AH4" s="23"/>
      <c r="AI4" s="23"/>
      <c r="AJ4" s="5"/>
      <c r="AK4" s="5"/>
      <c r="AL4" s="5"/>
      <c r="AM4" s="5"/>
      <c r="AN4" s="5"/>
      <c r="AO4" s="5"/>
      <c r="AP4" s="5"/>
      <c r="AQ4" s="5"/>
      <c r="AR4" s="5"/>
      <c r="AS4" s="5"/>
      <c r="AT4" s="5"/>
      <c r="AU4" s="5"/>
      <c r="AV4" s="5"/>
      <c r="AW4" s="5"/>
      <c r="AX4" s="5"/>
      <c r="AY4" s="5"/>
      <c r="AZ4" s="4"/>
      <c r="BA4" s="4"/>
      <c r="BB4" s="4"/>
      <c r="BC4" s="4"/>
      <c r="BD4" s="4">
        <v>-0.0541805845183827</v>
      </c>
      <c r="BE4" s="4">
        <v>0.00533833495163822</v>
      </c>
      <c r="BF4" s="4"/>
      <c r="BG4" s="4"/>
      <c r="BH4" s="4"/>
      <c r="BI4" s="4"/>
      <c r="BJ4" s="4"/>
      <c r="BK4" s="4"/>
      <c r="BL4" s="4"/>
      <c r="BM4" s="4"/>
      <c r="BN4" s="4"/>
      <c r="BO4" s="4"/>
      <c r="BP4" s="4"/>
      <c r="BQ4" s="4"/>
      <c r="BR4" s="4"/>
      <c r="BS4" s="4"/>
      <c r="BT4" s="4"/>
      <c r="BU4" s="4"/>
      <c r="BV4" s="4">
        <v>-0.110565708443024</v>
      </c>
      <c r="BW4" s="4">
        <v>0.0186980228139287</v>
      </c>
    </row>
    <row r="5" s="5" customFormat="1" spans="1:75">
      <c r="A5" s="4">
        <v>4</v>
      </c>
      <c r="B5" s="22">
        <v>1</v>
      </c>
      <c r="C5" s="19" t="s">
        <v>75</v>
      </c>
      <c r="D5" s="5" t="s">
        <v>76</v>
      </c>
      <c r="E5" s="23">
        <v>33.0732287557934</v>
      </c>
      <c r="F5" s="23">
        <v>-111.979480743408</v>
      </c>
      <c r="G5" s="20">
        <v>21.3666667938232</v>
      </c>
      <c r="H5" s="21">
        <v>202</v>
      </c>
      <c r="I5" s="5"/>
      <c r="J5" s="5" t="s">
        <v>83</v>
      </c>
      <c r="K5" s="5" t="s">
        <v>78</v>
      </c>
      <c r="L5" s="5">
        <v>1999</v>
      </c>
      <c r="M5" s="5">
        <v>1</v>
      </c>
      <c r="N5" s="5" t="s">
        <v>79</v>
      </c>
      <c r="O5" s="28" t="s">
        <v>80</v>
      </c>
      <c r="P5" s="20"/>
      <c r="Q5" s="5"/>
      <c r="R5" s="5"/>
      <c r="S5" s="13"/>
      <c r="T5" s="21">
        <v>16</v>
      </c>
      <c r="U5" s="21">
        <v>20</v>
      </c>
      <c r="V5" s="21">
        <v>64</v>
      </c>
      <c r="W5" s="22">
        <v>1</v>
      </c>
      <c r="X5" s="5" t="s">
        <v>81</v>
      </c>
      <c r="Y5" s="5" t="s">
        <v>82</v>
      </c>
      <c r="Z5" s="5">
        <v>4</v>
      </c>
      <c r="AA5" s="5">
        <v>4</v>
      </c>
      <c r="AB5" s="23">
        <v>-0.153108384674526</v>
      </c>
      <c r="AC5" s="23">
        <v>0.001806552384747</v>
      </c>
      <c r="AD5" s="23">
        <v>-0.313014355843998</v>
      </c>
      <c r="AE5" s="23">
        <v>0.0348752370597881</v>
      </c>
      <c r="AF5" s="23">
        <v>-0.159905971169471</v>
      </c>
      <c r="AG5" s="23">
        <v>0.0366817894445352</v>
      </c>
      <c r="AH5" s="23"/>
      <c r="AI5" s="23"/>
      <c r="AJ5" s="5"/>
      <c r="AK5" s="5"/>
      <c r="AL5" s="5"/>
      <c r="AM5" s="5"/>
      <c r="AN5" s="5"/>
      <c r="AO5" s="5"/>
      <c r="AP5" s="5"/>
      <c r="AQ5" s="5"/>
      <c r="AR5" s="5"/>
      <c r="AS5" s="5"/>
      <c r="AT5" s="5"/>
      <c r="AU5" s="5"/>
      <c r="AV5" s="5"/>
      <c r="AW5" s="5"/>
      <c r="AX5" s="5"/>
      <c r="AY5" s="5"/>
      <c r="AZ5" s="4"/>
      <c r="BA5" s="4"/>
      <c r="BB5" s="4"/>
      <c r="BC5" s="4"/>
      <c r="BD5" s="4">
        <v>0.0909023338050956</v>
      </c>
      <c r="BE5" s="4">
        <v>0.00133966834002141</v>
      </c>
      <c r="BF5" s="4"/>
      <c r="BG5" s="4"/>
      <c r="BH5" s="4"/>
      <c r="BI5" s="4"/>
      <c r="BJ5" s="4"/>
      <c r="BK5" s="4"/>
      <c r="BL5" s="4"/>
      <c r="BM5" s="4"/>
      <c r="BN5" s="4"/>
      <c r="BO5" s="4"/>
      <c r="BP5" s="4"/>
      <c r="BQ5" s="4"/>
      <c r="BR5" s="4"/>
      <c r="BS5" s="4"/>
      <c r="BT5" s="4"/>
      <c r="BU5" s="4"/>
      <c r="BV5" s="4">
        <v>0.345956716798425</v>
      </c>
      <c r="BW5" s="4">
        <v>0.000660842432568329</v>
      </c>
    </row>
    <row r="6" s="3" customFormat="1" spans="1:49">
      <c r="A6" s="4">
        <v>5</v>
      </c>
      <c r="B6" s="6">
        <v>2</v>
      </c>
      <c r="C6" s="13" t="s">
        <v>84</v>
      </c>
      <c r="D6" s="13" t="s">
        <v>85</v>
      </c>
      <c r="E6" s="3">
        <v>37.4058980932834</v>
      </c>
      <c r="F6" s="3">
        <v>-122.245082855224</v>
      </c>
      <c r="G6" s="20">
        <v>13.7833337783813</v>
      </c>
      <c r="H6" s="21">
        <v>577</v>
      </c>
      <c r="I6" s="3"/>
      <c r="J6" s="13" t="s">
        <v>86</v>
      </c>
      <c r="K6" s="5" t="s">
        <v>78</v>
      </c>
      <c r="L6" s="3">
        <v>1999</v>
      </c>
      <c r="M6" s="3">
        <v>4</v>
      </c>
      <c r="N6" s="13" t="s">
        <v>87</v>
      </c>
      <c r="O6" s="28" t="s">
        <v>80</v>
      </c>
      <c r="P6" s="20"/>
      <c r="Q6" s="5"/>
      <c r="R6" s="5"/>
      <c r="S6" s="13"/>
      <c r="T6" s="21">
        <v>29</v>
      </c>
      <c r="U6" s="21">
        <v>35</v>
      </c>
      <c r="V6" s="21">
        <v>36</v>
      </c>
      <c r="W6" s="3">
        <v>1</v>
      </c>
      <c r="X6" s="5" t="s">
        <v>81</v>
      </c>
      <c r="Y6" s="13" t="s">
        <v>82</v>
      </c>
      <c r="Z6" s="3">
        <v>8</v>
      </c>
      <c r="AA6" s="3">
        <v>8</v>
      </c>
      <c r="AB6" s="9">
        <v>-0.0578939784189026</v>
      </c>
      <c r="AC6" s="9">
        <v>0.00207300563845885</v>
      </c>
      <c r="AD6" s="25">
        <v>0</v>
      </c>
      <c r="AE6" s="25">
        <v>0.00203125</v>
      </c>
      <c r="AF6" s="9">
        <v>0.057893978418902</v>
      </c>
      <c r="AG6" s="9">
        <v>0.00410425563845886</v>
      </c>
      <c r="AH6" s="25"/>
      <c r="AI6" s="25"/>
      <c r="AJ6" s="4"/>
      <c r="AK6" s="4"/>
      <c r="AL6" s="3"/>
      <c r="AM6" s="3"/>
      <c r="AN6" s="4"/>
      <c r="AO6" s="4"/>
      <c r="AP6" s="3"/>
      <c r="AQ6" s="3"/>
      <c r="AR6" s="5"/>
      <c r="AS6" s="5"/>
      <c r="AT6" s="3"/>
      <c r="AU6" s="3"/>
      <c r="AV6" s="4"/>
      <c r="AW6" s="4"/>
    </row>
    <row r="7" s="3" customFormat="1" spans="1:75">
      <c r="A7" s="4">
        <v>6</v>
      </c>
      <c r="B7" s="6">
        <v>2</v>
      </c>
      <c r="C7" s="13" t="s">
        <v>84</v>
      </c>
      <c r="D7" s="13" t="s">
        <v>85</v>
      </c>
      <c r="E7" s="3">
        <v>37.4058980932834</v>
      </c>
      <c r="F7" s="3">
        <v>-122.245082855224</v>
      </c>
      <c r="G7" s="20">
        <v>13.7833337783813</v>
      </c>
      <c r="H7" s="21">
        <v>577</v>
      </c>
      <c r="I7" s="3"/>
      <c r="J7" s="13" t="s">
        <v>86</v>
      </c>
      <c r="K7" s="5" t="s">
        <v>78</v>
      </c>
      <c r="L7" s="3">
        <v>1999</v>
      </c>
      <c r="M7" s="3">
        <v>4</v>
      </c>
      <c r="N7" s="13" t="s">
        <v>87</v>
      </c>
      <c r="O7" s="28" t="s">
        <v>80</v>
      </c>
      <c r="P7" s="20"/>
      <c r="Q7" s="5"/>
      <c r="R7" s="5"/>
      <c r="S7" s="13"/>
      <c r="T7" s="21">
        <v>29</v>
      </c>
      <c r="U7" s="21">
        <v>35</v>
      </c>
      <c r="V7" s="21">
        <v>36</v>
      </c>
      <c r="W7" s="3">
        <v>1</v>
      </c>
      <c r="X7" s="5" t="s">
        <v>81</v>
      </c>
      <c r="Y7" s="13" t="s">
        <v>82</v>
      </c>
      <c r="Z7" s="3">
        <v>8</v>
      </c>
      <c r="AA7" s="3">
        <v>8</v>
      </c>
      <c r="AB7" s="9">
        <v>-0.0578939784189026</v>
      </c>
      <c r="AC7" s="9">
        <v>0.00207300563845885</v>
      </c>
      <c r="AD7" s="25">
        <v>0</v>
      </c>
      <c r="AE7" s="25">
        <v>0.00203125</v>
      </c>
      <c r="AF7" s="9">
        <v>0.057893978418902</v>
      </c>
      <c r="AG7" s="9">
        <v>0.00410425563845886</v>
      </c>
      <c r="AH7" s="25"/>
      <c r="AI7" s="25"/>
      <c r="AJ7" s="4"/>
      <c r="AK7" s="4"/>
      <c r="AL7" s="3"/>
      <c r="AM7" s="3"/>
      <c r="AN7" s="4"/>
      <c r="AO7" s="4"/>
      <c r="AP7" s="3"/>
      <c r="AQ7" s="3"/>
      <c r="AR7" s="4"/>
      <c r="AS7" s="4"/>
      <c r="AT7" s="3"/>
      <c r="AU7" s="3"/>
      <c r="AV7" s="4"/>
      <c r="AW7" s="4"/>
      <c r="AX7" s="3"/>
      <c r="AY7" s="3"/>
      <c r="BB7" s="3">
        <v>-0.133008243253449</v>
      </c>
      <c r="BC7" s="3">
        <v>0.0040789484585631</v>
      </c>
      <c r="BD7" s="3">
        <v>-0.0796059830325598</v>
      </c>
      <c r="BE7" s="3">
        <v>0.000463417117767141</v>
      </c>
      <c r="BV7" s="3">
        <v>0.351703931216712</v>
      </c>
      <c r="BW7" s="3">
        <v>0.000854517227255162</v>
      </c>
    </row>
    <row r="8" s="4" customFormat="1" spans="1:75">
      <c r="A8" s="4">
        <v>7</v>
      </c>
      <c r="B8" s="18">
        <v>3</v>
      </c>
      <c r="C8" s="19" t="s">
        <v>88</v>
      </c>
      <c r="D8" s="5" t="s">
        <v>89</v>
      </c>
      <c r="E8" s="4">
        <v>28.616666</v>
      </c>
      <c r="F8" s="9">
        <v>113.333333</v>
      </c>
      <c r="G8" s="20">
        <v>17</v>
      </c>
      <c r="H8" s="21">
        <v>1370</v>
      </c>
      <c r="I8" s="4">
        <v>100</v>
      </c>
      <c r="J8" s="5" t="s">
        <v>90</v>
      </c>
      <c r="K8" s="5" t="s">
        <v>78</v>
      </c>
      <c r="L8" s="4">
        <v>2005</v>
      </c>
      <c r="M8" s="4">
        <v>3</v>
      </c>
      <c r="N8" s="5" t="s">
        <v>87</v>
      </c>
      <c r="O8" s="28" t="s">
        <v>80</v>
      </c>
      <c r="P8" s="29"/>
      <c r="Q8" s="4"/>
      <c r="R8" s="4"/>
      <c r="S8" s="13"/>
      <c r="T8" s="21"/>
      <c r="U8" s="21"/>
      <c r="V8" s="21"/>
      <c r="W8" s="18">
        <v>24</v>
      </c>
      <c r="X8" s="5" t="s">
        <v>91</v>
      </c>
      <c r="Y8" s="5" t="s">
        <v>82</v>
      </c>
      <c r="Z8" s="4">
        <v>3</v>
      </c>
      <c r="AA8" s="4">
        <v>3</v>
      </c>
      <c r="AB8" s="9">
        <v>-0.00454627973112048</v>
      </c>
      <c r="AC8" s="9">
        <v>0.000199070821315758</v>
      </c>
      <c r="AD8" s="9">
        <v>-0.0476249131011899</v>
      </c>
      <c r="AE8" s="9">
        <v>7.50540399828061e-5</v>
      </c>
      <c r="AF8" s="9">
        <v>-0.0430786333700693</v>
      </c>
      <c r="AG8" s="9">
        <v>0.000274124861298563</v>
      </c>
      <c r="AH8" s="9">
        <v>-0.0574114603463728</v>
      </c>
      <c r="AI8" s="9">
        <v>0.00157492614530815</v>
      </c>
      <c r="AJ8" s="4">
        <v>0.0528651806152506</v>
      </c>
      <c r="AK8" s="4">
        <v>0.0017739969666239</v>
      </c>
      <c r="AL8" s="4">
        <v>0.00978654724518201</v>
      </c>
      <c r="AM8" s="4">
        <v>0.00164998018529094</v>
      </c>
      <c r="AN8" s="4"/>
      <c r="AO8" s="4"/>
      <c r="AP8" s="4"/>
      <c r="AQ8" s="4"/>
      <c r="AR8" s="4"/>
      <c r="AS8" s="4"/>
      <c r="AT8" s="4"/>
      <c r="AU8" s="4"/>
      <c r="AV8" s="4"/>
      <c r="AW8" s="4"/>
      <c r="AX8" s="4"/>
      <c r="AY8" s="4"/>
      <c r="BL8" s="4">
        <v>0.134732593970157</v>
      </c>
      <c r="BM8" s="4">
        <v>0.0898741849681049</v>
      </c>
      <c r="BP8" s="4">
        <v>0.169703092834743</v>
      </c>
      <c r="BQ8" s="4">
        <v>0.0174585084667735</v>
      </c>
      <c r="BV8" s="4">
        <v>0.351703931216712</v>
      </c>
      <c r="BW8" s="4">
        <v>0.0182297008481101</v>
      </c>
    </row>
    <row r="9" s="3" customFormat="1" spans="1:71">
      <c r="A9" s="4">
        <v>8</v>
      </c>
      <c r="B9" s="6">
        <v>4</v>
      </c>
      <c r="C9" s="24" t="s">
        <v>92</v>
      </c>
      <c r="D9" s="13" t="s">
        <v>93</v>
      </c>
      <c r="E9" s="25">
        <v>35.26666</v>
      </c>
      <c r="F9" s="25">
        <v>107.5</v>
      </c>
      <c r="G9" s="20">
        <v>9.59999942779541</v>
      </c>
      <c r="H9" s="21">
        <v>588</v>
      </c>
      <c r="I9" s="3">
        <v>1254</v>
      </c>
      <c r="J9" s="13" t="s">
        <v>94</v>
      </c>
      <c r="K9" s="5" t="s">
        <v>78</v>
      </c>
      <c r="L9" s="3">
        <v>2008</v>
      </c>
      <c r="M9" s="3">
        <v>4</v>
      </c>
      <c r="N9" s="13" t="s">
        <v>87</v>
      </c>
      <c r="O9" s="28" t="s">
        <v>80</v>
      </c>
      <c r="P9" s="7">
        <v>8.2</v>
      </c>
      <c r="Q9" s="13">
        <v>7.19388</v>
      </c>
      <c r="R9" s="3">
        <v>0.95</v>
      </c>
      <c r="S9" s="13">
        <v>7.5725052631579</v>
      </c>
      <c r="T9" s="21">
        <v>20</v>
      </c>
      <c r="U9" s="21">
        <v>36</v>
      </c>
      <c r="V9" s="21">
        <v>44</v>
      </c>
      <c r="W9" s="6">
        <v>29</v>
      </c>
      <c r="X9" s="5" t="s">
        <v>91</v>
      </c>
      <c r="Y9" s="13" t="s">
        <v>82</v>
      </c>
      <c r="Z9" s="3">
        <v>3</v>
      </c>
      <c r="AA9" s="3">
        <v>3</v>
      </c>
      <c r="AB9" s="9">
        <v>-0.1087028989882</v>
      </c>
      <c r="AC9" s="9">
        <v>0.000406533363289379</v>
      </c>
      <c r="AD9" s="25"/>
      <c r="AE9" s="25"/>
      <c r="AF9" s="9"/>
      <c r="AG9" s="9"/>
      <c r="AH9" s="25">
        <v>0.00706710848771975</v>
      </c>
      <c r="AI9" s="25">
        <v>0.000352371786848453</v>
      </c>
      <c r="AJ9" s="4">
        <v>-0.11577000747592</v>
      </c>
      <c r="AK9" s="4">
        <v>0.000758905150137832</v>
      </c>
      <c r="AL9" s="3"/>
      <c r="AM9" s="3"/>
      <c r="AN9" s="4"/>
      <c r="AO9" s="4"/>
      <c r="AP9" s="3"/>
      <c r="AQ9" s="3"/>
      <c r="AR9" s="4"/>
      <c r="AS9" s="4"/>
      <c r="AT9" s="3"/>
      <c r="AU9" s="3"/>
      <c r="AV9" s="4"/>
      <c r="AW9" s="4"/>
      <c r="AX9" s="3"/>
      <c r="AY9" s="3"/>
      <c r="BN9" s="3">
        <v>-0.0880389332097472</v>
      </c>
      <c r="BO9" s="3">
        <v>0.0069415521310565</v>
      </c>
      <c r="BR9" s="3">
        <v>0.270857232624447</v>
      </c>
      <c r="BS9" s="3">
        <v>0.0069415521310565</v>
      </c>
    </row>
    <row r="10" s="3" customFormat="1" spans="1:71">
      <c r="A10" s="4">
        <v>9</v>
      </c>
      <c r="B10" s="6">
        <v>4</v>
      </c>
      <c r="C10" s="24" t="s">
        <v>92</v>
      </c>
      <c r="D10" s="13" t="s">
        <v>93</v>
      </c>
      <c r="E10" s="25">
        <v>35.26666</v>
      </c>
      <c r="F10" s="25">
        <v>107.5</v>
      </c>
      <c r="G10" s="20">
        <v>9.59999942779541</v>
      </c>
      <c r="H10" s="21">
        <v>588</v>
      </c>
      <c r="I10" s="3">
        <v>1254</v>
      </c>
      <c r="J10" s="13" t="s">
        <v>95</v>
      </c>
      <c r="K10" s="5" t="s">
        <v>78</v>
      </c>
      <c r="L10" s="3">
        <v>2008</v>
      </c>
      <c r="M10" s="3">
        <v>4</v>
      </c>
      <c r="N10" s="13" t="s">
        <v>87</v>
      </c>
      <c r="O10" s="28" t="s">
        <v>80</v>
      </c>
      <c r="P10" s="7">
        <v>8.2</v>
      </c>
      <c r="Q10" s="13">
        <v>7.19388</v>
      </c>
      <c r="R10" s="3">
        <v>0.95</v>
      </c>
      <c r="S10" s="13">
        <v>7.5725052631579</v>
      </c>
      <c r="T10" s="21">
        <v>20</v>
      </c>
      <c r="U10" s="21">
        <v>36</v>
      </c>
      <c r="V10" s="21">
        <v>44</v>
      </c>
      <c r="W10" s="6">
        <v>29</v>
      </c>
      <c r="X10" s="5" t="s">
        <v>91</v>
      </c>
      <c r="Y10" s="13" t="s">
        <v>82</v>
      </c>
      <c r="Z10" s="3">
        <v>3</v>
      </c>
      <c r="AA10" s="3">
        <v>3</v>
      </c>
      <c r="AB10" s="9">
        <v>0.0502192013743222</v>
      </c>
      <c r="AC10" s="9">
        <v>0.000432470792251855</v>
      </c>
      <c r="AD10" s="25"/>
      <c r="AE10" s="25"/>
      <c r="AF10" s="9"/>
      <c r="AG10" s="9"/>
      <c r="AH10" s="25">
        <v>0.0382652249572336</v>
      </c>
      <c r="AI10" s="25">
        <v>0.000208215938758405</v>
      </c>
      <c r="AJ10" s="4">
        <v>0.011953976417089</v>
      </c>
      <c r="AK10" s="4">
        <v>0.00064068673101026</v>
      </c>
      <c r="AL10" s="3"/>
      <c r="AM10" s="3"/>
      <c r="AN10" s="4"/>
      <c r="AO10" s="4"/>
      <c r="AP10" s="3"/>
      <c r="AQ10" s="3"/>
      <c r="AR10" s="4"/>
      <c r="AS10" s="4"/>
      <c r="AT10" s="3"/>
      <c r="AU10" s="3"/>
      <c r="AV10" s="4"/>
      <c r="AW10" s="4"/>
      <c r="AX10" s="3"/>
      <c r="AY10" s="3"/>
      <c r="BN10" s="3">
        <v>-0.274308669668963</v>
      </c>
      <c r="BO10" s="3">
        <v>0.0069415521310565</v>
      </c>
      <c r="BR10" s="3">
        <v>0.270857232624447</v>
      </c>
      <c r="BS10" s="3">
        <v>0.0069415521310565</v>
      </c>
    </row>
    <row r="11" s="3" customFormat="1" spans="1:71">
      <c r="A11" s="4">
        <v>10</v>
      </c>
      <c r="B11" s="6">
        <v>4</v>
      </c>
      <c r="C11" s="24" t="s">
        <v>92</v>
      </c>
      <c r="D11" s="13" t="s">
        <v>93</v>
      </c>
      <c r="E11" s="25">
        <v>35.26666</v>
      </c>
      <c r="F11" s="25">
        <v>107.5</v>
      </c>
      <c r="G11" s="20">
        <v>9.59999942779541</v>
      </c>
      <c r="H11" s="21">
        <v>588</v>
      </c>
      <c r="I11" s="3">
        <v>1254</v>
      </c>
      <c r="J11" s="13" t="s">
        <v>94</v>
      </c>
      <c r="K11" s="5" t="s">
        <v>78</v>
      </c>
      <c r="L11" s="3">
        <v>2008</v>
      </c>
      <c r="M11" s="3">
        <v>5</v>
      </c>
      <c r="N11" s="13" t="s">
        <v>87</v>
      </c>
      <c r="O11" s="28" t="s">
        <v>80</v>
      </c>
      <c r="P11" s="7">
        <v>8.2</v>
      </c>
      <c r="Q11" s="13">
        <v>7.19388</v>
      </c>
      <c r="R11" s="3">
        <v>0.95</v>
      </c>
      <c r="S11" s="13">
        <v>7.5725052631579</v>
      </c>
      <c r="T11" s="21">
        <v>20</v>
      </c>
      <c r="U11" s="21">
        <v>36</v>
      </c>
      <c r="V11" s="21">
        <v>44</v>
      </c>
      <c r="W11" s="6">
        <v>29</v>
      </c>
      <c r="X11" s="5" t="s">
        <v>91</v>
      </c>
      <c r="Y11" s="13" t="s">
        <v>82</v>
      </c>
      <c r="Z11" s="3">
        <v>3</v>
      </c>
      <c r="AA11" s="3">
        <v>3</v>
      </c>
      <c r="AB11" s="9">
        <v>0.264441703381026</v>
      </c>
      <c r="AC11" s="9">
        <v>0.000161094997732162</v>
      </c>
      <c r="AD11" s="25"/>
      <c r="AE11" s="25"/>
      <c r="AF11" s="9"/>
      <c r="AG11" s="9"/>
      <c r="AH11" s="25">
        <v>0.00706710848771975</v>
      </c>
      <c r="AI11" s="25">
        <v>0.000352371786848453</v>
      </c>
      <c r="AJ11" s="4">
        <v>0.257374594893306</v>
      </c>
      <c r="AK11" s="4">
        <v>0.000513466784580614</v>
      </c>
      <c r="AL11" s="3"/>
      <c r="AM11" s="3"/>
      <c r="AN11" s="4"/>
      <c r="AO11" s="4"/>
      <c r="AP11" s="3"/>
      <c r="AQ11" s="3"/>
      <c r="AR11" s="4"/>
      <c r="AS11" s="4"/>
      <c r="AT11" s="3"/>
      <c r="AU11" s="3"/>
      <c r="AV11" s="4"/>
      <c r="AW11" s="4"/>
      <c r="AX11" s="3"/>
      <c r="AY11" s="3"/>
      <c r="BN11" s="3">
        <v>-0.0880389332097472</v>
      </c>
      <c r="BO11" s="3">
        <v>0.0069415521310565</v>
      </c>
      <c r="BR11" s="3">
        <v>0.509562468273776</v>
      </c>
      <c r="BS11" s="3">
        <v>0.0069415521310565</v>
      </c>
    </row>
    <row r="12" s="3" customFormat="1" spans="1:71">
      <c r="A12" s="4">
        <v>11</v>
      </c>
      <c r="B12" s="6">
        <v>4</v>
      </c>
      <c r="C12" s="24" t="s">
        <v>92</v>
      </c>
      <c r="D12" s="13" t="s">
        <v>93</v>
      </c>
      <c r="E12" s="25">
        <v>35.26666</v>
      </c>
      <c r="F12" s="25">
        <v>107.5</v>
      </c>
      <c r="G12" s="20">
        <v>9.59999942779541</v>
      </c>
      <c r="H12" s="21">
        <v>588</v>
      </c>
      <c r="I12" s="3">
        <v>1254</v>
      </c>
      <c r="J12" s="13" t="s">
        <v>95</v>
      </c>
      <c r="K12" s="5" t="s">
        <v>78</v>
      </c>
      <c r="L12" s="3">
        <v>2008</v>
      </c>
      <c r="M12" s="3">
        <v>5</v>
      </c>
      <c r="N12" s="13" t="s">
        <v>87</v>
      </c>
      <c r="O12" s="28" t="s">
        <v>80</v>
      </c>
      <c r="P12" s="7">
        <v>8.2</v>
      </c>
      <c r="Q12" s="13">
        <v>7.19388</v>
      </c>
      <c r="R12" s="3">
        <v>0.95</v>
      </c>
      <c r="S12" s="13">
        <v>7.5725052631579</v>
      </c>
      <c r="T12" s="21">
        <v>20</v>
      </c>
      <c r="U12" s="21">
        <v>36</v>
      </c>
      <c r="V12" s="21">
        <v>44</v>
      </c>
      <c r="W12" s="6">
        <v>29</v>
      </c>
      <c r="X12" s="5" t="s">
        <v>91</v>
      </c>
      <c r="Y12" s="13" t="s">
        <v>82</v>
      </c>
      <c r="Z12" s="3">
        <v>3</v>
      </c>
      <c r="AA12" s="3">
        <v>3</v>
      </c>
      <c r="AB12" s="9">
        <v>0.333895961349693</v>
      </c>
      <c r="AC12" s="9">
        <v>0.000637570056401279</v>
      </c>
      <c r="AD12" s="25"/>
      <c r="AE12" s="25"/>
      <c r="AF12" s="9"/>
      <c r="AG12" s="9"/>
      <c r="AH12" s="25">
        <v>0.0382652249572336</v>
      </c>
      <c r="AI12" s="25">
        <v>0.000208215938758405</v>
      </c>
      <c r="AJ12" s="4">
        <v>0.29563073639246</v>
      </c>
      <c r="AK12" s="4">
        <v>0.000845785995159682</v>
      </c>
      <c r="AL12" s="3"/>
      <c r="AM12" s="3"/>
      <c r="AN12" s="4"/>
      <c r="AO12" s="4"/>
      <c r="AP12" s="3"/>
      <c r="AQ12" s="3"/>
      <c r="AR12" s="4"/>
      <c r="AS12" s="4"/>
      <c r="AT12" s="3"/>
      <c r="AU12" s="3"/>
      <c r="AV12" s="4"/>
      <c r="AW12" s="4"/>
      <c r="AX12" s="3"/>
      <c r="AY12" s="3"/>
      <c r="BN12" s="3">
        <v>-0.274308669668963</v>
      </c>
      <c r="BO12" s="3">
        <v>0.0069415521310565</v>
      </c>
      <c r="BR12" s="3">
        <v>0.23904168422271</v>
      </c>
      <c r="BS12" s="3">
        <v>0.0069415521310565</v>
      </c>
    </row>
    <row r="13" s="3" customFormat="1" spans="1:71">
      <c r="A13" s="4">
        <v>12</v>
      </c>
      <c r="B13" s="6">
        <v>4</v>
      </c>
      <c r="C13" s="24" t="s">
        <v>92</v>
      </c>
      <c r="D13" s="13" t="s">
        <v>93</v>
      </c>
      <c r="E13" s="25">
        <v>35.26666</v>
      </c>
      <c r="F13" s="25">
        <v>107.5</v>
      </c>
      <c r="G13" s="20">
        <v>9.59999942779541</v>
      </c>
      <c r="H13" s="21">
        <v>588</v>
      </c>
      <c r="I13" s="3">
        <v>1254</v>
      </c>
      <c r="J13" s="13" t="s">
        <v>94</v>
      </c>
      <c r="K13" s="5" t="s">
        <v>78</v>
      </c>
      <c r="L13" s="3">
        <v>2008</v>
      </c>
      <c r="M13" s="3">
        <v>6</v>
      </c>
      <c r="N13" s="13" t="s">
        <v>96</v>
      </c>
      <c r="O13" s="28" t="s">
        <v>80</v>
      </c>
      <c r="P13" s="7">
        <v>8.2</v>
      </c>
      <c r="Q13" s="13">
        <v>7.19388</v>
      </c>
      <c r="R13" s="3">
        <v>0.95</v>
      </c>
      <c r="S13" s="13">
        <v>7.5725052631579</v>
      </c>
      <c r="T13" s="21">
        <v>20</v>
      </c>
      <c r="U13" s="21">
        <v>36</v>
      </c>
      <c r="V13" s="21">
        <v>44</v>
      </c>
      <c r="W13" s="6">
        <v>29</v>
      </c>
      <c r="X13" s="5" t="s">
        <v>91</v>
      </c>
      <c r="Y13" s="13" t="s">
        <v>82</v>
      </c>
      <c r="Z13" s="3">
        <v>3</v>
      </c>
      <c r="AA13" s="3">
        <v>3</v>
      </c>
      <c r="AB13" s="9">
        <v>0.0453887340150004</v>
      </c>
      <c r="AC13" s="9">
        <v>1.46660030402244e-5</v>
      </c>
      <c r="AD13" s="25"/>
      <c r="AE13" s="25"/>
      <c r="AF13" s="9"/>
      <c r="AG13" s="9"/>
      <c r="AH13" s="25">
        <v>0.00706710848771975</v>
      </c>
      <c r="AI13" s="25">
        <v>0.000352371786848453</v>
      </c>
      <c r="AJ13" s="4">
        <v>0.0383216255272801</v>
      </c>
      <c r="AK13" s="4">
        <v>0.000367037789888678</v>
      </c>
      <c r="AL13" s="3"/>
      <c r="AM13" s="3"/>
      <c r="AN13" s="4"/>
      <c r="AO13" s="4"/>
      <c r="AP13" s="3"/>
      <c r="AQ13" s="3"/>
      <c r="AR13" s="4"/>
      <c r="AS13" s="4"/>
      <c r="AT13" s="3"/>
      <c r="AU13" s="3"/>
      <c r="AV13" s="4"/>
      <c r="AW13" s="4"/>
      <c r="AX13" s="3"/>
      <c r="AY13" s="3"/>
      <c r="BN13" s="3">
        <v>-0.0880389332097472</v>
      </c>
      <c r="BO13" s="3">
        <v>0.0069415521310565</v>
      </c>
      <c r="BR13" s="3">
        <v>0.265074661387214</v>
      </c>
      <c r="BS13" s="3">
        <v>0.0069415521310565</v>
      </c>
    </row>
    <row r="14" s="3" customFormat="1" spans="1:71">
      <c r="A14" s="4">
        <v>13</v>
      </c>
      <c r="B14" s="6">
        <v>4</v>
      </c>
      <c r="C14" s="24" t="s">
        <v>92</v>
      </c>
      <c r="D14" s="13" t="s">
        <v>93</v>
      </c>
      <c r="E14" s="25">
        <v>35.26666</v>
      </c>
      <c r="F14" s="25">
        <v>107.5</v>
      </c>
      <c r="G14" s="20">
        <v>9.59999942779541</v>
      </c>
      <c r="H14" s="21">
        <v>588</v>
      </c>
      <c r="I14" s="3">
        <v>1254</v>
      </c>
      <c r="J14" s="13" t="s">
        <v>95</v>
      </c>
      <c r="K14" s="5" t="s">
        <v>78</v>
      </c>
      <c r="L14" s="3">
        <v>2008</v>
      </c>
      <c r="M14" s="3">
        <v>6</v>
      </c>
      <c r="N14" s="13" t="s">
        <v>96</v>
      </c>
      <c r="O14" s="28" t="s">
        <v>80</v>
      </c>
      <c r="P14" s="7">
        <v>8.2</v>
      </c>
      <c r="Q14" s="13">
        <v>7.19388</v>
      </c>
      <c r="R14" s="3">
        <v>0.95</v>
      </c>
      <c r="S14" s="13">
        <v>7.5725052631579</v>
      </c>
      <c r="T14" s="21">
        <v>20</v>
      </c>
      <c r="U14" s="21">
        <v>36</v>
      </c>
      <c r="V14" s="21">
        <v>44</v>
      </c>
      <c r="W14" s="6">
        <v>29</v>
      </c>
      <c r="X14" s="5" t="s">
        <v>91</v>
      </c>
      <c r="Y14" s="13" t="s">
        <v>82</v>
      </c>
      <c r="Z14" s="3">
        <v>3</v>
      </c>
      <c r="AA14" s="3">
        <v>3</v>
      </c>
      <c r="AB14" s="9">
        <v>0.181491596869013</v>
      </c>
      <c r="AC14" s="9">
        <v>1.46660030402244e-5</v>
      </c>
      <c r="AD14" s="25"/>
      <c r="AE14" s="25"/>
      <c r="AF14" s="9"/>
      <c r="AG14" s="9"/>
      <c r="AH14" s="25">
        <v>0.0382652249572336</v>
      </c>
      <c r="AI14" s="25">
        <v>0.000208215938758405</v>
      </c>
      <c r="AJ14" s="4">
        <v>0.143226371911779</v>
      </c>
      <c r="AK14" s="4">
        <v>0.000222881941798628</v>
      </c>
      <c r="AL14" s="3"/>
      <c r="AM14" s="3"/>
      <c r="AN14" s="4"/>
      <c r="AO14" s="4"/>
      <c r="AP14" s="3"/>
      <c r="AQ14" s="3"/>
      <c r="AR14" s="4"/>
      <c r="AS14" s="4"/>
      <c r="AT14" s="3"/>
      <c r="AU14" s="3"/>
      <c r="AV14" s="4"/>
      <c r="AW14" s="4"/>
      <c r="AX14" s="3"/>
      <c r="AY14" s="3"/>
      <c r="BN14" s="3">
        <v>-0.274308669668963</v>
      </c>
      <c r="BO14" s="3">
        <v>0.0069415521310565</v>
      </c>
      <c r="BR14" s="3">
        <v>0.367029193233194</v>
      </c>
      <c r="BS14" s="3">
        <v>0.0069415521310565</v>
      </c>
    </row>
    <row r="15" s="4" customFormat="1" ht="16.8" spans="1:35">
      <c r="A15" s="4">
        <v>14</v>
      </c>
      <c r="B15" s="18">
        <v>5</v>
      </c>
      <c r="C15" s="19" t="s">
        <v>97</v>
      </c>
      <c r="D15" s="5" t="s">
        <v>98</v>
      </c>
      <c r="E15" s="9">
        <v>37.4</v>
      </c>
      <c r="F15" s="9">
        <v>-122.216</v>
      </c>
      <c r="G15" s="20">
        <v>14.0749998092651</v>
      </c>
      <c r="H15" s="21">
        <v>580</v>
      </c>
      <c r="I15" s="4"/>
      <c r="J15" s="5" t="s">
        <v>77</v>
      </c>
      <c r="K15" s="5" t="s">
        <v>78</v>
      </c>
      <c r="L15" s="4">
        <v>1999</v>
      </c>
      <c r="M15" s="4"/>
      <c r="N15" s="4"/>
      <c r="O15" s="30"/>
      <c r="P15" s="20"/>
      <c r="Q15" s="5"/>
      <c r="R15" s="5"/>
      <c r="S15" s="13"/>
      <c r="T15" s="21">
        <v>29</v>
      </c>
      <c r="U15" s="21">
        <v>35</v>
      </c>
      <c r="V15" s="21">
        <v>36</v>
      </c>
      <c r="W15" s="18">
        <v>3</v>
      </c>
      <c r="X15" s="5" t="s">
        <v>81</v>
      </c>
      <c r="Y15" s="5" t="s">
        <v>82</v>
      </c>
      <c r="Z15" s="4">
        <v>10</v>
      </c>
      <c r="AA15" s="4">
        <v>10</v>
      </c>
      <c r="AB15" s="9">
        <v>0.0375631015756485</v>
      </c>
      <c r="AC15" s="9">
        <v>5.57419420024354e-5</v>
      </c>
      <c r="AD15" s="9"/>
      <c r="AE15" s="9"/>
      <c r="AF15" s="9"/>
      <c r="AG15" s="9"/>
      <c r="AH15" s="9"/>
      <c r="AI15" s="9"/>
    </row>
    <row r="16" s="4" customFormat="1" ht="16.8" spans="1:35">
      <c r="A16" s="4">
        <v>15</v>
      </c>
      <c r="B16" s="18">
        <v>5</v>
      </c>
      <c r="C16" s="19" t="s">
        <v>97</v>
      </c>
      <c r="D16" s="5" t="s">
        <v>98</v>
      </c>
      <c r="E16" s="9">
        <v>37.4</v>
      </c>
      <c r="F16" s="9">
        <v>-122.216</v>
      </c>
      <c r="G16" s="20">
        <v>14.0749998092651</v>
      </c>
      <c r="H16" s="21">
        <v>580</v>
      </c>
      <c r="I16" s="4"/>
      <c r="J16" s="5" t="s">
        <v>77</v>
      </c>
      <c r="K16" s="5" t="s">
        <v>78</v>
      </c>
      <c r="L16" s="4">
        <v>1999</v>
      </c>
      <c r="M16" s="4"/>
      <c r="N16" s="4"/>
      <c r="O16" s="30"/>
      <c r="P16" s="20"/>
      <c r="Q16" s="5"/>
      <c r="R16" s="5"/>
      <c r="S16" s="13"/>
      <c r="T16" s="21">
        <v>29</v>
      </c>
      <c r="U16" s="21">
        <v>35</v>
      </c>
      <c r="V16" s="21">
        <v>36</v>
      </c>
      <c r="W16" s="18">
        <v>3</v>
      </c>
      <c r="X16" s="5" t="s">
        <v>81</v>
      </c>
      <c r="Y16" s="5" t="s">
        <v>82</v>
      </c>
      <c r="Z16" s="4">
        <v>10</v>
      </c>
      <c r="AA16" s="4">
        <v>10</v>
      </c>
      <c r="AB16" s="9">
        <v>0.0108696722369039</v>
      </c>
      <c r="AC16" s="9">
        <v>0.000120822900953206</v>
      </c>
      <c r="AD16" s="9"/>
      <c r="AE16" s="9"/>
      <c r="AF16" s="9"/>
      <c r="AG16" s="9"/>
      <c r="AH16" s="9"/>
      <c r="AI16" s="9"/>
    </row>
    <row r="17" s="4" customFormat="1" ht="16.8" spans="1:35">
      <c r="A17" s="4">
        <v>16</v>
      </c>
      <c r="B17" s="18">
        <v>5</v>
      </c>
      <c r="C17" s="19" t="s">
        <v>97</v>
      </c>
      <c r="D17" s="5" t="s">
        <v>98</v>
      </c>
      <c r="E17" s="9">
        <v>37.4</v>
      </c>
      <c r="F17" s="9">
        <v>-122.216</v>
      </c>
      <c r="G17" s="20">
        <v>14.0749998092651</v>
      </c>
      <c r="H17" s="21">
        <v>580</v>
      </c>
      <c r="I17" s="4"/>
      <c r="J17" s="5" t="s">
        <v>77</v>
      </c>
      <c r="K17" s="5" t="s">
        <v>78</v>
      </c>
      <c r="L17" s="4">
        <v>1999</v>
      </c>
      <c r="M17" s="4"/>
      <c r="N17" s="4"/>
      <c r="O17" s="30"/>
      <c r="P17" s="20"/>
      <c r="Q17" s="5"/>
      <c r="R17" s="5"/>
      <c r="S17" s="13"/>
      <c r="T17" s="21">
        <v>29</v>
      </c>
      <c r="U17" s="21">
        <v>35</v>
      </c>
      <c r="V17" s="21">
        <v>36</v>
      </c>
      <c r="W17" s="18">
        <v>3</v>
      </c>
      <c r="X17" s="5" t="s">
        <v>81</v>
      </c>
      <c r="Y17" s="5" t="s">
        <v>82</v>
      </c>
      <c r="Z17" s="4">
        <v>10</v>
      </c>
      <c r="AA17" s="4">
        <v>10</v>
      </c>
      <c r="AB17" s="9">
        <v>0.109199291964992</v>
      </c>
      <c r="AC17" s="9">
        <v>8.3429929852458e-5</v>
      </c>
      <c r="AD17" s="9"/>
      <c r="AE17" s="9"/>
      <c r="AF17" s="9"/>
      <c r="AG17" s="9"/>
      <c r="AH17" s="9"/>
      <c r="AI17" s="9"/>
    </row>
    <row r="18" s="4" customFormat="1" ht="16.8" spans="1:35">
      <c r="A18" s="4">
        <v>17</v>
      </c>
      <c r="B18" s="18">
        <v>5</v>
      </c>
      <c r="C18" s="19" t="s">
        <v>97</v>
      </c>
      <c r="D18" s="5" t="s">
        <v>98</v>
      </c>
      <c r="E18" s="9">
        <v>37.4</v>
      </c>
      <c r="F18" s="9">
        <v>-122.216</v>
      </c>
      <c r="G18" s="20">
        <v>14.0749998092651</v>
      </c>
      <c r="H18" s="21">
        <v>580</v>
      </c>
      <c r="I18" s="4"/>
      <c r="J18" s="5" t="s">
        <v>77</v>
      </c>
      <c r="K18" s="5" t="s">
        <v>78</v>
      </c>
      <c r="L18" s="4">
        <v>1999</v>
      </c>
      <c r="M18" s="4"/>
      <c r="N18" s="4"/>
      <c r="O18" s="30"/>
      <c r="P18" s="20"/>
      <c r="Q18" s="5"/>
      <c r="R18" s="5"/>
      <c r="S18" s="13"/>
      <c r="T18" s="21">
        <v>29</v>
      </c>
      <c r="U18" s="21">
        <v>35</v>
      </c>
      <c r="V18" s="21">
        <v>36</v>
      </c>
      <c r="W18" s="18">
        <v>3</v>
      </c>
      <c r="X18" s="5" t="s">
        <v>81</v>
      </c>
      <c r="Y18" s="5" t="s">
        <v>82</v>
      </c>
      <c r="Z18" s="4">
        <v>10</v>
      </c>
      <c r="AA18" s="4">
        <v>10</v>
      </c>
      <c r="AB18" s="9">
        <v>0.0705301508058379</v>
      </c>
      <c r="AC18" s="9">
        <v>8.32303696907875e-5</v>
      </c>
      <c r="AD18" s="9"/>
      <c r="AE18" s="9"/>
      <c r="AF18" s="9"/>
      <c r="AG18" s="9"/>
      <c r="AH18" s="9"/>
      <c r="AI18" s="9"/>
    </row>
    <row r="19" s="4" customFormat="1" ht="16.8" spans="1:35">
      <c r="A19" s="4">
        <v>18</v>
      </c>
      <c r="B19" s="18">
        <v>5</v>
      </c>
      <c r="C19" s="19" t="s">
        <v>97</v>
      </c>
      <c r="D19" s="5" t="s">
        <v>98</v>
      </c>
      <c r="E19" s="9">
        <v>37.4</v>
      </c>
      <c r="F19" s="9">
        <v>-122.216</v>
      </c>
      <c r="G19" s="20">
        <v>14.0749998092651</v>
      </c>
      <c r="H19" s="21">
        <v>580</v>
      </c>
      <c r="I19" s="4"/>
      <c r="J19" s="5" t="s">
        <v>77</v>
      </c>
      <c r="K19" s="5" t="s">
        <v>78</v>
      </c>
      <c r="L19" s="4">
        <v>1999</v>
      </c>
      <c r="M19" s="4"/>
      <c r="N19" s="4"/>
      <c r="O19" s="30"/>
      <c r="P19" s="20"/>
      <c r="Q19" s="5"/>
      <c r="R19" s="5"/>
      <c r="S19" s="13"/>
      <c r="T19" s="21">
        <v>29</v>
      </c>
      <c r="U19" s="21">
        <v>35</v>
      </c>
      <c r="V19" s="21">
        <v>36</v>
      </c>
      <c r="W19" s="18">
        <v>3</v>
      </c>
      <c r="X19" s="5" t="s">
        <v>81</v>
      </c>
      <c r="Y19" s="5" t="s">
        <v>82</v>
      </c>
      <c r="Z19" s="4">
        <v>10</v>
      </c>
      <c r="AA19" s="4">
        <v>10</v>
      </c>
      <c r="AB19" s="9">
        <v>-0.0168071183163813</v>
      </c>
      <c r="AC19" s="9">
        <v>0.000395313148360944</v>
      </c>
      <c r="AD19" s="9"/>
      <c r="AE19" s="9"/>
      <c r="AF19" s="9"/>
      <c r="AG19" s="9"/>
      <c r="AH19" s="9"/>
      <c r="AI19" s="9"/>
    </row>
    <row r="20" s="4" customFormat="1" ht="16.8" spans="1:35">
      <c r="A20" s="4">
        <v>19</v>
      </c>
      <c r="B20" s="18">
        <v>5</v>
      </c>
      <c r="C20" s="19" t="s">
        <v>97</v>
      </c>
      <c r="D20" s="5" t="s">
        <v>98</v>
      </c>
      <c r="E20" s="9">
        <v>37.4</v>
      </c>
      <c r="F20" s="9">
        <v>-122.216</v>
      </c>
      <c r="G20" s="20">
        <v>14.0749998092651</v>
      </c>
      <c r="H20" s="21">
        <v>580</v>
      </c>
      <c r="I20" s="4"/>
      <c r="J20" s="5" t="s">
        <v>77</v>
      </c>
      <c r="K20" s="5" t="s">
        <v>78</v>
      </c>
      <c r="L20" s="4">
        <v>1999</v>
      </c>
      <c r="M20" s="4"/>
      <c r="N20" s="4"/>
      <c r="O20" s="30"/>
      <c r="P20" s="20"/>
      <c r="Q20" s="5"/>
      <c r="R20" s="5"/>
      <c r="S20" s="13"/>
      <c r="T20" s="21">
        <v>29</v>
      </c>
      <c r="U20" s="21">
        <v>35</v>
      </c>
      <c r="V20" s="21">
        <v>36</v>
      </c>
      <c r="W20" s="18">
        <v>3</v>
      </c>
      <c r="X20" s="5" t="s">
        <v>81</v>
      </c>
      <c r="Y20" s="5" t="s">
        <v>82</v>
      </c>
      <c r="Z20" s="4">
        <v>10</v>
      </c>
      <c r="AA20" s="4">
        <v>10</v>
      </c>
      <c r="AB20" s="9">
        <v>0.0468835858988505</v>
      </c>
      <c r="AC20" s="9">
        <v>0.000247600116543325</v>
      </c>
      <c r="AD20" s="9"/>
      <c r="AE20" s="9"/>
      <c r="AF20" s="9"/>
      <c r="AG20" s="9"/>
      <c r="AH20" s="9"/>
      <c r="AI20" s="9"/>
    </row>
    <row r="21" s="3" customFormat="1" spans="1:49">
      <c r="A21" s="4">
        <v>20</v>
      </c>
      <c r="B21" s="6">
        <v>6</v>
      </c>
      <c r="C21" s="24" t="s">
        <v>99</v>
      </c>
      <c r="D21" s="13" t="s">
        <v>100</v>
      </c>
      <c r="E21" s="25">
        <v>50.07277</v>
      </c>
      <c r="F21" s="25">
        <v>14.171944</v>
      </c>
      <c r="G21" s="26">
        <v>7.7</v>
      </c>
      <c r="H21" s="27">
        <v>493</v>
      </c>
      <c r="I21" s="3">
        <v>410</v>
      </c>
      <c r="J21" s="13" t="s">
        <v>94</v>
      </c>
      <c r="K21" s="5" t="s">
        <v>78</v>
      </c>
      <c r="L21" s="3">
        <v>2018</v>
      </c>
      <c r="M21" s="3">
        <v>9</v>
      </c>
      <c r="N21" s="3"/>
      <c r="O21" s="28" t="s">
        <v>80</v>
      </c>
      <c r="P21" s="20"/>
      <c r="Q21" s="5"/>
      <c r="R21" s="5"/>
      <c r="S21" s="13"/>
      <c r="T21" s="21">
        <v>19</v>
      </c>
      <c r="U21" s="21">
        <v>50</v>
      </c>
      <c r="V21" s="21">
        <v>31</v>
      </c>
      <c r="W21" s="6">
        <v>1</v>
      </c>
      <c r="X21" s="5" t="s">
        <v>81</v>
      </c>
      <c r="Y21" s="13" t="s">
        <v>82</v>
      </c>
      <c r="Z21" s="3">
        <v>5</v>
      </c>
      <c r="AA21" s="3">
        <v>5</v>
      </c>
      <c r="AB21" s="9">
        <v>0.246216278059509</v>
      </c>
      <c r="AC21" s="9">
        <v>0.000153817010394183</v>
      </c>
      <c r="AD21" s="25">
        <v>0.270362623251601</v>
      </c>
      <c r="AE21" s="25">
        <v>0.00320069368170995</v>
      </c>
      <c r="AF21" s="9">
        <v>0.0241463451920958</v>
      </c>
      <c r="AG21" s="9">
        <v>0.00335451069210413</v>
      </c>
      <c r="AH21" s="25">
        <v>0.19152986399149</v>
      </c>
      <c r="AI21" s="25">
        <v>0.00416493127863389</v>
      </c>
      <c r="AJ21" s="4">
        <v>0.0546864140680166</v>
      </c>
      <c r="AK21" s="4">
        <v>0.00431874828902806</v>
      </c>
      <c r="AL21" s="3">
        <v>0.07883275926011</v>
      </c>
      <c r="AM21" s="3">
        <v>0.00736562496034382</v>
      </c>
      <c r="AN21" s="4"/>
      <c r="AO21" s="4"/>
      <c r="AP21" s="3"/>
      <c r="AQ21" s="3"/>
      <c r="AR21" s="4"/>
      <c r="AS21" s="4"/>
      <c r="AT21" s="3"/>
      <c r="AU21" s="3"/>
      <c r="AV21" s="4"/>
      <c r="AW21" s="4"/>
    </row>
    <row r="22" s="4" customFormat="1" spans="1:35">
      <c r="A22" s="4">
        <v>21</v>
      </c>
      <c r="B22" s="18">
        <v>7</v>
      </c>
      <c r="C22" s="19" t="s">
        <v>101</v>
      </c>
      <c r="D22" s="5" t="s">
        <v>102</v>
      </c>
      <c r="E22" s="9">
        <v>43.3963</v>
      </c>
      <c r="F22" s="9">
        <v>-85.374</v>
      </c>
      <c r="G22" s="20">
        <v>7.68333339691162</v>
      </c>
      <c r="H22" s="21">
        <v>870</v>
      </c>
      <c r="I22" s="4"/>
      <c r="J22" s="5" t="s">
        <v>94</v>
      </c>
      <c r="K22" s="5" t="s">
        <v>78</v>
      </c>
      <c r="L22" s="4">
        <v>2014</v>
      </c>
      <c r="M22" s="4">
        <v>5</v>
      </c>
      <c r="N22" s="5" t="s">
        <v>96</v>
      </c>
      <c r="O22" s="28" t="s">
        <v>80</v>
      </c>
      <c r="P22" s="20"/>
      <c r="Q22" s="20"/>
      <c r="R22" s="5"/>
      <c r="S22" s="13"/>
      <c r="T22" s="21">
        <v>6</v>
      </c>
      <c r="U22" s="21">
        <v>40</v>
      </c>
      <c r="V22" s="21">
        <v>54</v>
      </c>
      <c r="W22" s="18">
        <v>7</v>
      </c>
      <c r="X22" s="5" t="s">
        <v>91</v>
      </c>
      <c r="Y22" s="5" t="s">
        <v>82</v>
      </c>
      <c r="Z22" s="4">
        <v>5</v>
      </c>
      <c r="AA22" s="4">
        <v>5</v>
      </c>
      <c r="AB22" s="9">
        <v>-0.0789884113186303</v>
      </c>
      <c r="AC22" s="9">
        <v>0.000847848119239621</v>
      </c>
      <c r="AD22" s="9"/>
      <c r="AE22" s="9"/>
      <c r="AF22" s="9"/>
      <c r="AG22" s="9"/>
      <c r="AH22" s="9"/>
      <c r="AI22" s="9"/>
    </row>
    <row r="23" s="4" customFormat="1" spans="1:35">
      <c r="A23" s="4">
        <v>22</v>
      </c>
      <c r="B23" s="18">
        <v>7</v>
      </c>
      <c r="C23" s="19" t="s">
        <v>103</v>
      </c>
      <c r="D23" s="5" t="s">
        <v>102</v>
      </c>
      <c r="E23" s="9">
        <v>43.3963</v>
      </c>
      <c r="F23" s="9">
        <v>-85.374</v>
      </c>
      <c r="G23" s="20">
        <v>7.68333339691162</v>
      </c>
      <c r="H23" s="21">
        <v>870</v>
      </c>
      <c r="I23" s="4"/>
      <c r="J23" s="5" t="s">
        <v>94</v>
      </c>
      <c r="K23" s="5" t="s">
        <v>78</v>
      </c>
      <c r="L23" s="4">
        <v>2014</v>
      </c>
      <c r="M23" s="4">
        <v>5</v>
      </c>
      <c r="N23" s="5" t="s">
        <v>96</v>
      </c>
      <c r="O23" s="28" t="s">
        <v>80</v>
      </c>
      <c r="P23" s="20"/>
      <c r="Q23" s="20"/>
      <c r="R23" s="5"/>
      <c r="S23" s="13"/>
      <c r="T23" s="21">
        <v>6</v>
      </c>
      <c r="U23" s="21">
        <v>40</v>
      </c>
      <c r="V23" s="21">
        <v>54</v>
      </c>
      <c r="W23" s="18">
        <v>7</v>
      </c>
      <c r="X23" s="5" t="s">
        <v>91</v>
      </c>
      <c r="Y23" s="5" t="s">
        <v>82</v>
      </c>
      <c r="Z23" s="4">
        <v>5</v>
      </c>
      <c r="AA23" s="4">
        <v>5</v>
      </c>
      <c r="AB23" s="9">
        <v>-0.0156009404424798</v>
      </c>
      <c r="AC23" s="9">
        <v>0.000895550608653203</v>
      </c>
      <c r="AD23" s="9"/>
      <c r="AE23" s="9"/>
      <c r="AF23" s="9"/>
      <c r="AG23" s="9"/>
      <c r="AH23" s="9"/>
      <c r="AI23" s="9"/>
    </row>
    <row r="24" s="4" customFormat="1" spans="1:35">
      <c r="A24" s="4">
        <v>23</v>
      </c>
      <c r="B24" s="18">
        <v>7</v>
      </c>
      <c r="C24" s="19" t="s">
        <v>104</v>
      </c>
      <c r="D24" s="5" t="s">
        <v>102</v>
      </c>
      <c r="E24" s="9">
        <v>43.3963</v>
      </c>
      <c r="F24" s="9">
        <v>-85.374</v>
      </c>
      <c r="G24" s="20">
        <v>7.68333339691162</v>
      </c>
      <c r="H24" s="21">
        <v>870</v>
      </c>
      <c r="I24" s="4"/>
      <c r="J24" s="5" t="s">
        <v>94</v>
      </c>
      <c r="K24" s="5" t="s">
        <v>78</v>
      </c>
      <c r="L24" s="4">
        <v>2014</v>
      </c>
      <c r="M24" s="4">
        <v>5</v>
      </c>
      <c r="N24" s="5" t="s">
        <v>96</v>
      </c>
      <c r="O24" s="28" t="s">
        <v>80</v>
      </c>
      <c r="P24" s="20"/>
      <c r="Q24" s="20"/>
      <c r="R24" s="5"/>
      <c r="S24" s="13"/>
      <c r="T24" s="21">
        <v>6</v>
      </c>
      <c r="U24" s="21">
        <v>40</v>
      </c>
      <c r="V24" s="21">
        <v>54</v>
      </c>
      <c r="W24" s="18">
        <v>7</v>
      </c>
      <c r="X24" s="5" t="s">
        <v>91</v>
      </c>
      <c r="Y24" s="5" t="s">
        <v>82</v>
      </c>
      <c r="Z24" s="4">
        <v>5</v>
      </c>
      <c r="AA24" s="4">
        <v>5</v>
      </c>
      <c r="AB24" s="9">
        <v>0.0496716097972378</v>
      </c>
      <c r="AC24" s="9">
        <v>0.000833076060143898</v>
      </c>
      <c r="AD24" s="9"/>
      <c r="AE24" s="9"/>
      <c r="AF24" s="9"/>
      <c r="AG24" s="9"/>
      <c r="AH24" s="9"/>
      <c r="AI24" s="9"/>
    </row>
    <row r="25" s="4" customFormat="1" spans="1:35">
      <c r="A25" s="4">
        <v>24</v>
      </c>
      <c r="B25" s="18">
        <v>7</v>
      </c>
      <c r="C25" s="19" t="s">
        <v>105</v>
      </c>
      <c r="D25" s="5" t="s">
        <v>102</v>
      </c>
      <c r="E25" s="9">
        <v>43.3963</v>
      </c>
      <c r="F25" s="9">
        <v>-85.374</v>
      </c>
      <c r="G25" s="20">
        <v>7.68333339691162</v>
      </c>
      <c r="H25" s="21">
        <v>870</v>
      </c>
      <c r="I25" s="4"/>
      <c r="J25" s="5" t="s">
        <v>94</v>
      </c>
      <c r="K25" s="5" t="s">
        <v>78</v>
      </c>
      <c r="L25" s="4">
        <v>2014</v>
      </c>
      <c r="M25" s="4">
        <v>5</v>
      </c>
      <c r="N25" s="5" t="s">
        <v>96</v>
      </c>
      <c r="O25" s="28" t="s">
        <v>80</v>
      </c>
      <c r="P25" s="20"/>
      <c r="Q25" s="20"/>
      <c r="R25" s="5"/>
      <c r="S25" s="13"/>
      <c r="T25" s="21">
        <v>6</v>
      </c>
      <c r="U25" s="21">
        <v>40</v>
      </c>
      <c r="V25" s="21">
        <v>54</v>
      </c>
      <c r="W25" s="18">
        <v>7</v>
      </c>
      <c r="X25" s="5" t="s">
        <v>91</v>
      </c>
      <c r="Y25" s="5" t="s">
        <v>82</v>
      </c>
      <c r="Z25" s="4">
        <v>5</v>
      </c>
      <c r="AA25" s="4">
        <v>5</v>
      </c>
      <c r="AB25" s="9">
        <v>-0.0314491326825034</v>
      </c>
      <c r="AC25" s="9">
        <v>0.00135598325232117</v>
      </c>
      <c r="AD25" s="9"/>
      <c r="AE25" s="9"/>
      <c r="AF25" s="9"/>
      <c r="AG25" s="9"/>
      <c r="AH25" s="9"/>
      <c r="AI25" s="9"/>
    </row>
    <row r="26" s="3" customFormat="1" spans="1:53">
      <c r="A26" s="4">
        <v>25</v>
      </c>
      <c r="B26" s="6">
        <v>8</v>
      </c>
      <c r="C26" s="24" t="s">
        <v>106</v>
      </c>
      <c r="D26" s="13" t="s">
        <v>107</v>
      </c>
      <c r="E26" s="25">
        <v>41.5</v>
      </c>
      <c r="F26" s="25">
        <v>111</v>
      </c>
      <c r="G26" s="26">
        <v>9.7</v>
      </c>
      <c r="H26" s="27">
        <v>584.4</v>
      </c>
      <c r="I26" s="3">
        <v>1100</v>
      </c>
      <c r="J26" s="13" t="s">
        <v>94</v>
      </c>
      <c r="K26" s="5" t="s">
        <v>78</v>
      </c>
      <c r="L26" s="3">
        <v>2015</v>
      </c>
      <c r="M26" s="3">
        <v>9</v>
      </c>
      <c r="N26" s="13" t="s">
        <v>108</v>
      </c>
      <c r="O26" s="28" t="s">
        <v>80</v>
      </c>
      <c r="P26" s="7">
        <v>8.6</v>
      </c>
      <c r="Q26" s="5"/>
      <c r="R26" s="5"/>
      <c r="S26" s="13"/>
      <c r="T26" s="21">
        <v>20</v>
      </c>
      <c r="U26" s="21">
        <v>37</v>
      </c>
      <c r="V26" s="21">
        <v>43</v>
      </c>
      <c r="W26" s="6">
        <v>1.5</v>
      </c>
      <c r="X26" s="5" t="s">
        <v>81</v>
      </c>
      <c r="Y26" s="13" t="s">
        <v>82</v>
      </c>
      <c r="Z26" s="3">
        <v>6</v>
      </c>
      <c r="AA26" s="3">
        <v>6</v>
      </c>
      <c r="AB26" s="9">
        <v>1.28516370372385</v>
      </c>
      <c r="AC26" s="9">
        <v>0.0522456407441328</v>
      </c>
      <c r="AD26" s="25"/>
      <c r="AE26" s="25"/>
      <c r="AF26" s="9"/>
      <c r="AG26" s="9"/>
      <c r="AH26" s="25">
        <v>0.474556232408824</v>
      </c>
      <c r="AI26" s="25">
        <v>0.0203796743196916</v>
      </c>
      <c r="AJ26" s="4">
        <v>0.81060747131502</v>
      </c>
      <c r="AK26" s="4">
        <v>0.0726253150638244</v>
      </c>
      <c r="AL26" s="3"/>
      <c r="AM26" s="3"/>
      <c r="AN26" s="4"/>
      <c r="AO26" s="4"/>
      <c r="AP26" s="3"/>
      <c r="AQ26" s="3"/>
      <c r="AR26" s="4"/>
      <c r="AS26" s="4"/>
      <c r="AT26" s="3"/>
      <c r="AU26" s="3"/>
      <c r="AV26" s="4"/>
      <c r="AW26" s="4"/>
      <c r="AX26" s="3"/>
      <c r="AY26" s="3"/>
      <c r="AZ26" s="3">
        <v>0.0339015516756814</v>
      </c>
      <c r="BA26" s="3">
        <v>0.013629712775796</v>
      </c>
    </row>
    <row r="27" s="3" customFormat="1" spans="1:53">
      <c r="A27" s="4">
        <v>26</v>
      </c>
      <c r="B27" s="6">
        <v>8</v>
      </c>
      <c r="C27" s="24" t="s">
        <v>106</v>
      </c>
      <c r="D27" s="13" t="s">
        <v>107</v>
      </c>
      <c r="E27" s="25">
        <v>41.5</v>
      </c>
      <c r="F27" s="25">
        <v>111</v>
      </c>
      <c r="G27" s="26">
        <v>9.7</v>
      </c>
      <c r="H27" s="27">
        <v>584.4</v>
      </c>
      <c r="I27" s="3">
        <v>1100</v>
      </c>
      <c r="J27" s="13" t="s">
        <v>94</v>
      </c>
      <c r="K27" s="5" t="s">
        <v>78</v>
      </c>
      <c r="L27" s="3">
        <v>2015</v>
      </c>
      <c r="M27" s="3">
        <v>9</v>
      </c>
      <c r="N27" s="13" t="s">
        <v>108</v>
      </c>
      <c r="O27" s="28" t="s">
        <v>80</v>
      </c>
      <c r="P27" s="7">
        <v>8.6</v>
      </c>
      <c r="Q27" s="5"/>
      <c r="R27" s="5"/>
      <c r="S27" s="13"/>
      <c r="T27" s="21">
        <v>20</v>
      </c>
      <c r="U27" s="21">
        <v>37</v>
      </c>
      <c r="V27" s="21">
        <v>43</v>
      </c>
      <c r="W27" s="6">
        <v>1.5</v>
      </c>
      <c r="X27" s="5" t="s">
        <v>81</v>
      </c>
      <c r="Y27" s="13" t="s">
        <v>82</v>
      </c>
      <c r="Z27" s="3">
        <v>6</v>
      </c>
      <c r="AA27" s="3">
        <v>6</v>
      </c>
      <c r="AB27" s="9">
        <v>0.103817475563282</v>
      </c>
      <c r="AC27" s="9">
        <v>0.0051763691415094</v>
      </c>
      <c r="AD27" s="25"/>
      <c r="AE27" s="25"/>
      <c r="AF27" s="9"/>
      <c r="AG27" s="9"/>
      <c r="AH27" s="25">
        <v>0.403436709846772</v>
      </c>
      <c r="AI27" s="25">
        <v>0.0054022726755288</v>
      </c>
      <c r="AJ27" s="4">
        <v>-0.299619234283489</v>
      </c>
      <c r="AK27" s="4">
        <v>0.0105786418170381</v>
      </c>
      <c r="AL27" s="3"/>
      <c r="AM27" s="3"/>
      <c r="AN27" s="4"/>
      <c r="AO27" s="4"/>
      <c r="AP27" s="3"/>
      <c r="AQ27" s="3"/>
      <c r="AR27" s="4"/>
      <c r="AS27" s="4"/>
      <c r="AT27" s="3"/>
      <c r="AU27" s="3"/>
      <c r="AV27" s="4"/>
      <c r="AW27" s="4"/>
      <c r="AX27" s="3"/>
      <c r="AY27" s="3"/>
      <c r="AZ27" s="3">
        <v>0.0339015516756814</v>
      </c>
      <c r="BA27" s="3">
        <v>0.013629712775796</v>
      </c>
    </row>
    <row r="28" s="3" customFormat="1" spans="1:53">
      <c r="A28" s="4">
        <v>27</v>
      </c>
      <c r="B28" s="6">
        <v>8</v>
      </c>
      <c r="C28" s="24" t="s">
        <v>106</v>
      </c>
      <c r="D28" s="13" t="s">
        <v>107</v>
      </c>
      <c r="E28" s="25">
        <v>41.5</v>
      </c>
      <c r="F28" s="25">
        <v>111</v>
      </c>
      <c r="G28" s="26">
        <v>9.7</v>
      </c>
      <c r="H28" s="27">
        <v>584.4</v>
      </c>
      <c r="I28" s="3">
        <v>1100</v>
      </c>
      <c r="J28" s="13" t="s">
        <v>94</v>
      </c>
      <c r="K28" s="5" t="s">
        <v>78</v>
      </c>
      <c r="L28" s="3">
        <v>2015</v>
      </c>
      <c r="M28" s="3">
        <v>9</v>
      </c>
      <c r="N28" s="13" t="s">
        <v>108</v>
      </c>
      <c r="O28" s="28" t="s">
        <v>80</v>
      </c>
      <c r="P28" s="7">
        <v>8.6</v>
      </c>
      <c r="Q28" s="5"/>
      <c r="R28" s="5"/>
      <c r="S28" s="13"/>
      <c r="T28" s="21">
        <v>20</v>
      </c>
      <c r="U28" s="21">
        <v>37</v>
      </c>
      <c r="V28" s="21">
        <v>43</v>
      </c>
      <c r="W28" s="6">
        <v>1.5</v>
      </c>
      <c r="X28" s="5" t="s">
        <v>81</v>
      </c>
      <c r="Y28" s="13" t="s">
        <v>82</v>
      </c>
      <c r="Z28" s="3">
        <v>6</v>
      </c>
      <c r="AA28" s="3">
        <v>6</v>
      </c>
      <c r="AB28" s="9">
        <v>1.11122769129818</v>
      </c>
      <c r="AC28" s="9">
        <v>0.0287115044325033</v>
      </c>
      <c r="AD28" s="25"/>
      <c r="AE28" s="25"/>
      <c r="AF28" s="9"/>
      <c r="AG28" s="9"/>
      <c r="AH28" s="25">
        <v>0.591912694750645</v>
      </c>
      <c r="AI28" s="25">
        <v>0.00523803476424898</v>
      </c>
      <c r="AJ28" s="4">
        <v>0.519314996547539</v>
      </c>
      <c r="AK28" s="4">
        <v>0.0339495391967525</v>
      </c>
      <c r="AL28" s="3"/>
      <c r="AM28" s="3"/>
      <c r="AN28" s="4"/>
      <c r="AO28" s="4"/>
      <c r="AP28" s="3"/>
      <c r="AQ28" s="3"/>
      <c r="AR28" s="4"/>
      <c r="AS28" s="4"/>
      <c r="AT28" s="3"/>
      <c r="AU28" s="3"/>
      <c r="AV28" s="4"/>
      <c r="AW28" s="4"/>
      <c r="AX28" s="3"/>
      <c r="AY28" s="3"/>
      <c r="AZ28" s="3">
        <v>0.0339015516756814</v>
      </c>
      <c r="BA28" s="3">
        <v>0.013629712775796</v>
      </c>
    </row>
    <row r="29" s="3" customFormat="1" spans="1:53">
      <c r="A29" s="4">
        <v>28</v>
      </c>
      <c r="B29" s="6">
        <v>8</v>
      </c>
      <c r="C29" s="24" t="s">
        <v>106</v>
      </c>
      <c r="D29" s="13" t="s">
        <v>107</v>
      </c>
      <c r="E29" s="25">
        <v>41.5</v>
      </c>
      <c r="F29" s="25">
        <v>111</v>
      </c>
      <c r="G29" s="26">
        <v>9.7</v>
      </c>
      <c r="H29" s="27">
        <v>584.4</v>
      </c>
      <c r="I29" s="3">
        <v>1100</v>
      </c>
      <c r="J29" s="13" t="s">
        <v>94</v>
      </c>
      <c r="K29" s="5" t="s">
        <v>78</v>
      </c>
      <c r="L29" s="3">
        <v>2015</v>
      </c>
      <c r="M29" s="3">
        <v>9</v>
      </c>
      <c r="N29" s="13" t="s">
        <v>108</v>
      </c>
      <c r="O29" s="28" t="s">
        <v>80</v>
      </c>
      <c r="P29" s="7">
        <v>8.6</v>
      </c>
      <c r="Q29" s="5"/>
      <c r="R29" s="5"/>
      <c r="S29" s="13"/>
      <c r="T29" s="21">
        <v>20</v>
      </c>
      <c r="U29" s="21">
        <v>37</v>
      </c>
      <c r="V29" s="21">
        <v>43</v>
      </c>
      <c r="W29" s="6">
        <v>1.5</v>
      </c>
      <c r="X29" s="5" t="s">
        <v>81</v>
      </c>
      <c r="Y29" s="13" t="s">
        <v>82</v>
      </c>
      <c r="Z29" s="3">
        <v>6</v>
      </c>
      <c r="AA29" s="3">
        <v>6</v>
      </c>
      <c r="AB29" s="9">
        <v>1.63451759683112</v>
      </c>
      <c r="AC29" s="9">
        <v>0.0114472915841591</v>
      </c>
      <c r="AD29" s="25"/>
      <c r="AE29" s="25"/>
      <c r="AF29" s="9"/>
      <c r="AG29" s="9"/>
      <c r="AH29" s="25">
        <v>0.543730647326394</v>
      </c>
      <c r="AI29" s="25">
        <v>0.00964627042906251</v>
      </c>
      <c r="AJ29" s="4">
        <v>1.09078694950473</v>
      </c>
      <c r="AK29" s="4">
        <v>0.0210935620132217</v>
      </c>
      <c r="AL29" s="3"/>
      <c r="AM29" s="3"/>
      <c r="AN29" s="4"/>
      <c r="AO29" s="4"/>
      <c r="AP29" s="3"/>
      <c r="AQ29" s="3"/>
      <c r="AR29" s="4"/>
      <c r="AS29" s="4"/>
      <c r="AT29" s="3"/>
      <c r="AU29" s="3"/>
      <c r="AV29" s="4"/>
      <c r="AW29" s="4"/>
      <c r="AX29" s="3"/>
      <c r="AY29" s="3"/>
      <c r="AZ29" s="3">
        <v>0.0339015516756814</v>
      </c>
      <c r="BA29" s="3">
        <v>0.013629712775796</v>
      </c>
    </row>
    <row r="30" s="3" customFormat="1" spans="1:53">
      <c r="A30" s="4">
        <v>29</v>
      </c>
      <c r="B30" s="6">
        <v>8</v>
      </c>
      <c r="C30" s="24" t="s">
        <v>106</v>
      </c>
      <c r="D30" s="13" t="s">
        <v>107</v>
      </c>
      <c r="E30" s="25">
        <v>41.5</v>
      </c>
      <c r="F30" s="25">
        <v>111</v>
      </c>
      <c r="G30" s="26">
        <v>9.7</v>
      </c>
      <c r="H30" s="27">
        <v>584.4</v>
      </c>
      <c r="I30" s="3">
        <v>1100</v>
      </c>
      <c r="J30" s="13" t="s">
        <v>94</v>
      </c>
      <c r="K30" s="5" t="s">
        <v>78</v>
      </c>
      <c r="L30" s="3">
        <v>2015</v>
      </c>
      <c r="M30" s="3">
        <v>9</v>
      </c>
      <c r="N30" s="13" t="s">
        <v>108</v>
      </c>
      <c r="O30" s="28" t="s">
        <v>80</v>
      </c>
      <c r="P30" s="7">
        <v>8.6</v>
      </c>
      <c r="Q30" s="5"/>
      <c r="R30" s="5"/>
      <c r="S30" s="13"/>
      <c r="T30" s="21">
        <v>20</v>
      </c>
      <c r="U30" s="21">
        <v>37</v>
      </c>
      <c r="V30" s="21">
        <v>43</v>
      </c>
      <c r="W30" s="6">
        <v>1.5</v>
      </c>
      <c r="X30" s="5" t="s">
        <v>81</v>
      </c>
      <c r="Y30" s="13" t="s">
        <v>82</v>
      </c>
      <c r="Z30" s="3">
        <v>6</v>
      </c>
      <c r="AA30" s="3">
        <v>6</v>
      </c>
      <c r="AB30" s="9">
        <v>1.46433706812676</v>
      </c>
      <c r="AC30" s="9">
        <v>0.0389576519407649</v>
      </c>
      <c r="AD30" s="25"/>
      <c r="AE30" s="25"/>
      <c r="AF30" s="9"/>
      <c r="AG30" s="9"/>
      <c r="AH30" s="25">
        <v>0.553678254377313</v>
      </c>
      <c r="AI30" s="25">
        <v>0.0200220990606694</v>
      </c>
      <c r="AJ30" s="4">
        <v>0.910658813749446</v>
      </c>
      <c r="AK30" s="4">
        <v>0.0589797510014344</v>
      </c>
      <c r="AL30" s="3"/>
      <c r="AM30" s="3"/>
      <c r="AN30" s="4"/>
      <c r="AO30" s="4"/>
      <c r="AP30" s="3"/>
      <c r="AQ30" s="3"/>
      <c r="AR30" s="4"/>
      <c r="AS30" s="4"/>
      <c r="AT30" s="3"/>
      <c r="AU30" s="3"/>
      <c r="AV30" s="4"/>
      <c r="AW30" s="4"/>
      <c r="AX30" s="3"/>
      <c r="AY30" s="3"/>
      <c r="AZ30" s="3">
        <v>0.0984400728132525</v>
      </c>
      <c r="BA30" s="3">
        <v>0.0065193672896849</v>
      </c>
    </row>
    <row r="31" s="3" customFormat="1" spans="1:53">
      <c r="A31" s="4">
        <v>30</v>
      </c>
      <c r="B31" s="6">
        <v>8</v>
      </c>
      <c r="C31" s="24" t="s">
        <v>106</v>
      </c>
      <c r="D31" s="13" t="s">
        <v>107</v>
      </c>
      <c r="E31" s="25">
        <v>41.5</v>
      </c>
      <c r="F31" s="25">
        <v>111</v>
      </c>
      <c r="G31" s="26">
        <v>9.7</v>
      </c>
      <c r="H31" s="27">
        <v>584.4</v>
      </c>
      <c r="I31" s="3">
        <v>1100</v>
      </c>
      <c r="J31" s="13" t="s">
        <v>94</v>
      </c>
      <c r="K31" s="5" t="s">
        <v>78</v>
      </c>
      <c r="L31" s="3">
        <v>2015</v>
      </c>
      <c r="M31" s="3">
        <v>9</v>
      </c>
      <c r="N31" s="13" t="s">
        <v>108</v>
      </c>
      <c r="O31" s="28" t="s">
        <v>80</v>
      </c>
      <c r="P31" s="7">
        <v>8.6</v>
      </c>
      <c r="Q31" s="5"/>
      <c r="R31" s="5"/>
      <c r="S31" s="13"/>
      <c r="T31" s="21">
        <v>20</v>
      </c>
      <c r="U31" s="21">
        <v>37</v>
      </c>
      <c r="V31" s="21">
        <v>43</v>
      </c>
      <c r="W31" s="6">
        <v>1.5</v>
      </c>
      <c r="X31" s="5" t="s">
        <v>81</v>
      </c>
      <c r="Y31" s="13" t="s">
        <v>82</v>
      </c>
      <c r="Z31" s="3">
        <v>6</v>
      </c>
      <c r="AA31" s="3">
        <v>6</v>
      </c>
      <c r="AB31" s="9">
        <v>0.129945676467081</v>
      </c>
      <c r="AC31" s="9">
        <v>0.00564767433598754</v>
      </c>
      <c r="AD31" s="25"/>
      <c r="AE31" s="25"/>
      <c r="AF31" s="9"/>
      <c r="AG31" s="9"/>
      <c r="AH31" s="25">
        <v>0.411617278469908</v>
      </c>
      <c r="AI31" s="25">
        <v>0.00709393417164263</v>
      </c>
      <c r="AJ31" s="4">
        <v>-0.281671602002832</v>
      </c>
      <c r="AK31" s="4">
        <v>0.0127416085076302</v>
      </c>
      <c r="AL31" s="3"/>
      <c r="AM31" s="3"/>
      <c r="AN31" s="4"/>
      <c r="AO31" s="4"/>
      <c r="AP31" s="3"/>
      <c r="AQ31" s="3"/>
      <c r="AR31" s="4"/>
      <c r="AS31" s="4"/>
      <c r="AT31" s="3"/>
      <c r="AU31" s="3"/>
      <c r="AV31" s="4"/>
      <c r="AW31" s="4"/>
      <c r="AX31" s="3"/>
      <c r="AY31" s="3"/>
      <c r="AZ31" s="3">
        <v>0.0984400728132525</v>
      </c>
      <c r="BA31" s="3">
        <v>0.0065193672896849</v>
      </c>
    </row>
    <row r="32" s="3" customFormat="1" spans="1:53">
      <c r="A32" s="4">
        <v>31</v>
      </c>
      <c r="B32" s="6">
        <v>8</v>
      </c>
      <c r="C32" s="24" t="s">
        <v>106</v>
      </c>
      <c r="D32" s="13" t="s">
        <v>107</v>
      </c>
      <c r="E32" s="25">
        <v>41.5</v>
      </c>
      <c r="F32" s="25">
        <v>111</v>
      </c>
      <c r="G32" s="26">
        <v>9.7</v>
      </c>
      <c r="H32" s="27">
        <v>584.4</v>
      </c>
      <c r="I32" s="3">
        <v>1100</v>
      </c>
      <c r="J32" s="13" t="s">
        <v>94</v>
      </c>
      <c r="K32" s="5" t="s">
        <v>78</v>
      </c>
      <c r="L32" s="3">
        <v>2015</v>
      </c>
      <c r="M32" s="3">
        <v>9</v>
      </c>
      <c r="N32" s="13" t="s">
        <v>108</v>
      </c>
      <c r="O32" s="28" t="s">
        <v>80</v>
      </c>
      <c r="P32" s="7">
        <v>8.6</v>
      </c>
      <c r="Q32" s="5"/>
      <c r="R32" s="5"/>
      <c r="S32" s="13"/>
      <c r="T32" s="21">
        <v>20</v>
      </c>
      <c r="U32" s="21">
        <v>37</v>
      </c>
      <c r="V32" s="21">
        <v>43</v>
      </c>
      <c r="W32" s="6">
        <v>1.5</v>
      </c>
      <c r="X32" s="5" t="s">
        <v>81</v>
      </c>
      <c r="Y32" s="13" t="s">
        <v>82</v>
      </c>
      <c r="Z32" s="3">
        <v>6</v>
      </c>
      <c r="AA32" s="3">
        <v>6</v>
      </c>
      <c r="AB32" s="9">
        <v>1.30256240209259</v>
      </c>
      <c r="AC32" s="9">
        <v>0.0225750907003097</v>
      </c>
      <c r="AD32" s="25"/>
      <c r="AE32" s="25"/>
      <c r="AF32" s="9"/>
      <c r="AG32" s="9"/>
      <c r="AH32" s="25">
        <v>0.649393085755202</v>
      </c>
      <c r="AI32" s="25">
        <v>0.0133697045759899</v>
      </c>
      <c r="AJ32" s="4">
        <v>0.653169316337388</v>
      </c>
      <c r="AK32" s="4">
        <v>0.0359447952762997</v>
      </c>
      <c r="AL32" s="3"/>
      <c r="AM32" s="3"/>
      <c r="AN32" s="4"/>
      <c r="AO32" s="4"/>
      <c r="AP32" s="3"/>
      <c r="AQ32" s="3"/>
      <c r="AR32" s="4"/>
      <c r="AS32" s="4"/>
      <c r="AT32" s="3"/>
      <c r="AU32" s="3"/>
      <c r="AV32" s="4"/>
      <c r="AW32" s="4"/>
      <c r="AX32" s="3"/>
      <c r="AY32" s="3"/>
      <c r="AZ32" s="3">
        <v>0.0984400728132525</v>
      </c>
      <c r="BA32" s="3">
        <v>0.0065193672896849</v>
      </c>
    </row>
    <row r="33" s="3" customFormat="1" spans="1:53">
      <c r="A33" s="4">
        <v>32</v>
      </c>
      <c r="B33" s="6">
        <v>8</v>
      </c>
      <c r="C33" s="24" t="s">
        <v>106</v>
      </c>
      <c r="D33" s="13" t="s">
        <v>107</v>
      </c>
      <c r="E33" s="25">
        <v>41.5</v>
      </c>
      <c r="F33" s="25">
        <v>111</v>
      </c>
      <c r="G33" s="26">
        <v>9.7</v>
      </c>
      <c r="H33" s="27">
        <v>584.4</v>
      </c>
      <c r="I33" s="3">
        <v>1100</v>
      </c>
      <c r="J33" s="13" t="s">
        <v>94</v>
      </c>
      <c r="K33" s="5" t="s">
        <v>78</v>
      </c>
      <c r="L33" s="3">
        <v>2015</v>
      </c>
      <c r="M33" s="3">
        <v>9</v>
      </c>
      <c r="N33" s="13" t="s">
        <v>108</v>
      </c>
      <c r="O33" s="28" t="s">
        <v>80</v>
      </c>
      <c r="P33" s="7">
        <v>8.6</v>
      </c>
      <c r="Q33" s="5"/>
      <c r="R33" s="5"/>
      <c r="S33" s="13"/>
      <c r="T33" s="21">
        <v>20</v>
      </c>
      <c r="U33" s="21">
        <v>37</v>
      </c>
      <c r="V33" s="21">
        <v>43</v>
      </c>
      <c r="W33" s="6">
        <v>1.5</v>
      </c>
      <c r="X33" s="5" t="s">
        <v>81</v>
      </c>
      <c r="Y33" s="13" t="s">
        <v>82</v>
      </c>
      <c r="Z33" s="3">
        <v>6</v>
      </c>
      <c r="AA33" s="3">
        <v>6</v>
      </c>
      <c r="AB33" s="9">
        <v>1.85497436343512</v>
      </c>
      <c r="AC33" s="9">
        <v>0.00879021345257778</v>
      </c>
      <c r="AD33" s="25"/>
      <c r="AE33" s="25"/>
      <c r="AF33" s="9"/>
      <c r="AG33" s="9"/>
      <c r="AH33" s="25">
        <v>0.588778236624414</v>
      </c>
      <c r="AI33" s="25">
        <v>0.00890905161291554</v>
      </c>
      <c r="AJ33" s="4">
        <v>1.2661961268107</v>
      </c>
      <c r="AK33" s="4">
        <v>0.0176992650654933</v>
      </c>
      <c r="AL33" s="3"/>
      <c r="AM33" s="3"/>
      <c r="AN33" s="4"/>
      <c r="AO33" s="4"/>
      <c r="AP33" s="3"/>
      <c r="AQ33" s="3"/>
      <c r="AR33" s="4"/>
      <c r="AS33" s="4"/>
      <c r="AT33" s="3"/>
      <c r="AU33" s="3"/>
      <c r="AV33" s="4"/>
      <c r="AW33" s="4"/>
      <c r="AX33" s="3"/>
      <c r="AY33" s="3"/>
      <c r="AZ33" s="3">
        <v>0.0984400728132525</v>
      </c>
      <c r="BA33" s="3">
        <v>0.0065193672896849</v>
      </c>
    </row>
    <row r="34" s="3" customFormat="1" spans="1:53">
      <c r="A34" s="4">
        <v>33</v>
      </c>
      <c r="B34" s="6">
        <v>8</v>
      </c>
      <c r="C34" s="24" t="s">
        <v>106</v>
      </c>
      <c r="D34" s="13" t="s">
        <v>107</v>
      </c>
      <c r="E34" s="25">
        <v>41.5</v>
      </c>
      <c r="F34" s="25">
        <v>111</v>
      </c>
      <c r="G34" s="26">
        <v>9.7</v>
      </c>
      <c r="H34" s="27">
        <v>584.4</v>
      </c>
      <c r="I34" s="3">
        <v>1100</v>
      </c>
      <c r="J34" s="13" t="s">
        <v>94</v>
      </c>
      <c r="K34" s="5" t="s">
        <v>78</v>
      </c>
      <c r="L34" s="3">
        <v>2015</v>
      </c>
      <c r="M34" s="3">
        <v>9</v>
      </c>
      <c r="N34" s="13" t="s">
        <v>108</v>
      </c>
      <c r="O34" s="28" t="s">
        <v>80</v>
      </c>
      <c r="P34" s="7">
        <v>8.6</v>
      </c>
      <c r="Q34" s="5"/>
      <c r="R34" s="5"/>
      <c r="S34" s="13"/>
      <c r="T34" s="21">
        <v>20</v>
      </c>
      <c r="U34" s="21">
        <v>37</v>
      </c>
      <c r="V34" s="21">
        <v>43</v>
      </c>
      <c r="W34" s="6">
        <v>1.5</v>
      </c>
      <c r="X34" s="5" t="s">
        <v>81</v>
      </c>
      <c r="Y34" s="13" t="s">
        <v>82</v>
      </c>
      <c r="Z34" s="3">
        <v>6</v>
      </c>
      <c r="AA34" s="3">
        <v>6</v>
      </c>
      <c r="AB34" s="9">
        <v>1.74268517378807</v>
      </c>
      <c r="AC34" s="9">
        <v>0.0376263073095824</v>
      </c>
      <c r="AD34" s="25"/>
      <c r="AE34" s="25"/>
      <c r="AF34" s="9"/>
      <c r="AG34" s="9"/>
      <c r="AH34" s="25">
        <v>0.38541977784015</v>
      </c>
      <c r="AI34" s="25">
        <v>0.0180908329700679</v>
      </c>
      <c r="AJ34" s="4">
        <v>1.35726539594792</v>
      </c>
      <c r="AK34" s="4">
        <v>0.0557171402796502</v>
      </c>
      <c r="AL34" s="3"/>
      <c r="AM34" s="3"/>
      <c r="AN34" s="4"/>
      <c r="AO34" s="4"/>
      <c r="AP34" s="3"/>
      <c r="AQ34" s="3"/>
      <c r="AR34" s="4"/>
      <c r="AS34" s="4"/>
      <c r="AT34" s="3"/>
      <c r="AU34" s="3"/>
      <c r="AV34" s="4"/>
      <c r="AW34" s="4"/>
      <c r="AX34" s="3"/>
      <c r="AY34" s="3"/>
      <c r="AZ34" s="3">
        <v>0.0858612906063926</v>
      </c>
      <c r="BA34" s="3">
        <v>0.0122830394150454</v>
      </c>
    </row>
    <row r="35" s="3" customFormat="1" spans="1:53">
      <c r="A35" s="4">
        <v>34</v>
      </c>
      <c r="B35" s="6">
        <v>8</v>
      </c>
      <c r="C35" s="24" t="s">
        <v>106</v>
      </c>
      <c r="D35" s="13" t="s">
        <v>107</v>
      </c>
      <c r="E35" s="25">
        <v>41.5</v>
      </c>
      <c r="F35" s="25">
        <v>111</v>
      </c>
      <c r="G35" s="26">
        <v>9.7</v>
      </c>
      <c r="H35" s="27">
        <v>584.4</v>
      </c>
      <c r="I35" s="3">
        <v>1100</v>
      </c>
      <c r="J35" s="13" t="s">
        <v>94</v>
      </c>
      <c r="K35" s="5" t="s">
        <v>78</v>
      </c>
      <c r="L35" s="3">
        <v>2015</v>
      </c>
      <c r="M35" s="3">
        <v>9</v>
      </c>
      <c r="N35" s="13" t="s">
        <v>108</v>
      </c>
      <c r="O35" s="28" t="s">
        <v>80</v>
      </c>
      <c r="P35" s="7">
        <v>8.6</v>
      </c>
      <c r="Q35" s="5"/>
      <c r="R35" s="5"/>
      <c r="S35" s="13"/>
      <c r="T35" s="21">
        <v>20</v>
      </c>
      <c r="U35" s="21">
        <v>37</v>
      </c>
      <c r="V35" s="21">
        <v>43</v>
      </c>
      <c r="W35" s="6">
        <v>1.5</v>
      </c>
      <c r="X35" s="5" t="s">
        <v>81</v>
      </c>
      <c r="Y35" s="13" t="s">
        <v>82</v>
      </c>
      <c r="Z35" s="3">
        <v>6</v>
      </c>
      <c r="AA35" s="3">
        <v>6</v>
      </c>
      <c r="AB35" s="9">
        <v>-0.00736923010654833</v>
      </c>
      <c r="AC35" s="9">
        <v>0.00520270870439341</v>
      </c>
      <c r="AD35" s="25"/>
      <c r="AE35" s="25"/>
      <c r="AF35" s="9"/>
      <c r="AG35" s="9"/>
      <c r="AH35" s="25">
        <v>0.427690269208959</v>
      </c>
      <c r="AI35" s="25">
        <v>0.00345504825323039</v>
      </c>
      <c r="AJ35" s="4">
        <v>-0.435059499315511</v>
      </c>
      <c r="AK35" s="4">
        <v>0.00865775695762379</v>
      </c>
      <c r="AL35" s="3"/>
      <c r="AM35" s="3"/>
      <c r="AN35" s="4"/>
      <c r="AO35" s="4"/>
      <c r="AP35" s="3"/>
      <c r="AQ35" s="3"/>
      <c r="AR35" s="4"/>
      <c r="AS35" s="4"/>
      <c r="AT35" s="3"/>
      <c r="AU35" s="3"/>
      <c r="AV35" s="4"/>
      <c r="AW35" s="4"/>
      <c r="AX35" s="3"/>
      <c r="AY35" s="3"/>
      <c r="AZ35" s="3">
        <v>0.0858612906063926</v>
      </c>
      <c r="BA35" s="3">
        <v>0.0122830394150454</v>
      </c>
    </row>
    <row r="36" s="3" customFormat="1" spans="1:53">
      <c r="A36" s="4">
        <v>35</v>
      </c>
      <c r="B36" s="6">
        <v>8</v>
      </c>
      <c r="C36" s="24" t="s">
        <v>106</v>
      </c>
      <c r="D36" s="13" t="s">
        <v>107</v>
      </c>
      <c r="E36" s="25">
        <v>41.5</v>
      </c>
      <c r="F36" s="25">
        <v>111</v>
      </c>
      <c r="G36" s="26">
        <v>9.7</v>
      </c>
      <c r="H36" s="27">
        <v>584.4</v>
      </c>
      <c r="I36" s="3">
        <v>1100</v>
      </c>
      <c r="J36" s="13" t="s">
        <v>94</v>
      </c>
      <c r="K36" s="5" t="s">
        <v>78</v>
      </c>
      <c r="L36" s="3">
        <v>2015</v>
      </c>
      <c r="M36" s="3">
        <v>9</v>
      </c>
      <c r="N36" s="13" t="s">
        <v>108</v>
      </c>
      <c r="O36" s="28" t="s">
        <v>80</v>
      </c>
      <c r="P36" s="7">
        <v>8.6</v>
      </c>
      <c r="Q36" s="5"/>
      <c r="R36" s="5"/>
      <c r="S36" s="13"/>
      <c r="T36" s="21">
        <v>20</v>
      </c>
      <c r="U36" s="21">
        <v>37</v>
      </c>
      <c r="V36" s="21">
        <v>43</v>
      </c>
      <c r="W36" s="6">
        <v>1.5</v>
      </c>
      <c r="X36" s="5" t="s">
        <v>81</v>
      </c>
      <c r="Y36" s="13" t="s">
        <v>82</v>
      </c>
      <c r="Z36" s="3">
        <v>6</v>
      </c>
      <c r="AA36" s="3">
        <v>6</v>
      </c>
      <c r="AB36" s="9">
        <v>1.26220486035579</v>
      </c>
      <c r="AC36" s="9">
        <v>0.0216791276232972</v>
      </c>
      <c r="AD36" s="25"/>
      <c r="AE36" s="25"/>
      <c r="AF36" s="9"/>
      <c r="AG36" s="9"/>
      <c r="AH36" s="25">
        <v>0.561884063987865</v>
      </c>
      <c r="AI36" s="25">
        <v>0.00648000777839447</v>
      </c>
      <c r="AJ36" s="4">
        <v>0.700320796367926</v>
      </c>
      <c r="AK36" s="4">
        <v>0.0281591354016918</v>
      </c>
      <c r="AL36" s="3"/>
      <c r="AM36" s="3"/>
      <c r="AN36" s="4"/>
      <c r="AO36" s="4"/>
      <c r="AP36" s="3"/>
      <c r="AQ36" s="3"/>
      <c r="AR36" s="4"/>
      <c r="AS36" s="4"/>
      <c r="AT36" s="3"/>
      <c r="AU36" s="3"/>
      <c r="AV36" s="4"/>
      <c r="AW36" s="4"/>
      <c r="AX36" s="3"/>
      <c r="AY36" s="3"/>
      <c r="AZ36" s="3">
        <v>0.0858612906063926</v>
      </c>
      <c r="BA36" s="3">
        <v>0.0122830394150454</v>
      </c>
    </row>
    <row r="37" s="3" customFormat="1" spans="1:53">
      <c r="A37" s="4">
        <v>36</v>
      </c>
      <c r="B37" s="6">
        <v>8</v>
      </c>
      <c r="C37" s="24" t="s">
        <v>106</v>
      </c>
      <c r="D37" s="13" t="s">
        <v>107</v>
      </c>
      <c r="E37" s="25">
        <v>41.5</v>
      </c>
      <c r="F37" s="25">
        <v>111</v>
      </c>
      <c r="G37" s="26">
        <v>9.7</v>
      </c>
      <c r="H37" s="27">
        <v>584.4</v>
      </c>
      <c r="I37" s="3">
        <v>1100</v>
      </c>
      <c r="J37" s="13" t="s">
        <v>94</v>
      </c>
      <c r="K37" s="5" t="s">
        <v>78</v>
      </c>
      <c r="L37" s="3">
        <v>2015</v>
      </c>
      <c r="M37" s="3">
        <v>9</v>
      </c>
      <c r="N37" s="13" t="s">
        <v>108</v>
      </c>
      <c r="O37" s="28" t="s">
        <v>80</v>
      </c>
      <c r="P37" s="7">
        <v>8.6</v>
      </c>
      <c r="Q37" s="5"/>
      <c r="R37" s="5"/>
      <c r="S37" s="13"/>
      <c r="T37" s="21">
        <v>20</v>
      </c>
      <c r="U37" s="21">
        <v>37</v>
      </c>
      <c r="V37" s="21">
        <v>43</v>
      </c>
      <c r="W37" s="6">
        <v>1.5</v>
      </c>
      <c r="X37" s="5" t="s">
        <v>81</v>
      </c>
      <c r="Y37" s="13" t="s">
        <v>82</v>
      </c>
      <c r="Z37" s="3">
        <v>6</v>
      </c>
      <c r="AA37" s="3">
        <v>6</v>
      </c>
      <c r="AB37" s="9">
        <v>2.27250763775677</v>
      </c>
      <c r="AC37" s="9">
        <v>0.00642606681300286</v>
      </c>
      <c r="AD37" s="25"/>
      <c r="AE37" s="25"/>
      <c r="AF37" s="9"/>
      <c r="AG37" s="9"/>
      <c r="AH37" s="25">
        <v>0.578929211068058</v>
      </c>
      <c r="AI37" s="25">
        <v>0.00887186489311293</v>
      </c>
      <c r="AJ37" s="4">
        <v>1.69357842668871</v>
      </c>
      <c r="AK37" s="4">
        <v>0.0152979317061158</v>
      </c>
      <c r="AL37" s="3"/>
      <c r="AM37" s="3"/>
      <c r="AN37" s="4"/>
      <c r="AO37" s="4"/>
      <c r="AP37" s="3"/>
      <c r="AQ37" s="3"/>
      <c r="AR37" s="4"/>
      <c r="AS37" s="4"/>
      <c r="AT37" s="3"/>
      <c r="AU37" s="3"/>
      <c r="AV37" s="4"/>
      <c r="AW37" s="4"/>
      <c r="AX37" s="3"/>
      <c r="AY37" s="3"/>
      <c r="AZ37" s="3">
        <v>0.0858612906063926</v>
      </c>
      <c r="BA37" s="3">
        <v>0.0122830394150454</v>
      </c>
    </row>
    <row r="38" s="4" customFormat="1" spans="1:61">
      <c r="A38" s="4">
        <v>37</v>
      </c>
      <c r="B38" s="18">
        <v>9</v>
      </c>
      <c r="C38" s="19" t="s">
        <v>109</v>
      </c>
      <c r="D38" s="5" t="s">
        <v>110</v>
      </c>
      <c r="E38" s="9">
        <v>39.6</v>
      </c>
      <c r="F38" s="9">
        <v>116.6</v>
      </c>
      <c r="G38" s="20">
        <v>11.9</v>
      </c>
      <c r="H38" s="21">
        <v>550</v>
      </c>
      <c r="I38" s="4">
        <v>18</v>
      </c>
      <c r="J38" s="5" t="s">
        <v>94</v>
      </c>
      <c r="K38" s="5" t="s">
        <v>78</v>
      </c>
      <c r="L38" s="4">
        <v>2014</v>
      </c>
      <c r="M38" s="4">
        <v>6</v>
      </c>
      <c r="N38" s="5" t="s">
        <v>96</v>
      </c>
      <c r="O38" s="28" t="s">
        <v>80</v>
      </c>
      <c r="P38" s="29">
        <v>8</v>
      </c>
      <c r="Q38" s="4">
        <v>6.38</v>
      </c>
      <c r="R38" s="4">
        <v>0.85</v>
      </c>
      <c r="S38" s="13">
        <v>7.50588235294118</v>
      </c>
      <c r="T38" s="21">
        <v>19</v>
      </c>
      <c r="U38" s="21">
        <v>34</v>
      </c>
      <c r="V38" s="21">
        <v>47</v>
      </c>
      <c r="W38" s="18">
        <v>5</v>
      </c>
      <c r="X38" s="5" t="s">
        <v>81</v>
      </c>
      <c r="Y38" s="5" t="s">
        <v>82</v>
      </c>
      <c r="Z38" s="4">
        <v>3</v>
      </c>
      <c r="AA38" s="4">
        <v>3</v>
      </c>
      <c r="AB38" s="9"/>
      <c r="AC38" s="9"/>
      <c r="AD38" s="9">
        <v>-0.0280917348670152</v>
      </c>
      <c r="AE38" s="9">
        <v>0.000534559025746973</v>
      </c>
      <c r="AF38" s="9"/>
      <c r="AG38" s="9"/>
      <c r="AH38" s="9"/>
      <c r="AI38" s="9"/>
      <c r="AJ38" s="4"/>
      <c r="AK38" s="4"/>
      <c r="AL38" s="4"/>
      <c r="AM38" s="4"/>
      <c r="AN38" s="4"/>
      <c r="AO38" s="4"/>
      <c r="AP38" s="4"/>
      <c r="AQ38" s="4"/>
      <c r="AR38" s="4"/>
      <c r="AS38" s="4"/>
      <c r="AT38" s="4"/>
      <c r="AU38" s="4"/>
      <c r="AV38" s="4"/>
      <c r="AW38" s="4"/>
      <c r="AX38" s="4"/>
      <c r="AY38" s="4"/>
      <c r="BF38" s="4">
        <v>-0.226980002947882</v>
      </c>
      <c r="BG38" s="4">
        <v>0.0153611127264413</v>
      </c>
      <c r="BH38" s="4">
        <v>0.709615052514181</v>
      </c>
      <c r="BI38" s="4">
        <v>0.00511279255644881</v>
      </c>
    </row>
    <row r="39" s="4" customFormat="1" spans="1:61">
      <c r="A39" s="4">
        <v>38</v>
      </c>
      <c r="B39" s="18">
        <v>9</v>
      </c>
      <c r="C39" s="19" t="s">
        <v>109</v>
      </c>
      <c r="D39" s="5" t="s">
        <v>110</v>
      </c>
      <c r="E39" s="9">
        <v>39.6</v>
      </c>
      <c r="F39" s="9">
        <v>116.6</v>
      </c>
      <c r="G39" s="20">
        <v>11.9</v>
      </c>
      <c r="H39" s="21">
        <v>550</v>
      </c>
      <c r="I39" s="4">
        <v>18</v>
      </c>
      <c r="J39" s="5" t="s">
        <v>94</v>
      </c>
      <c r="K39" s="5" t="s">
        <v>78</v>
      </c>
      <c r="L39" s="4">
        <v>2014</v>
      </c>
      <c r="M39" s="4">
        <v>6</v>
      </c>
      <c r="N39" s="5" t="s">
        <v>96</v>
      </c>
      <c r="O39" s="28" t="s">
        <v>80</v>
      </c>
      <c r="P39" s="29">
        <v>8</v>
      </c>
      <c r="Q39" s="4">
        <v>6.38</v>
      </c>
      <c r="R39" s="4">
        <v>0.85</v>
      </c>
      <c r="S39" s="13">
        <v>7.50588235294118</v>
      </c>
      <c r="T39" s="21">
        <v>19</v>
      </c>
      <c r="U39" s="21">
        <v>34</v>
      </c>
      <c r="V39" s="21">
        <v>47</v>
      </c>
      <c r="W39" s="18">
        <v>5</v>
      </c>
      <c r="X39" s="5" t="s">
        <v>81</v>
      </c>
      <c r="Y39" s="5" t="s">
        <v>82</v>
      </c>
      <c r="Z39" s="4">
        <v>3</v>
      </c>
      <c r="AA39" s="4">
        <v>3</v>
      </c>
      <c r="AB39" s="9"/>
      <c r="AC39" s="9"/>
      <c r="AD39" s="9">
        <v>0.0327004613109347</v>
      </c>
      <c r="AE39" s="9">
        <v>0.000446766534719315</v>
      </c>
      <c r="AF39" s="9"/>
      <c r="AG39" s="9"/>
      <c r="AH39" s="9"/>
      <c r="AI39" s="9"/>
      <c r="AJ39" s="4"/>
      <c r="AK39" s="4"/>
      <c r="AL39" s="4"/>
      <c r="AM39" s="4"/>
      <c r="AN39" s="4"/>
      <c r="AO39" s="4"/>
      <c r="AP39" s="4"/>
      <c r="AQ39" s="4"/>
      <c r="AR39" s="4"/>
      <c r="AS39" s="4"/>
      <c r="AT39" s="4"/>
      <c r="AU39" s="4"/>
      <c r="AV39" s="4"/>
      <c r="AW39" s="4"/>
      <c r="AX39" s="4"/>
      <c r="AY39" s="4"/>
      <c r="BF39" s="4">
        <v>0.461153304560273</v>
      </c>
      <c r="BG39" s="4">
        <v>0.00925544222475455</v>
      </c>
      <c r="BH39" s="4">
        <v>0.734634920627699</v>
      </c>
      <c r="BI39" s="4">
        <v>0.00600942715602559</v>
      </c>
    </row>
    <row r="40" s="4" customFormat="1" spans="1:61">
      <c r="A40" s="4">
        <v>39</v>
      </c>
      <c r="B40" s="18">
        <v>9</v>
      </c>
      <c r="C40" s="19" t="s">
        <v>109</v>
      </c>
      <c r="D40" s="5" t="s">
        <v>110</v>
      </c>
      <c r="E40" s="9">
        <v>39.6</v>
      </c>
      <c r="F40" s="9">
        <v>116.6</v>
      </c>
      <c r="G40" s="20">
        <v>11.9</v>
      </c>
      <c r="H40" s="21">
        <v>550</v>
      </c>
      <c r="I40" s="4">
        <v>18</v>
      </c>
      <c r="J40" s="5" t="s">
        <v>94</v>
      </c>
      <c r="K40" s="5" t="s">
        <v>78</v>
      </c>
      <c r="L40" s="4">
        <v>2014</v>
      </c>
      <c r="M40" s="4">
        <v>6</v>
      </c>
      <c r="N40" s="5" t="s">
        <v>96</v>
      </c>
      <c r="O40" s="28" t="s">
        <v>80</v>
      </c>
      <c r="P40" s="29">
        <v>8</v>
      </c>
      <c r="Q40" s="4">
        <v>6.38</v>
      </c>
      <c r="R40" s="4">
        <v>0.85</v>
      </c>
      <c r="S40" s="13">
        <v>7.50588235294118</v>
      </c>
      <c r="T40" s="21">
        <v>19</v>
      </c>
      <c r="U40" s="21">
        <v>34</v>
      </c>
      <c r="V40" s="21">
        <v>47</v>
      </c>
      <c r="W40" s="18">
        <v>5</v>
      </c>
      <c r="X40" s="5" t="s">
        <v>81</v>
      </c>
      <c r="Y40" s="5" t="s">
        <v>82</v>
      </c>
      <c r="Z40" s="4">
        <v>3</v>
      </c>
      <c r="AA40" s="4">
        <v>3</v>
      </c>
      <c r="AB40" s="9"/>
      <c r="AC40" s="9"/>
      <c r="AD40" s="9">
        <v>0.188764285016153</v>
      </c>
      <c r="AE40" s="9">
        <v>0.000382530729254577</v>
      </c>
      <c r="AF40" s="9"/>
      <c r="AG40" s="9"/>
      <c r="AH40" s="9"/>
      <c r="AI40" s="9"/>
      <c r="AJ40" s="4"/>
      <c r="AK40" s="4"/>
      <c r="AL40" s="4"/>
      <c r="AM40" s="4"/>
      <c r="AN40" s="4"/>
      <c r="AO40" s="4"/>
      <c r="AP40" s="4"/>
      <c r="AQ40" s="4"/>
      <c r="AR40" s="4"/>
      <c r="AS40" s="4"/>
      <c r="AT40" s="4"/>
      <c r="AU40" s="4"/>
      <c r="AV40" s="4"/>
      <c r="AW40" s="4"/>
      <c r="AX40" s="4"/>
      <c r="AY40" s="4"/>
      <c r="BF40" s="4">
        <v>-0.0534368979321243</v>
      </c>
      <c r="BG40" s="4">
        <v>0.0068596582564831</v>
      </c>
      <c r="BH40" s="4">
        <v>1.18319057930146</v>
      </c>
      <c r="BI40" s="4">
        <v>0.0080404428669172</v>
      </c>
    </row>
    <row r="41" s="3" customFormat="1" spans="1:49">
      <c r="A41" s="4">
        <v>40</v>
      </c>
      <c r="B41" s="6">
        <v>10</v>
      </c>
      <c r="C41" s="24" t="s">
        <v>111</v>
      </c>
      <c r="D41" s="13" t="s">
        <v>112</v>
      </c>
      <c r="E41" s="25">
        <v>44.2169444</v>
      </c>
      <c r="F41" s="25">
        <v>-85.7169444</v>
      </c>
      <c r="G41" s="26">
        <v>7.2</v>
      </c>
      <c r="H41" s="27">
        <v>97.8</v>
      </c>
      <c r="I41" s="3"/>
      <c r="J41" s="13" t="s">
        <v>94</v>
      </c>
      <c r="K41" s="5" t="s">
        <v>78</v>
      </c>
      <c r="L41" s="3">
        <v>2001</v>
      </c>
      <c r="M41" s="3">
        <v>5</v>
      </c>
      <c r="N41" s="13" t="s">
        <v>113</v>
      </c>
      <c r="O41" s="28" t="s">
        <v>80</v>
      </c>
      <c r="P41" s="20"/>
      <c r="Q41" s="20"/>
      <c r="R41" s="5"/>
      <c r="S41" s="13"/>
      <c r="T41" s="21">
        <v>6</v>
      </c>
      <c r="U41" s="21">
        <v>40</v>
      </c>
      <c r="V41" s="21">
        <v>54</v>
      </c>
      <c r="W41" s="6">
        <v>1</v>
      </c>
      <c r="X41" s="5" t="s">
        <v>81</v>
      </c>
      <c r="Y41" s="13" t="s">
        <v>82</v>
      </c>
      <c r="Z41" s="3">
        <v>3</v>
      </c>
      <c r="AA41" s="3">
        <v>3</v>
      </c>
      <c r="AB41" s="9">
        <v>-0.0431708418466615</v>
      </c>
      <c r="AC41" s="9">
        <v>0.0332485030327268</v>
      </c>
      <c r="AD41" s="25">
        <v>0.0775129936822233</v>
      </c>
      <c r="AE41" s="25">
        <v>0.0125282240897157</v>
      </c>
      <c r="AF41" s="9">
        <v>0.120683835528885</v>
      </c>
      <c r="AG41" s="9">
        <v>0.0457767271224425</v>
      </c>
      <c r="AH41" s="25"/>
      <c r="AI41" s="25"/>
      <c r="AJ41" s="4"/>
      <c r="AK41" s="4"/>
      <c r="AL41" s="3"/>
      <c r="AM41" s="3"/>
      <c r="AN41" s="4"/>
      <c r="AO41" s="4"/>
      <c r="AP41" s="3"/>
      <c r="AQ41" s="3"/>
      <c r="AR41" s="4"/>
      <c r="AS41" s="4"/>
      <c r="AT41" s="3"/>
      <c r="AU41" s="3"/>
      <c r="AV41" s="4"/>
      <c r="AW41" s="4"/>
    </row>
    <row r="42" s="3" customFormat="1" spans="1:49">
      <c r="A42" s="4">
        <v>41</v>
      </c>
      <c r="B42" s="6">
        <v>10</v>
      </c>
      <c r="C42" s="24" t="s">
        <v>111</v>
      </c>
      <c r="D42" s="13" t="s">
        <v>112</v>
      </c>
      <c r="E42" s="25">
        <v>44.26</v>
      </c>
      <c r="F42" s="25">
        <v>-85.66</v>
      </c>
      <c r="G42" s="26">
        <v>7.2</v>
      </c>
      <c r="H42" s="27">
        <v>97.8</v>
      </c>
      <c r="I42" s="3"/>
      <c r="J42" s="13" t="s">
        <v>94</v>
      </c>
      <c r="K42" s="5" t="s">
        <v>78</v>
      </c>
      <c r="L42" s="3">
        <v>2001</v>
      </c>
      <c r="M42" s="3">
        <v>5</v>
      </c>
      <c r="N42" s="13" t="s">
        <v>113</v>
      </c>
      <c r="O42" s="28" t="s">
        <v>80</v>
      </c>
      <c r="P42" s="20"/>
      <c r="Q42" s="20"/>
      <c r="R42" s="5"/>
      <c r="S42" s="13"/>
      <c r="T42" s="21">
        <v>6</v>
      </c>
      <c r="U42" s="21">
        <v>40</v>
      </c>
      <c r="V42" s="21">
        <v>54</v>
      </c>
      <c r="W42" s="6">
        <v>1</v>
      </c>
      <c r="X42" s="5" t="s">
        <v>81</v>
      </c>
      <c r="Y42" s="13" t="s">
        <v>82</v>
      </c>
      <c r="Z42" s="3">
        <v>3</v>
      </c>
      <c r="AA42" s="3">
        <v>3</v>
      </c>
      <c r="AB42" s="9">
        <v>-0.223147721012595</v>
      </c>
      <c r="AC42" s="9">
        <v>0.0390463716163714</v>
      </c>
      <c r="AD42" s="25">
        <v>-0.217799436375956</v>
      </c>
      <c r="AE42" s="25">
        <v>0.0491960570762243</v>
      </c>
      <c r="AF42" s="9">
        <v>0.00534828463663744</v>
      </c>
      <c r="AG42" s="9">
        <v>0.0882424286925958</v>
      </c>
      <c r="AH42" s="25"/>
      <c r="AI42" s="25"/>
      <c r="AJ42" s="4"/>
      <c r="AK42" s="4"/>
      <c r="AL42" s="3"/>
      <c r="AM42" s="3"/>
      <c r="AN42" s="4"/>
      <c r="AO42" s="4"/>
      <c r="AP42" s="3"/>
      <c r="AQ42" s="3"/>
      <c r="AR42" s="4"/>
      <c r="AS42" s="4"/>
      <c r="AT42" s="3"/>
      <c r="AU42" s="3"/>
      <c r="AV42" s="4"/>
      <c r="AW42" s="4"/>
    </row>
    <row r="43" s="3" customFormat="1" spans="1:49">
      <c r="A43" s="4">
        <v>42</v>
      </c>
      <c r="B43" s="6">
        <v>10</v>
      </c>
      <c r="C43" s="24" t="s">
        <v>111</v>
      </c>
      <c r="D43" s="13" t="s">
        <v>112</v>
      </c>
      <c r="E43" s="25">
        <v>44.3</v>
      </c>
      <c r="F43" s="25">
        <v>-85.883</v>
      </c>
      <c r="G43" s="26">
        <v>7.2</v>
      </c>
      <c r="H43" s="27">
        <v>97.8</v>
      </c>
      <c r="I43" s="3"/>
      <c r="J43" s="13" t="s">
        <v>94</v>
      </c>
      <c r="K43" s="5" t="s">
        <v>78</v>
      </c>
      <c r="L43" s="3">
        <v>2001</v>
      </c>
      <c r="M43" s="3">
        <v>5</v>
      </c>
      <c r="N43" s="13" t="s">
        <v>113</v>
      </c>
      <c r="O43" s="28" t="s">
        <v>80</v>
      </c>
      <c r="P43" s="20"/>
      <c r="Q43" s="20"/>
      <c r="R43" s="5"/>
      <c r="S43" s="13"/>
      <c r="T43" s="21">
        <v>6</v>
      </c>
      <c r="U43" s="21">
        <v>40</v>
      </c>
      <c r="V43" s="21">
        <v>54</v>
      </c>
      <c r="W43" s="6">
        <v>1</v>
      </c>
      <c r="X43" s="5" t="s">
        <v>81</v>
      </c>
      <c r="Y43" s="13" t="s">
        <v>82</v>
      </c>
      <c r="Z43" s="3">
        <v>3</v>
      </c>
      <c r="AA43" s="3">
        <v>3</v>
      </c>
      <c r="AB43" s="9">
        <v>1e-7</v>
      </c>
      <c r="AC43" s="9">
        <v>0.0617202408815558</v>
      </c>
      <c r="AD43" s="25">
        <v>0.0960538851481573</v>
      </c>
      <c r="AE43" s="25">
        <v>0.0627848374281208</v>
      </c>
      <c r="AF43" s="9">
        <v>0.0960538851481571</v>
      </c>
      <c r="AG43" s="9">
        <v>0.124505078309677</v>
      </c>
      <c r="AH43" s="25"/>
      <c r="AI43" s="25"/>
      <c r="AJ43" s="4"/>
      <c r="AK43" s="4"/>
      <c r="AL43" s="3"/>
      <c r="AM43" s="3"/>
      <c r="AN43" s="4"/>
      <c r="AO43" s="4"/>
      <c r="AP43" s="3"/>
      <c r="AQ43" s="3"/>
      <c r="AR43" s="4"/>
      <c r="AS43" s="4"/>
      <c r="AT43" s="3"/>
      <c r="AU43" s="3"/>
      <c r="AV43" s="4"/>
      <c r="AW43" s="4"/>
    </row>
    <row r="44" s="3" customFormat="1" spans="1:49">
      <c r="A44" s="4">
        <v>43</v>
      </c>
      <c r="B44" s="6">
        <v>10</v>
      </c>
      <c r="C44" s="24" t="s">
        <v>111</v>
      </c>
      <c r="D44" s="13" t="s">
        <v>112</v>
      </c>
      <c r="E44" s="25">
        <v>44.2169444</v>
      </c>
      <c r="F44" s="25">
        <v>-85.7169444</v>
      </c>
      <c r="G44" s="26">
        <v>7.2</v>
      </c>
      <c r="H44" s="27">
        <v>97.8</v>
      </c>
      <c r="I44" s="3"/>
      <c r="J44" s="13" t="s">
        <v>94</v>
      </c>
      <c r="K44" s="5" t="s">
        <v>78</v>
      </c>
      <c r="L44" s="3">
        <v>2001</v>
      </c>
      <c r="M44" s="3">
        <v>6</v>
      </c>
      <c r="N44" s="13" t="s">
        <v>96</v>
      </c>
      <c r="O44" s="28" t="s">
        <v>80</v>
      </c>
      <c r="P44" s="20"/>
      <c r="Q44" s="20"/>
      <c r="R44" s="5"/>
      <c r="S44" s="13"/>
      <c r="T44" s="21">
        <v>6</v>
      </c>
      <c r="U44" s="21">
        <v>40</v>
      </c>
      <c r="V44" s="21">
        <v>54</v>
      </c>
      <c r="W44" s="6">
        <v>2</v>
      </c>
      <c r="X44" s="5" t="s">
        <v>81</v>
      </c>
      <c r="Y44" s="13" t="s">
        <v>82</v>
      </c>
      <c r="Z44" s="3">
        <v>3</v>
      </c>
      <c r="AA44" s="3">
        <v>3</v>
      </c>
      <c r="AB44" s="9">
        <v>-0.0811892440531132</v>
      </c>
      <c r="AC44" s="9">
        <v>0.0291732730824007</v>
      </c>
      <c r="AD44" s="25">
        <v>0.0631243437074676</v>
      </c>
      <c r="AE44" s="25">
        <v>0.0124244948081665</v>
      </c>
      <c r="AF44" s="9">
        <v>0.144313587760581</v>
      </c>
      <c r="AG44" s="9">
        <v>0.041597767890567</v>
      </c>
      <c r="AH44" s="25"/>
      <c r="AI44" s="25"/>
      <c r="AJ44" s="4"/>
      <c r="AK44" s="4"/>
      <c r="AL44" s="3"/>
      <c r="AM44" s="3"/>
      <c r="AN44" s="4"/>
      <c r="AO44" s="4"/>
      <c r="AP44" s="3"/>
      <c r="AQ44" s="3"/>
      <c r="AR44" s="4"/>
      <c r="AS44" s="4"/>
      <c r="AT44" s="3"/>
      <c r="AU44" s="3"/>
      <c r="AV44" s="4"/>
      <c r="AW44" s="4"/>
    </row>
    <row r="45" s="3" customFormat="1" spans="1:49">
      <c r="A45" s="4">
        <v>44</v>
      </c>
      <c r="B45" s="6">
        <v>10</v>
      </c>
      <c r="C45" s="24" t="s">
        <v>111</v>
      </c>
      <c r="D45" s="13" t="s">
        <v>112</v>
      </c>
      <c r="E45" s="25">
        <v>44.26</v>
      </c>
      <c r="F45" s="25">
        <v>-85.66</v>
      </c>
      <c r="G45" s="26">
        <v>7.2</v>
      </c>
      <c r="H45" s="27">
        <v>97.8</v>
      </c>
      <c r="I45" s="3"/>
      <c r="J45" s="13" t="s">
        <v>94</v>
      </c>
      <c r="K45" s="5" t="s">
        <v>78</v>
      </c>
      <c r="L45" s="3">
        <v>2001</v>
      </c>
      <c r="M45" s="3">
        <v>6</v>
      </c>
      <c r="N45" s="13" t="s">
        <v>96</v>
      </c>
      <c r="O45" s="28" t="s">
        <v>80</v>
      </c>
      <c r="P45" s="20"/>
      <c r="Q45" s="20"/>
      <c r="R45" s="5"/>
      <c r="S45" s="13"/>
      <c r="T45" s="21">
        <v>6</v>
      </c>
      <c r="U45" s="21">
        <v>40</v>
      </c>
      <c r="V45" s="21">
        <v>54</v>
      </c>
      <c r="W45" s="6">
        <v>2</v>
      </c>
      <c r="X45" s="5" t="s">
        <v>81</v>
      </c>
      <c r="Y45" s="13" t="s">
        <v>82</v>
      </c>
      <c r="Z45" s="3">
        <v>3</v>
      </c>
      <c r="AA45" s="3">
        <v>3</v>
      </c>
      <c r="AB45" s="9">
        <v>0.134588340039085</v>
      </c>
      <c r="AC45" s="9">
        <v>0.009183310884556</v>
      </c>
      <c r="AD45" s="25">
        <v>0.105393104987367</v>
      </c>
      <c r="AE45" s="25">
        <v>0.0057637255779689</v>
      </c>
      <c r="AF45" s="9">
        <v>-0.0291952350517177</v>
      </c>
      <c r="AG45" s="9">
        <v>0.0149470364625248</v>
      </c>
      <c r="AH45" s="25"/>
      <c r="AI45" s="25"/>
      <c r="AJ45" s="4"/>
      <c r="AK45" s="4"/>
      <c r="AL45" s="3"/>
      <c r="AM45" s="3"/>
      <c r="AN45" s="4"/>
      <c r="AO45" s="4"/>
      <c r="AP45" s="3"/>
      <c r="AQ45" s="3"/>
      <c r="AR45" s="4"/>
      <c r="AS45" s="4"/>
      <c r="AT45" s="3"/>
      <c r="AU45" s="3"/>
      <c r="AV45" s="4"/>
      <c r="AW45" s="4"/>
    </row>
    <row r="46" s="3" customFormat="1" spans="1:49">
      <c r="A46" s="4">
        <v>45</v>
      </c>
      <c r="B46" s="6">
        <v>10</v>
      </c>
      <c r="C46" s="24" t="s">
        <v>111</v>
      </c>
      <c r="D46" s="13" t="s">
        <v>112</v>
      </c>
      <c r="E46" s="25">
        <v>44.3</v>
      </c>
      <c r="F46" s="25">
        <v>-85.883</v>
      </c>
      <c r="G46" s="26">
        <v>7.2</v>
      </c>
      <c r="H46" s="27">
        <v>97.8</v>
      </c>
      <c r="I46" s="3"/>
      <c r="J46" s="13" t="s">
        <v>94</v>
      </c>
      <c r="K46" s="5" t="s">
        <v>78</v>
      </c>
      <c r="L46" s="3">
        <v>2001</v>
      </c>
      <c r="M46" s="3">
        <v>6</v>
      </c>
      <c r="N46" s="13" t="s">
        <v>96</v>
      </c>
      <c r="O46" s="28" t="s">
        <v>80</v>
      </c>
      <c r="P46" s="20"/>
      <c r="Q46" s="20"/>
      <c r="R46" s="5"/>
      <c r="S46" s="13"/>
      <c r="T46" s="21">
        <v>6</v>
      </c>
      <c r="U46" s="21">
        <v>40</v>
      </c>
      <c r="V46" s="21">
        <v>54</v>
      </c>
      <c r="W46" s="6">
        <v>2</v>
      </c>
      <c r="X46" s="5" t="s">
        <v>81</v>
      </c>
      <c r="Y46" s="13" t="s">
        <v>82</v>
      </c>
      <c r="Z46" s="3">
        <v>3</v>
      </c>
      <c r="AA46" s="3">
        <v>3</v>
      </c>
      <c r="AB46" s="9">
        <v>0.165668541324353</v>
      </c>
      <c r="AC46" s="9">
        <v>0.0313734112032176</v>
      </c>
      <c r="AD46" s="25">
        <v>0.203620480939696</v>
      </c>
      <c r="AE46" s="25">
        <v>0.0138414756199301</v>
      </c>
      <c r="AF46" s="9">
        <v>0.0379519396153434</v>
      </c>
      <c r="AG46" s="9">
        <v>0.0452148868231477</v>
      </c>
      <c r="AH46" s="25"/>
      <c r="AI46" s="25"/>
      <c r="AJ46" s="4"/>
      <c r="AK46" s="4"/>
      <c r="AL46" s="3"/>
      <c r="AM46" s="3"/>
      <c r="AN46" s="4"/>
      <c r="AO46" s="4"/>
      <c r="AP46" s="3"/>
      <c r="AQ46" s="3"/>
      <c r="AR46" s="4"/>
      <c r="AS46" s="4"/>
      <c r="AT46" s="3"/>
      <c r="AU46" s="3"/>
      <c r="AV46" s="4"/>
      <c r="AW46" s="4"/>
    </row>
    <row r="47" s="3" customFormat="1" spans="1:49">
      <c r="A47" s="4">
        <v>46</v>
      </c>
      <c r="B47" s="6">
        <v>10</v>
      </c>
      <c r="C47" s="24" t="s">
        <v>111</v>
      </c>
      <c r="D47" s="13" t="s">
        <v>112</v>
      </c>
      <c r="E47" s="25">
        <v>44.2169444</v>
      </c>
      <c r="F47" s="25">
        <v>-85.7169444</v>
      </c>
      <c r="G47" s="26">
        <v>7.2</v>
      </c>
      <c r="H47" s="27">
        <v>97.8</v>
      </c>
      <c r="I47" s="3"/>
      <c r="J47" s="13" t="s">
        <v>94</v>
      </c>
      <c r="K47" s="5" t="s">
        <v>78</v>
      </c>
      <c r="L47" s="3">
        <v>2001</v>
      </c>
      <c r="M47" s="3">
        <v>8</v>
      </c>
      <c r="N47" s="13" t="s">
        <v>96</v>
      </c>
      <c r="O47" s="28" t="s">
        <v>80</v>
      </c>
      <c r="P47" s="20"/>
      <c r="Q47" s="20"/>
      <c r="R47" s="5"/>
      <c r="S47" s="13"/>
      <c r="T47" s="21">
        <v>6</v>
      </c>
      <c r="U47" s="21">
        <v>40</v>
      </c>
      <c r="V47" s="21">
        <v>54</v>
      </c>
      <c r="W47" s="6">
        <v>4</v>
      </c>
      <c r="X47" s="5" t="s">
        <v>81</v>
      </c>
      <c r="Y47" s="13" t="s">
        <v>82</v>
      </c>
      <c r="Z47" s="3">
        <v>3</v>
      </c>
      <c r="AA47" s="3">
        <v>3</v>
      </c>
      <c r="AB47" s="9">
        <v>0.0262026085859025</v>
      </c>
      <c r="AC47" s="9">
        <v>0.0110818558283523</v>
      </c>
      <c r="AD47" s="25">
        <v>0.0742091699534532</v>
      </c>
      <c r="AE47" s="25">
        <v>0.0133742455842608</v>
      </c>
      <c r="AF47" s="9">
        <v>0.0480065613675505</v>
      </c>
      <c r="AG47" s="9">
        <v>0.024456101412613</v>
      </c>
      <c r="AH47" s="25"/>
      <c r="AI47" s="25"/>
      <c r="AJ47" s="4"/>
      <c r="AK47" s="4"/>
      <c r="AL47" s="3"/>
      <c r="AM47" s="3"/>
      <c r="AN47" s="4"/>
      <c r="AO47" s="4"/>
      <c r="AP47" s="3"/>
      <c r="AQ47" s="3"/>
      <c r="AR47" s="4"/>
      <c r="AS47" s="4"/>
      <c r="AT47" s="3"/>
      <c r="AU47" s="3"/>
      <c r="AV47" s="4"/>
      <c r="AW47" s="4"/>
    </row>
    <row r="48" s="3" customFormat="1" spans="1:49">
      <c r="A48" s="4">
        <v>47</v>
      </c>
      <c r="B48" s="6">
        <v>10</v>
      </c>
      <c r="C48" s="24" t="s">
        <v>111</v>
      </c>
      <c r="D48" s="13" t="s">
        <v>112</v>
      </c>
      <c r="E48" s="25">
        <v>44.26</v>
      </c>
      <c r="F48" s="25">
        <v>-85.66</v>
      </c>
      <c r="G48" s="26">
        <v>7.2</v>
      </c>
      <c r="H48" s="27">
        <v>97.8</v>
      </c>
      <c r="I48" s="3"/>
      <c r="J48" s="13" t="s">
        <v>94</v>
      </c>
      <c r="K48" s="5" t="s">
        <v>78</v>
      </c>
      <c r="L48" s="3">
        <v>2001</v>
      </c>
      <c r="M48" s="3">
        <v>8</v>
      </c>
      <c r="N48" s="13" t="s">
        <v>96</v>
      </c>
      <c r="O48" s="28" t="s">
        <v>80</v>
      </c>
      <c r="P48" s="20"/>
      <c r="Q48" s="20"/>
      <c r="R48" s="5"/>
      <c r="S48" s="13"/>
      <c r="T48" s="21">
        <v>6</v>
      </c>
      <c r="U48" s="21">
        <v>40</v>
      </c>
      <c r="V48" s="21">
        <v>54</v>
      </c>
      <c r="W48" s="6">
        <v>4</v>
      </c>
      <c r="X48" s="5" t="s">
        <v>81</v>
      </c>
      <c r="Y48" s="13" t="s">
        <v>82</v>
      </c>
      <c r="Z48" s="3">
        <v>3</v>
      </c>
      <c r="AA48" s="3">
        <v>3</v>
      </c>
      <c r="AB48" s="9">
        <v>0.17471533409311</v>
      </c>
      <c r="AC48" s="9">
        <v>0.0398879237338651</v>
      </c>
      <c r="AD48" s="25">
        <v>0.225510659917047</v>
      </c>
      <c r="AE48" s="25">
        <v>0.0207468878002894</v>
      </c>
      <c r="AF48" s="9">
        <v>0.0507953258239361</v>
      </c>
      <c r="AG48" s="9">
        <v>0.0606348115341547</v>
      </c>
      <c r="AH48" s="25"/>
      <c r="AI48" s="25"/>
      <c r="AJ48" s="4"/>
      <c r="AK48" s="4"/>
      <c r="AL48" s="3"/>
      <c r="AM48" s="3"/>
      <c r="AN48" s="4"/>
      <c r="AO48" s="4"/>
      <c r="AP48" s="3"/>
      <c r="AQ48" s="3"/>
      <c r="AR48" s="4"/>
      <c r="AS48" s="4"/>
      <c r="AT48" s="3"/>
      <c r="AU48" s="3"/>
      <c r="AV48" s="4"/>
      <c r="AW48" s="4"/>
    </row>
    <row r="49" s="3" customFormat="1" spans="1:49">
      <c r="A49" s="4">
        <v>48</v>
      </c>
      <c r="B49" s="6">
        <v>10</v>
      </c>
      <c r="C49" s="24" t="s">
        <v>111</v>
      </c>
      <c r="D49" s="13" t="s">
        <v>112</v>
      </c>
      <c r="E49" s="25">
        <v>44.3</v>
      </c>
      <c r="F49" s="25">
        <v>-85.883</v>
      </c>
      <c r="G49" s="26">
        <v>7.2</v>
      </c>
      <c r="H49" s="27">
        <v>97.8</v>
      </c>
      <c r="I49" s="3"/>
      <c r="J49" s="13" t="s">
        <v>94</v>
      </c>
      <c r="K49" s="5" t="s">
        <v>78</v>
      </c>
      <c r="L49" s="3">
        <v>2001</v>
      </c>
      <c r="M49" s="3">
        <v>8</v>
      </c>
      <c r="N49" s="13" t="s">
        <v>96</v>
      </c>
      <c r="O49" s="28" t="s">
        <v>80</v>
      </c>
      <c r="P49" s="20"/>
      <c r="Q49" s="20"/>
      <c r="R49" s="5"/>
      <c r="S49" s="13"/>
      <c r="T49" s="21">
        <v>6</v>
      </c>
      <c r="U49" s="21">
        <v>40</v>
      </c>
      <c r="V49" s="21">
        <v>54</v>
      </c>
      <c r="W49" s="6">
        <v>4</v>
      </c>
      <c r="X49" s="5" t="s">
        <v>81</v>
      </c>
      <c r="Y49" s="13" t="s">
        <v>82</v>
      </c>
      <c r="Z49" s="3">
        <v>3</v>
      </c>
      <c r="AA49" s="3">
        <v>3</v>
      </c>
      <c r="AB49" s="9">
        <v>0.0433001079865007</v>
      </c>
      <c r="AC49" s="9">
        <v>0.00960866427225142</v>
      </c>
      <c r="AD49" s="25">
        <v>0.112050028249233</v>
      </c>
      <c r="AE49" s="25">
        <v>0.0190745864425427</v>
      </c>
      <c r="AF49" s="9">
        <v>0.0687499202627325</v>
      </c>
      <c r="AG49" s="9">
        <v>0.0286832507147941</v>
      </c>
      <c r="AH49" s="25"/>
      <c r="AI49" s="25"/>
      <c r="AJ49" s="4"/>
      <c r="AK49" s="4"/>
      <c r="AL49" s="3"/>
      <c r="AM49" s="3"/>
      <c r="AN49" s="4"/>
      <c r="AO49" s="4"/>
      <c r="AP49" s="3"/>
      <c r="AQ49" s="3"/>
      <c r="AR49" s="4"/>
      <c r="AS49" s="4"/>
      <c r="AT49" s="3"/>
      <c r="AU49" s="3"/>
      <c r="AV49" s="4"/>
      <c r="AW49" s="4"/>
    </row>
    <row r="50" s="3" customFormat="1" spans="1:49">
      <c r="A50" s="4">
        <v>49</v>
      </c>
      <c r="B50" s="6">
        <v>10</v>
      </c>
      <c r="C50" s="24" t="s">
        <v>111</v>
      </c>
      <c r="D50" s="13" t="s">
        <v>112</v>
      </c>
      <c r="E50" s="25">
        <v>44.2169444</v>
      </c>
      <c r="F50" s="25">
        <v>-85.7169444</v>
      </c>
      <c r="G50" s="26">
        <v>7.2</v>
      </c>
      <c r="H50" s="27">
        <v>97.8</v>
      </c>
      <c r="I50" s="3"/>
      <c r="J50" s="13" t="s">
        <v>94</v>
      </c>
      <c r="K50" s="5" t="s">
        <v>78</v>
      </c>
      <c r="L50" s="3">
        <v>2001</v>
      </c>
      <c r="M50" s="3">
        <v>10</v>
      </c>
      <c r="N50" s="13" t="s">
        <v>108</v>
      </c>
      <c r="O50" s="28" t="s">
        <v>80</v>
      </c>
      <c r="P50" s="20"/>
      <c r="Q50" s="20"/>
      <c r="R50" s="5"/>
      <c r="S50" s="13"/>
      <c r="T50" s="21">
        <v>6</v>
      </c>
      <c r="U50" s="21">
        <v>40</v>
      </c>
      <c r="V50" s="21">
        <v>54</v>
      </c>
      <c r="W50" s="6">
        <v>6</v>
      </c>
      <c r="X50" s="5" t="s">
        <v>91</v>
      </c>
      <c r="Y50" s="13" t="s">
        <v>82</v>
      </c>
      <c r="Z50" s="3">
        <v>3</v>
      </c>
      <c r="AA50" s="3">
        <v>3</v>
      </c>
      <c r="AB50" s="9">
        <v>-0.0537768943082569</v>
      </c>
      <c r="AC50" s="9">
        <v>0.0671306007550324</v>
      </c>
      <c r="AD50" s="25">
        <v>-0.090117384404637</v>
      </c>
      <c r="AE50" s="25">
        <v>0.00961697904356252</v>
      </c>
      <c r="AF50" s="9">
        <v>-0.03634049009638</v>
      </c>
      <c r="AG50" s="9">
        <v>0.0767475797985949</v>
      </c>
      <c r="AH50" s="25"/>
      <c r="AI50" s="25"/>
      <c r="AJ50" s="4"/>
      <c r="AK50" s="4"/>
      <c r="AL50" s="3"/>
      <c r="AM50" s="3"/>
      <c r="AN50" s="4"/>
      <c r="AO50" s="4"/>
      <c r="AP50" s="3"/>
      <c r="AQ50" s="3"/>
      <c r="AR50" s="4"/>
      <c r="AS50" s="4"/>
      <c r="AT50" s="3"/>
      <c r="AU50" s="3"/>
      <c r="AV50" s="4"/>
      <c r="AW50" s="4"/>
    </row>
    <row r="51" s="3" customFormat="1" spans="1:49">
      <c r="A51" s="4">
        <v>50</v>
      </c>
      <c r="B51" s="6">
        <v>10</v>
      </c>
      <c r="C51" s="24" t="s">
        <v>111</v>
      </c>
      <c r="D51" s="13" t="s">
        <v>112</v>
      </c>
      <c r="E51" s="25">
        <v>44.26</v>
      </c>
      <c r="F51" s="25">
        <v>-85.66</v>
      </c>
      <c r="G51" s="26">
        <v>7.2</v>
      </c>
      <c r="H51" s="27">
        <v>97.8</v>
      </c>
      <c r="I51" s="3"/>
      <c r="J51" s="13" t="s">
        <v>94</v>
      </c>
      <c r="K51" s="5" t="s">
        <v>78</v>
      </c>
      <c r="L51" s="3">
        <v>2001</v>
      </c>
      <c r="M51" s="3">
        <v>10</v>
      </c>
      <c r="N51" s="13" t="s">
        <v>108</v>
      </c>
      <c r="O51" s="28" t="s">
        <v>80</v>
      </c>
      <c r="P51" s="20"/>
      <c r="Q51" s="20"/>
      <c r="R51" s="5"/>
      <c r="S51" s="13"/>
      <c r="T51" s="21">
        <v>6</v>
      </c>
      <c r="U51" s="21">
        <v>40</v>
      </c>
      <c r="V51" s="21">
        <v>54</v>
      </c>
      <c r="W51" s="6">
        <v>6</v>
      </c>
      <c r="X51" s="5" t="s">
        <v>91</v>
      </c>
      <c r="Y51" s="13" t="s">
        <v>82</v>
      </c>
      <c r="Z51" s="3">
        <v>3</v>
      </c>
      <c r="AA51" s="3">
        <v>3</v>
      </c>
      <c r="AB51" s="9">
        <v>0.130451103283887</v>
      </c>
      <c r="AC51" s="9">
        <v>0.030513549556986</v>
      </c>
      <c r="AD51" s="25">
        <v>0.0770354544945355</v>
      </c>
      <c r="AE51" s="25">
        <v>0.0377833079824905</v>
      </c>
      <c r="AF51" s="9">
        <v>-0.0534156487893515</v>
      </c>
      <c r="AG51" s="9">
        <v>0.0682968575394765</v>
      </c>
      <c r="AH51" s="25"/>
      <c r="AI51" s="25"/>
      <c r="AJ51" s="4"/>
      <c r="AK51" s="4"/>
      <c r="AL51" s="3"/>
      <c r="AM51" s="3"/>
      <c r="AN51" s="4"/>
      <c r="AO51" s="4"/>
      <c r="AP51" s="3"/>
      <c r="AQ51" s="3"/>
      <c r="AR51" s="4"/>
      <c r="AS51" s="4"/>
      <c r="AT51" s="3"/>
      <c r="AU51" s="3"/>
      <c r="AV51" s="4"/>
      <c r="AW51" s="4"/>
    </row>
    <row r="52" s="3" customFormat="1" spans="1:49">
      <c r="A52" s="4">
        <v>51</v>
      </c>
      <c r="B52" s="6">
        <v>10</v>
      </c>
      <c r="C52" s="24" t="s">
        <v>111</v>
      </c>
      <c r="D52" s="13" t="s">
        <v>112</v>
      </c>
      <c r="E52" s="25">
        <v>44.3</v>
      </c>
      <c r="F52" s="25">
        <v>-85.883</v>
      </c>
      <c r="G52" s="26">
        <v>7.2</v>
      </c>
      <c r="H52" s="27">
        <v>97.8</v>
      </c>
      <c r="I52" s="3"/>
      <c r="J52" s="13" t="s">
        <v>94</v>
      </c>
      <c r="K52" s="5" t="s">
        <v>78</v>
      </c>
      <c r="L52" s="3">
        <v>2001</v>
      </c>
      <c r="M52" s="3">
        <v>10</v>
      </c>
      <c r="N52" s="13" t="s">
        <v>108</v>
      </c>
      <c r="O52" s="28" t="s">
        <v>80</v>
      </c>
      <c r="P52" s="20"/>
      <c r="Q52" s="20"/>
      <c r="R52" s="5"/>
      <c r="S52" s="13"/>
      <c r="T52" s="21">
        <v>6</v>
      </c>
      <c r="U52" s="21">
        <v>40</v>
      </c>
      <c r="V52" s="21">
        <v>54</v>
      </c>
      <c r="W52" s="6">
        <v>6</v>
      </c>
      <c r="X52" s="5" t="s">
        <v>91</v>
      </c>
      <c r="Y52" s="13" t="s">
        <v>82</v>
      </c>
      <c r="Z52" s="3">
        <v>3</v>
      </c>
      <c r="AA52" s="3">
        <v>3</v>
      </c>
      <c r="AB52" s="9">
        <v>-0.120953730129752</v>
      </c>
      <c r="AC52" s="9">
        <v>0.0162442856824216</v>
      </c>
      <c r="AD52" s="25">
        <v>0.0851546146943849</v>
      </c>
      <c r="AE52" s="25">
        <v>0.0220198433482616</v>
      </c>
      <c r="AF52" s="9">
        <v>0.206108344824138</v>
      </c>
      <c r="AG52" s="9">
        <v>0.0382641290306833</v>
      </c>
      <c r="AH52" s="25"/>
      <c r="AI52" s="25"/>
      <c r="AJ52" s="4"/>
      <c r="AK52" s="4"/>
      <c r="AL52" s="3"/>
      <c r="AM52" s="3"/>
      <c r="AN52" s="4"/>
      <c r="AO52" s="4"/>
      <c r="AP52" s="3"/>
      <c r="AQ52" s="3"/>
      <c r="AR52" s="4"/>
      <c r="AS52" s="4"/>
      <c r="AT52" s="3"/>
      <c r="AU52" s="3"/>
      <c r="AV52" s="4"/>
      <c r="AW52" s="4"/>
    </row>
    <row r="53" s="3" customFormat="1" spans="1:49">
      <c r="A53" s="4">
        <v>52</v>
      </c>
      <c r="B53" s="6">
        <v>10</v>
      </c>
      <c r="C53" s="24" t="s">
        <v>111</v>
      </c>
      <c r="D53" s="13" t="s">
        <v>112</v>
      </c>
      <c r="E53" s="25">
        <v>44.2169444</v>
      </c>
      <c r="F53" s="25">
        <v>-85.7169444</v>
      </c>
      <c r="G53" s="26">
        <v>7.2</v>
      </c>
      <c r="H53" s="27">
        <v>97.8</v>
      </c>
      <c r="I53" s="3"/>
      <c r="J53" s="13" t="s">
        <v>94</v>
      </c>
      <c r="K53" s="5" t="s">
        <v>78</v>
      </c>
      <c r="L53" s="3">
        <v>2002</v>
      </c>
      <c r="M53" s="3">
        <v>5</v>
      </c>
      <c r="N53" s="13" t="s">
        <v>113</v>
      </c>
      <c r="O53" s="28" t="s">
        <v>80</v>
      </c>
      <c r="P53" s="20"/>
      <c r="Q53" s="20"/>
      <c r="R53" s="5"/>
      <c r="S53" s="13"/>
      <c r="T53" s="21">
        <v>6</v>
      </c>
      <c r="U53" s="21">
        <v>40</v>
      </c>
      <c r="V53" s="21">
        <v>54</v>
      </c>
      <c r="W53" s="6">
        <v>13</v>
      </c>
      <c r="X53" s="5" t="s">
        <v>91</v>
      </c>
      <c r="Y53" s="13" t="s">
        <v>82</v>
      </c>
      <c r="Z53" s="3">
        <v>3</v>
      </c>
      <c r="AA53" s="3">
        <v>3</v>
      </c>
      <c r="AB53" s="9">
        <v>-0.177336037920665</v>
      </c>
      <c r="AC53" s="9">
        <v>0.00200233707017129</v>
      </c>
      <c r="AD53" s="25">
        <v>-0.101594643570804</v>
      </c>
      <c r="AE53" s="25">
        <v>0.00327046523987031</v>
      </c>
      <c r="AF53" s="9">
        <v>0.0757413943498609</v>
      </c>
      <c r="AG53" s="9">
        <v>0.0052728023100416</v>
      </c>
      <c r="AH53" s="25"/>
      <c r="AI53" s="25"/>
      <c r="AJ53" s="4"/>
      <c r="AK53" s="4"/>
      <c r="AL53" s="3"/>
      <c r="AM53" s="3"/>
      <c r="AN53" s="4"/>
      <c r="AO53" s="4"/>
      <c r="AP53" s="3"/>
      <c r="AQ53" s="3"/>
      <c r="AR53" s="4"/>
      <c r="AS53" s="4"/>
      <c r="AT53" s="3"/>
      <c r="AU53" s="3"/>
      <c r="AV53" s="4"/>
      <c r="AW53" s="4"/>
    </row>
    <row r="54" s="3" customFormat="1" spans="1:49">
      <c r="A54" s="4">
        <v>53</v>
      </c>
      <c r="B54" s="6">
        <v>10</v>
      </c>
      <c r="C54" s="24" t="s">
        <v>111</v>
      </c>
      <c r="D54" s="13" t="s">
        <v>112</v>
      </c>
      <c r="E54" s="25">
        <v>44.26</v>
      </c>
      <c r="F54" s="25">
        <v>-85.66</v>
      </c>
      <c r="G54" s="26">
        <v>7.2</v>
      </c>
      <c r="H54" s="27">
        <v>97.8</v>
      </c>
      <c r="I54" s="3"/>
      <c r="J54" s="13" t="s">
        <v>94</v>
      </c>
      <c r="K54" s="5" t="s">
        <v>78</v>
      </c>
      <c r="L54" s="3">
        <v>2002</v>
      </c>
      <c r="M54" s="3">
        <v>5</v>
      </c>
      <c r="N54" s="13" t="s">
        <v>113</v>
      </c>
      <c r="O54" s="28" t="s">
        <v>80</v>
      </c>
      <c r="P54" s="20"/>
      <c r="Q54" s="20"/>
      <c r="R54" s="5"/>
      <c r="S54" s="13"/>
      <c r="T54" s="21">
        <v>6</v>
      </c>
      <c r="U54" s="21">
        <v>40</v>
      </c>
      <c r="V54" s="21">
        <v>54</v>
      </c>
      <c r="W54" s="6">
        <v>13</v>
      </c>
      <c r="X54" s="5" t="s">
        <v>91</v>
      </c>
      <c r="Y54" s="13" t="s">
        <v>82</v>
      </c>
      <c r="Z54" s="3">
        <v>3</v>
      </c>
      <c r="AA54" s="3">
        <v>3</v>
      </c>
      <c r="AB54" s="9">
        <v>0.0204772737497905</v>
      </c>
      <c r="AC54" s="9">
        <v>0.0135620369683266</v>
      </c>
      <c r="AD54" s="25">
        <v>0.0353149451099996</v>
      </c>
      <c r="AE54" s="25">
        <v>0.00539074598710324</v>
      </c>
      <c r="AF54" s="9">
        <v>0.0148376713602103</v>
      </c>
      <c r="AG54" s="9">
        <v>0.0189527829554298</v>
      </c>
      <c r="AH54" s="25"/>
      <c r="AI54" s="25"/>
      <c r="AJ54" s="4"/>
      <c r="AK54" s="4"/>
      <c r="AL54" s="3"/>
      <c r="AM54" s="3"/>
      <c r="AN54" s="4"/>
      <c r="AO54" s="4"/>
      <c r="AP54" s="3"/>
      <c r="AQ54" s="3"/>
      <c r="AR54" s="4"/>
      <c r="AS54" s="4"/>
      <c r="AT54" s="3"/>
      <c r="AU54" s="3"/>
      <c r="AV54" s="4"/>
      <c r="AW54" s="4"/>
    </row>
    <row r="55" s="3" customFormat="1" spans="1:49">
      <c r="A55" s="4">
        <v>54</v>
      </c>
      <c r="B55" s="6">
        <v>10</v>
      </c>
      <c r="C55" s="24" t="s">
        <v>111</v>
      </c>
      <c r="D55" s="13" t="s">
        <v>112</v>
      </c>
      <c r="E55" s="25">
        <v>44.3</v>
      </c>
      <c r="F55" s="25">
        <v>-85.883</v>
      </c>
      <c r="G55" s="26">
        <v>7.2</v>
      </c>
      <c r="H55" s="27">
        <v>97.8</v>
      </c>
      <c r="I55" s="3"/>
      <c r="J55" s="13" t="s">
        <v>94</v>
      </c>
      <c r="K55" s="5" t="s">
        <v>78</v>
      </c>
      <c r="L55" s="3">
        <v>2002</v>
      </c>
      <c r="M55" s="3">
        <v>5</v>
      </c>
      <c r="N55" s="13" t="s">
        <v>113</v>
      </c>
      <c r="O55" s="28" t="s">
        <v>80</v>
      </c>
      <c r="P55" s="20"/>
      <c r="Q55" s="20"/>
      <c r="R55" s="5"/>
      <c r="S55" s="13"/>
      <c r="T55" s="21">
        <v>6</v>
      </c>
      <c r="U55" s="21">
        <v>40</v>
      </c>
      <c r="V55" s="21">
        <v>54</v>
      </c>
      <c r="W55" s="6">
        <v>13</v>
      </c>
      <c r="X55" s="5" t="s">
        <v>91</v>
      </c>
      <c r="Y55" s="13" t="s">
        <v>82</v>
      </c>
      <c r="Z55" s="3">
        <v>3</v>
      </c>
      <c r="AA55" s="3">
        <v>3</v>
      </c>
      <c r="AB55" s="9">
        <v>1e-7</v>
      </c>
      <c r="AC55" s="9">
        <v>0.0590747904213282</v>
      </c>
      <c r="AD55" s="25">
        <v>-0.312317722551937</v>
      </c>
      <c r="AE55" s="25">
        <v>0.0562203925454367</v>
      </c>
      <c r="AF55" s="9">
        <v>-0.312317722551937</v>
      </c>
      <c r="AG55" s="9">
        <v>0.115295182966765</v>
      </c>
      <c r="AH55" s="25"/>
      <c r="AI55" s="25"/>
      <c r="AJ55" s="4"/>
      <c r="AK55" s="4"/>
      <c r="AL55" s="3"/>
      <c r="AM55" s="3"/>
      <c r="AN55" s="4"/>
      <c r="AO55" s="4"/>
      <c r="AP55" s="3"/>
      <c r="AQ55" s="3"/>
      <c r="AR55" s="4"/>
      <c r="AS55" s="4"/>
      <c r="AT55" s="3"/>
      <c r="AU55" s="3"/>
      <c r="AV55" s="4"/>
      <c r="AW55" s="4"/>
    </row>
    <row r="56" s="3" customFormat="1" spans="1:49">
      <c r="A56" s="4">
        <v>55</v>
      </c>
      <c r="B56" s="6">
        <v>10</v>
      </c>
      <c r="C56" s="24" t="s">
        <v>111</v>
      </c>
      <c r="D56" s="13" t="s">
        <v>112</v>
      </c>
      <c r="E56" s="25">
        <v>44.2169444</v>
      </c>
      <c r="F56" s="25">
        <v>-85.7169444</v>
      </c>
      <c r="G56" s="26">
        <v>7.2</v>
      </c>
      <c r="H56" s="27">
        <v>97.8</v>
      </c>
      <c r="I56" s="3"/>
      <c r="J56" s="13" t="s">
        <v>94</v>
      </c>
      <c r="K56" s="5" t="s">
        <v>78</v>
      </c>
      <c r="L56" s="3">
        <v>2002</v>
      </c>
      <c r="M56" s="3">
        <v>6</v>
      </c>
      <c r="N56" s="13" t="s">
        <v>96</v>
      </c>
      <c r="O56" s="28" t="s">
        <v>80</v>
      </c>
      <c r="P56" s="20"/>
      <c r="Q56" s="20"/>
      <c r="R56" s="5"/>
      <c r="S56" s="13"/>
      <c r="T56" s="21">
        <v>6</v>
      </c>
      <c r="U56" s="21">
        <v>40</v>
      </c>
      <c r="V56" s="21">
        <v>54</v>
      </c>
      <c r="W56" s="6">
        <v>14</v>
      </c>
      <c r="X56" s="5" t="s">
        <v>91</v>
      </c>
      <c r="Y56" s="13" t="s">
        <v>82</v>
      </c>
      <c r="Z56" s="3">
        <v>3</v>
      </c>
      <c r="AA56" s="3">
        <v>3</v>
      </c>
      <c r="AB56" s="9">
        <v>-0.16018701377355</v>
      </c>
      <c r="AC56" s="9">
        <v>0.0465165021141442</v>
      </c>
      <c r="AD56" s="25">
        <v>0.0511590987008653</v>
      </c>
      <c r="AE56" s="25">
        <v>0.0116872333608263</v>
      </c>
      <c r="AF56" s="9">
        <v>0.211346112474416</v>
      </c>
      <c r="AG56" s="9">
        <v>0.0582037354749705</v>
      </c>
      <c r="AH56" s="25"/>
      <c r="AI56" s="25"/>
      <c r="AJ56" s="4"/>
      <c r="AK56" s="4"/>
      <c r="AL56" s="3"/>
      <c r="AM56" s="3"/>
      <c r="AN56" s="4"/>
      <c r="AO56" s="4"/>
      <c r="AP56" s="3"/>
      <c r="AQ56" s="3"/>
      <c r="AR56" s="4"/>
      <c r="AS56" s="4"/>
      <c r="AT56" s="3"/>
      <c r="AU56" s="3"/>
      <c r="AV56" s="4"/>
      <c r="AW56" s="4"/>
    </row>
    <row r="57" s="3" customFormat="1" spans="1:49">
      <c r="A57" s="4">
        <v>56</v>
      </c>
      <c r="B57" s="6">
        <v>10</v>
      </c>
      <c r="C57" s="24" t="s">
        <v>111</v>
      </c>
      <c r="D57" s="13" t="s">
        <v>112</v>
      </c>
      <c r="E57" s="25">
        <v>44.26</v>
      </c>
      <c r="F57" s="25">
        <v>-85.66</v>
      </c>
      <c r="G57" s="26">
        <v>7.2</v>
      </c>
      <c r="H57" s="27">
        <v>97.8</v>
      </c>
      <c r="I57" s="3"/>
      <c r="J57" s="13" t="s">
        <v>94</v>
      </c>
      <c r="K57" s="5" t="s">
        <v>78</v>
      </c>
      <c r="L57" s="3">
        <v>2002</v>
      </c>
      <c r="M57" s="3">
        <v>6</v>
      </c>
      <c r="N57" s="13" t="s">
        <v>96</v>
      </c>
      <c r="O57" s="28" t="s">
        <v>80</v>
      </c>
      <c r="P57" s="20"/>
      <c r="Q57" s="20"/>
      <c r="R57" s="5"/>
      <c r="S57" s="13"/>
      <c r="T57" s="21">
        <v>6</v>
      </c>
      <c r="U57" s="21">
        <v>40</v>
      </c>
      <c r="V57" s="21">
        <v>54</v>
      </c>
      <c r="W57" s="6">
        <v>14</v>
      </c>
      <c r="X57" s="5" t="s">
        <v>91</v>
      </c>
      <c r="Y57" s="13" t="s">
        <v>82</v>
      </c>
      <c r="Z57" s="3">
        <v>3</v>
      </c>
      <c r="AA57" s="3">
        <v>3</v>
      </c>
      <c r="AB57" s="9">
        <v>0.145581385528776</v>
      </c>
      <c r="AC57" s="9">
        <v>0.0126034993512493</v>
      </c>
      <c r="AD57" s="25">
        <v>0.172863714108804</v>
      </c>
      <c r="AE57" s="25">
        <v>0.0174313499249467</v>
      </c>
      <c r="AF57" s="9">
        <v>0.0272823285800283</v>
      </c>
      <c r="AG57" s="9">
        <v>0.030034849276196</v>
      </c>
      <c r="AH57" s="25"/>
      <c r="AI57" s="25"/>
      <c r="AJ57" s="4"/>
      <c r="AK57" s="4"/>
      <c r="AL57" s="3"/>
      <c r="AM57" s="3"/>
      <c r="AN57" s="4"/>
      <c r="AO57" s="4"/>
      <c r="AP57" s="3"/>
      <c r="AQ57" s="3"/>
      <c r="AR57" s="4"/>
      <c r="AS57" s="4"/>
      <c r="AT57" s="3"/>
      <c r="AU57" s="3"/>
      <c r="AV57" s="4"/>
      <c r="AW57" s="4"/>
    </row>
    <row r="58" s="3" customFormat="1" spans="1:49">
      <c r="A58" s="4">
        <v>57</v>
      </c>
      <c r="B58" s="6">
        <v>10</v>
      </c>
      <c r="C58" s="24" t="s">
        <v>111</v>
      </c>
      <c r="D58" s="13" t="s">
        <v>112</v>
      </c>
      <c r="E58" s="25">
        <v>44.3</v>
      </c>
      <c r="F58" s="25">
        <v>-85.883</v>
      </c>
      <c r="G58" s="26">
        <v>7.2</v>
      </c>
      <c r="H58" s="27">
        <v>97.8</v>
      </c>
      <c r="I58" s="3"/>
      <c r="J58" s="13" t="s">
        <v>94</v>
      </c>
      <c r="K58" s="5" t="s">
        <v>78</v>
      </c>
      <c r="L58" s="3">
        <v>2002</v>
      </c>
      <c r="M58" s="3">
        <v>6</v>
      </c>
      <c r="N58" s="13" t="s">
        <v>96</v>
      </c>
      <c r="O58" s="28" t="s">
        <v>80</v>
      </c>
      <c r="P58" s="20"/>
      <c r="Q58" s="20"/>
      <c r="R58" s="5"/>
      <c r="S58" s="13"/>
      <c r="T58" s="21">
        <v>6</v>
      </c>
      <c r="U58" s="21">
        <v>40</v>
      </c>
      <c r="V58" s="21">
        <v>54</v>
      </c>
      <c r="W58" s="6">
        <v>14</v>
      </c>
      <c r="X58" s="5" t="s">
        <v>91</v>
      </c>
      <c r="Y58" s="13" t="s">
        <v>82</v>
      </c>
      <c r="Z58" s="3">
        <v>3</v>
      </c>
      <c r="AA58" s="3">
        <v>3</v>
      </c>
      <c r="AB58" s="9">
        <v>0.00737965501062195</v>
      </c>
      <c r="AC58" s="9">
        <v>0.0341111217937232</v>
      </c>
      <c r="AD58" s="25">
        <v>0.0289830517872843</v>
      </c>
      <c r="AE58" s="25">
        <v>0.0476958290143839</v>
      </c>
      <c r="AF58" s="9">
        <v>0.0216033967766622</v>
      </c>
      <c r="AG58" s="9">
        <v>0.081806950808107</v>
      </c>
      <c r="AH58" s="25"/>
      <c r="AI58" s="25"/>
      <c r="AJ58" s="4"/>
      <c r="AK58" s="4"/>
      <c r="AL58" s="3"/>
      <c r="AM58" s="3"/>
      <c r="AN58" s="4"/>
      <c r="AO58" s="4"/>
      <c r="AP58" s="3"/>
      <c r="AQ58" s="3"/>
      <c r="AR58" s="4"/>
      <c r="AS58" s="4"/>
      <c r="AT58" s="3"/>
      <c r="AU58" s="3"/>
      <c r="AV58" s="4"/>
      <c r="AW58" s="4"/>
    </row>
    <row r="59" s="3" customFormat="1" spans="1:49">
      <c r="A59" s="4">
        <v>58</v>
      </c>
      <c r="B59" s="6">
        <v>10</v>
      </c>
      <c r="C59" s="24" t="s">
        <v>111</v>
      </c>
      <c r="D59" s="13" t="s">
        <v>112</v>
      </c>
      <c r="E59" s="25">
        <v>44.2169444</v>
      </c>
      <c r="F59" s="25">
        <v>-85.7169444</v>
      </c>
      <c r="G59" s="26">
        <v>7.2</v>
      </c>
      <c r="H59" s="27">
        <v>97.8</v>
      </c>
      <c r="I59" s="3"/>
      <c r="J59" s="13" t="s">
        <v>94</v>
      </c>
      <c r="K59" s="5" t="s">
        <v>78</v>
      </c>
      <c r="L59" s="3">
        <v>2002</v>
      </c>
      <c r="M59" s="3">
        <v>7</v>
      </c>
      <c r="N59" s="13" t="s">
        <v>96</v>
      </c>
      <c r="O59" s="28" t="s">
        <v>80</v>
      </c>
      <c r="P59" s="20"/>
      <c r="Q59" s="20"/>
      <c r="R59" s="5"/>
      <c r="S59" s="13"/>
      <c r="T59" s="21">
        <v>6</v>
      </c>
      <c r="U59" s="21">
        <v>40</v>
      </c>
      <c r="V59" s="21">
        <v>54</v>
      </c>
      <c r="W59" s="6">
        <v>15</v>
      </c>
      <c r="X59" s="5" t="s">
        <v>91</v>
      </c>
      <c r="Y59" s="13" t="s">
        <v>82</v>
      </c>
      <c r="Z59" s="3">
        <v>3</v>
      </c>
      <c r="AA59" s="3">
        <v>3</v>
      </c>
      <c r="AB59" s="9">
        <v>-0.165080778973697</v>
      </c>
      <c r="AC59" s="9">
        <v>0.0256466974626437</v>
      </c>
      <c r="AD59" s="25">
        <v>-0.00206997745188283</v>
      </c>
      <c r="AE59" s="25">
        <v>0.0165552989699286</v>
      </c>
      <c r="AF59" s="9">
        <v>0.163010801521814</v>
      </c>
      <c r="AG59" s="9">
        <v>0.0422019964325726</v>
      </c>
      <c r="AH59" s="25"/>
      <c r="AI59" s="25"/>
      <c r="AJ59" s="4"/>
      <c r="AK59" s="4"/>
      <c r="AL59" s="3"/>
      <c r="AM59" s="3"/>
      <c r="AN59" s="4"/>
      <c r="AO59" s="4"/>
      <c r="AP59" s="3"/>
      <c r="AQ59" s="3"/>
      <c r="AR59" s="4"/>
      <c r="AS59" s="4"/>
      <c r="AT59" s="3"/>
      <c r="AU59" s="3"/>
      <c r="AV59" s="4"/>
      <c r="AW59" s="4"/>
    </row>
    <row r="60" s="3" customFormat="1" spans="1:49">
      <c r="A60" s="4">
        <v>59</v>
      </c>
      <c r="B60" s="6">
        <v>10</v>
      </c>
      <c r="C60" s="24" t="s">
        <v>111</v>
      </c>
      <c r="D60" s="13" t="s">
        <v>112</v>
      </c>
      <c r="E60" s="25">
        <v>44.26</v>
      </c>
      <c r="F60" s="25">
        <v>-85.66</v>
      </c>
      <c r="G60" s="26">
        <v>7.2</v>
      </c>
      <c r="H60" s="27">
        <v>97.8</v>
      </c>
      <c r="I60" s="3"/>
      <c r="J60" s="13" t="s">
        <v>94</v>
      </c>
      <c r="K60" s="5" t="s">
        <v>78</v>
      </c>
      <c r="L60" s="3">
        <v>2002</v>
      </c>
      <c r="M60" s="3">
        <v>7</v>
      </c>
      <c r="N60" s="13" t="s">
        <v>96</v>
      </c>
      <c r="O60" s="28" t="s">
        <v>80</v>
      </c>
      <c r="P60" s="20"/>
      <c r="Q60" s="20"/>
      <c r="R60" s="5"/>
      <c r="S60" s="13"/>
      <c r="T60" s="21">
        <v>6</v>
      </c>
      <c r="U60" s="21">
        <v>40</v>
      </c>
      <c r="V60" s="21">
        <v>54</v>
      </c>
      <c r="W60" s="6">
        <v>15</v>
      </c>
      <c r="X60" s="5" t="s">
        <v>91</v>
      </c>
      <c r="Y60" s="13" t="s">
        <v>82</v>
      </c>
      <c r="Z60" s="3">
        <v>3</v>
      </c>
      <c r="AA60" s="3">
        <v>3</v>
      </c>
      <c r="AB60" s="9">
        <v>0.117783996766504</v>
      </c>
      <c r="AC60" s="9">
        <v>0.0337103588837838</v>
      </c>
      <c r="AD60" s="25">
        <v>0.153860096040128</v>
      </c>
      <c r="AE60" s="25">
        <v>0.0394319545189907</v>
      </c>
      <c r="AF60" s="9">
        <v>0.0360760992736239</v>
      </c>
      <c r="AG60" s="9">
        <v>0.0731423134027746</v>
      </c>
      <c r="AH60" s="25"/>
      <c r="AI60" s="25"/>
      <c r="AJ60" s="4"/>
      <c r="AK60" s="4"/>
      <c r="AL60" s="3"/>
      <c r="AM60" s="3"/>
      <c r="AN60" s="4"/>
      <c r="AO60" s="4"/>
      <c r="AP60" s="3"/>
      <c r="AQ60" s="3"/>
      <c r="AR60" s="4"/>
      <c r="AS60" s="4"/>
      <c r="AT60" s="3"/>
      <c r="AU60" s="3"/>
      <c r="AV60" s="4"/>
      <c r="AW60" s="4"/>
    </row>
    <row r="61" s="3" customFormat="1" spans="1:49">
      <c r="A61" s="4">
        <v>60</v>
      </c>
      <c r="B61" s="6">
        <v>10</v>
      </c>
      <c r="C61" s="24" t="s">
        <v>111</v>
      </c>
      <c r="D61" s="13" t="s">
        <v>112</v>
      </c>
      <c r="E61" s="25">
        <v>44.3</v>
      </c>
      <c r="F61" s="25">
        <v>-85.883</v>
      </c>
      <c r="G61" s="26">
        <v>7.2</v>
      </c>
      <c r="H61" s="27">
        <v>97.8</v>
      </c>
      <c r="I61" s="3"/>
      <c r="J61" s="13" t="s">
        <v>94</v>
      </c>
      <c r="K61" s="5" t="s">
        <v>78</v>
      </c>
      <c r="L61" s="3">
        <v>2002</v>
      </c>
      <c r="M61" s="3">
        <v>7</v>
      </c>
      <c r="N61" s="13" t="s">
        <v>96</v>
      </c>
      <c r="O61" s="28" t="s">
        <v>80</v>
      </c>
      <c r="P61" s="20"/>
      <c r="Q61" s="20"/>
      <c r="R61" s="5"/>
      <c r="S61" s="13"/>
      <c r="T61" s="21">
        <v>6</v>
      </c>
      <c r="U61" s="21">
        <v>40</v>
      </c>
      <c r="V61" s="21">
        <v>54</v>
      </c>
      <c r="W61" s="6">
        <v>15</v>
      </c>
      <c r="X61" s="5" t="s">
        <v>91</v>
      </c>
      <c r="Y61" s="13" t="s">
        <v>82</v>
      </c>
      <c r="Z61" s="3">
        <v>3</v>
      </c>
      <c r="AA61" s="3">
        <v>3</v>
      </c>
      <c r="AB61" s="9">
        <v>1e-7</v>
      </c>
      <c r="AC61" s="9">
        <v>0.0358122588511042</v>
      </c>
      <c r="AD61" s="25">
        <v>-0.261094022036566</v>
      </c>
      <c r="AE61" s="25">
        <v>0.0115061199721663</v>
      </c>
      <c r="AF61" s="9">
        <v>-0.261094022036567</v>
      </c>
      <c r="AG61" s="9">
        <v>0.0473183788232705</v>
      </c>
      <c r="AH61" s="25"/>
      <c r="AI61" s="25"/>
      <c r="AJ61" s="4"/>
      <c r="AK61" s="4"/>
      <c r="AL61" s="3"/>
      <c r="AM61" s="3"/>
      <c r="AN61" s="4"/>
      <c r="AO61" s="4"/>
      <c r="AP61" s="3"/>
      <c r="AQ61" s="3"/>
      <c r="AR61" s="4"/>
      <c r="AS61" s="4"/>
      <c r="AT61" s="3"/>
      <c r="AU61" s="3"/>
      <c r="AV61" s="4"/>
      <c r="AW61" s="4"/>
    </row>
    <row r="62" s="3" customFormat="1" spans="1:49">
      <c r="A62" s="4">
        <v>61</v>
      </c>
      <c r="B62" s="6">
        <v>10</v>
      </c>
      <c r="C62" s="24" t="s">
        <v>111</v>
      </c>
      <c r="D62" s="13" t="s">
        <v>112</v>
      </c>
      <c r="E62" s="25">
        <v>44.2169444</v>
      </c>
      <c r="F62" s="25">
        <v>-85.7169444</v>
      </c>
      <c r="G62" s="26">
        <v>7.2</v>
      </c>
      <c r="H62" s="27">
        <v>97.8</v>
      </c>
      <c r="I62" s="3"/>
      <c r="J62" s="13" t="s">
        <v>94</v>
      </c>
      <c r="K62" s="5" t="s">
        <v>78</v>
      </c>
      <c r="L62" s="3">
        <v>2002</v>
      </c>
      <c r="M62" s="3">
        <v>10</v>
      </c>
      <c r="N62" s="13" t="s">
        <v>108</v>
      </c>
      <c r="O62" s="28" t="s">
        <v>80</v>
      </c>
      <c r="P62" s="20"/>
      <c r="Q62" s="20"/>
      <c r="R62" s="5"/>
      <c r="S62" s="13"/>
      <c r="T62" s="21">
        <v>6</v>
      </c>
      <c r="U62" s="21">
        <v>40</v>
      </c>
      <c r="V62" s="21">
        <v>54</v>
      </c>
      <c r="W62" s="6">
        <v>18</v>
      </c>
      <c r="X62" s="5" t="s">
        <v>91</v>
      </c>
      <c r="Y62" s="13" t="s">
        <v>82</v>
      </c>
      <c r="Z62" s="3">
        <v>3</v>
      </c>
      <c r="AA62" s="3">
        <v>3</v>
      </c>
      <c r="AB62" s="9">
        <v>-0.00790470381665772</v>
      </c>
      <c r="AC62" s="9">
        <v>0.0191471953364835</v>
      </c>
      <c r="AD62" s="25">
        <v>0.0551489912075312</v>
      </c>
      <c r="AE62" s="25">
        <v>0.00387057337810937</v>
      </c>
      <c r="AF62" s="9">
        <v>0.0630536950241888</v>
      </c>
      <c r="AG62" s="9">
        <v>0.0230177687145929</v>
      </c>
      <c r="AH62" s="25"/>
      <c r="AI62" s="25"/>
      <c r="AJ62" s="4"/>
      <c r="AK62" s="4"/>
      <c r="AL62" s="3"/>
      <c r="AM62" s="3"/>
      <c r="AN62" s="4"/>
      <c r="AO62" s="4"/>
      <c r="AP62" s="3"/>
      <c r="AQ62" s="3"/>
      <c r="AR62" s="4"/>
      <c r="AS62" s="4"/>
      <c r="AT62" s="3"/>
      <c r="AU62" s="3"/>
      <c r="AV62" s="4"/>
      <c r="AW62" s="4"/>
    </row>
    <row r="63" s="3" customFormat="1" spans="1:49">
      <c r="A63" s="4">
        <v>62</v>
      </c>
      <c r="B63" s="6">
        <v>10</v>
      </c>
      <c r="C63" s="24" t="s">
        <v>111</v>
      </c>
      <c r="D63" s="13" t="s">
        <v>112</v>
      </c>
      <c r="E63" s="25">
        <v>44.26</v>
      </c>
      <c r="F63" s="25">
        <v>-85.66</v>
      </c>
      <c r="G63" s="26">
        <v>7.2</v>
      </c>
      <c r="H63" s="27">
        <v>97.8</v>
      </c>
      <c r="I63" s="3"/>
      <c r="J63" s="13" t="s">
        <v>94</v>
      </c>
      <c r="K63" s="5" t="s">
        <v>78</v>
      </c>
      <c r="L63" s="3">
        <v>2002</v>
      </c>
      <c r="M63" s="3">
        <v>10</v>
      </c>
      <c r="N63" s="13" t="s">
        <v>108</v>
      </c>
      <c r="O63" s="28" t="s">
        <v>80</v>
      </c>
      <c r="P63" s="20"/>
      <c r="Q63" s="20"/>
      <c r="R63" s="5"/>
      <c r="S63" s="13"/>
      <c r="T63" s="21">
        <v>6</v>
      </c>
      <c r="U63" s="21">
        <v>40</v>
      </c>
      <c r="V63" s="21">
        <v>54</v>
      </c>
      <c r="W63" s="6">
        <v>18</v>
      </c>
      <c r="X63" s="5" t="s">
        <v>91</v>
      </c>
      <c r="Y63" s="13" t="s">
        <v>82</v>
      </c>
      <c r="Z63" s="3">
        <v>3</v>
      </c>
      <c r="AA63" s="3">
        <v>3</v>
      </c>
      <c r="AB63" s="9">
        <v>0.0548097309562454</v>
      </c>
      <c r="AC63" s="9">
        <v>0.0252155685759266</v>
      </c>
      <c r="AD63" s="25">
        <v>-0.100028000053793</v>
      </c>
      <c r="AE63" s="25">
        <v>0.0533075709795765</v>
      </c>
      <c r="AF63" s="9">
        <v>-0.154837731010039</v>
      </c>
      <c r="AG63" s="9">
        <v>0.0785231395555033</v>
      </c>
      <c r="AH63" s="25"/>
      <c r="AI63" s="25"/>
      <c r="AJ63" s="4"/>
      <c r="AK63" s="4"/>
      <c r="AL63" s="3"/>
      <c r="AM63" s="3"/>
      <c r="AN63" s="4"/>
      <c r="AO63" s="4"/>
      <c r="AP63" s="3"/>
      <c r="AQ63" s="3"/>
      <c r="AR63" s="4"/>
      <c r="AS63" s="4"/>
      <c r="AT63" s="3"/>
      <c r="AU63" s="3"/>
      <c r="AV63" s="4"/>
      <c r="AW63" s="4"/>
    </row>
    <row r="64" s="3" customFormat="1" spans="1:49">
      <c r="A64" s="4">
        <v>63</v>
      </c>
      <c r="B64" s="6">
        <v>10</v>
      </c>
      <c r="C64" s="24" t="s">
        <v>111</v>
      </c>
      <c r="D64" s="13" t="s">
        <v>112</v>
      </c>
      <c r="E64" s="25">
        <v>44.3</v>
      </c>
      <c r="F64" s="25">
        <v>-85.883</v>
      </c>
      <c r="G64" s="26">
        <v>7.2</v>
      </c>
      <c r="H64" s="27">
        <v>97.8</v>
      </c>
      <c r="I64" s="3"/>
      <c r="J64" s="13" t="s">
        <v>94</v>
      </c>
      <c r="K64" s="5" t="s">
        <v>78</v>
      </c>
      <c r="L64" s="3">
        <v>2002</v>
      </c>
      <c r="M64" s="3">
        <v>10</v>
      </c>
      <c r="N64" s="13" t="s">
        <v>108</v>
      </c>
      <c r="O64" s="28" t="s">
        <v>80</v>
      </c>
      <c r="P64" s="20"/>
      <c r="Q64" s="20"/>
      <c r="R64" s="5"/>
      <c r="S64" s="13"/>
      <c r="T64" s="21">
        <v>6</v>
      </c>
      <c r="U64" s="21">
        <v>40</v>
      </c>
      <c r="V64" s="21">
        <v>54</v>
      </c>
      <c r="W64" s="6">
        <v>18</v>
      </c>
      <c r="X64" s="5" t="s">
        <v>91</v>
      </c>
      <c r="Y64" s="13" t="s">
        <v>82</v>
      </c>
      <c r="Z64" s="3">
        <v>3</v>
      </c>
      <c r="AA64" s="3">
        <v>3</v>
      </c>
      <c r="AB64" s="9">
        <v>-0.0074345194501745</v>
      </c>
      <c r="AC64" s="9">
        <v>0.0169448228535197</v>
      </c>
      <c r="AD64" s="25">
        <v>0.179379613001616</v>
      </c>
      <c r="AE64" s="25">
        <v>0.032818933067082</v>
      </c>
      <c r="AF64" s="9">
        <v>0.186814132451791</v>
      </c>
      <c r="AG64" s="9">
        <v>0.0497637559206017</v>
      </c>
      <c r="AH64" s="25"/>
      <c r="AI64" s="25"/>
      <c r="AJ64" s="4"/>
      <c r="AK64" s="4"/>
      <c r="AL64" s="3"/>
      <c r="AM64" s="3"/>
      <c r="AN64" s="4"/>
      <c r="AO64" s="4"/>
      <c r="AP64" s="3"/>
      <c r="AQ64" s="3"/>
      <c r="AR64" s="4"/>
      <c r="AS64" s="4"/>
      <c r="AT64" s="3"/>
      <c r="AU64" s="3"/>
      <c r="AV64" s="4"/>
      <c r="AW64" s="4"/>
    </row>
    <row r="65" s="4" customFormat="1" spans="1:35">
      <c r="A65" s="4">
        <v>64</v>
      </c>
      <c r="B65" s="18">
        <v>11</v>
      </c>
      <c r="C65" s="19" t="s">
        <v>114</v>
      </c>
      <c r="D65" s="5" t="s">
        <v>115</v>
      </c>
      <c r="E65" s="9">
        <v>47.2485224744732</v>
      </c>
      <c r="F65" s="9">
        <v>19.5973799710784</v>
      </c>
      <c r="G65" s="20">
        <v>11</v>
      </c>
      <c r="H65" s="21">
        <v>500</v>
      </c>
      <c r="I65" s="4"/>
      <c r="J65" s="5" t="s">
        <v>86</v>
      </c>
      <c r="K65" s="5" t="s">
        <v>78</v>
      </c>
      <c r="L65" s="4">
        <v>2003</v>
      </c>
      <c r="M65" s="4">
        <v>6</v>
      </c>
      <c r="N65" s="5" t="s">
        <v>96</v>
      </c>
      <c r="O65" s="28" t="s">
        <v>80</v>
      </c>
      <c r="P65" s="20"/>
      <c r="Q65" s="5"/>
      <c r="R65" s="5"/>
      <c r="S65" s="13"/>
      <c r="T65" s="21">
        <v>28</v>
      </c>
      <c r="U65" s="21">
        <v>41</v>
      </c>
      <c r="V65" s="21">
        <v>31</v>
      </c>
      <c r="W65" s="18">
        <v>6</v>
      </c>
      <c r="X65" s="5" t="s">
        <v>91</v>
      </c>
      <c r="Y65" s="5" t="s">
        <v>82</v>
      </c>
      <c r="Z65" s="4">
        <v>3</v>
      </c>
      <c r="AA65" s="4">
        <v>3</v>
      </c>
      <c r="AB65" s="9">
        <v>0.307139284943118</v>
      </c>
      <c r="AC65" s="9">
        <v>0.013188778660381</v>
      </c>
      <c r="AD65" s="9">
        <v>0.0339397667428541</v>
      </c>
      <c r="AE65" s="9">
        <v>0.0121113904417465</v>
      </c>
      <c r="AF65" s="9">
        <v>-0.27319951820026</v>
      </c>
      <c r="AG65" s="9">
        <v>0.0253001691021275</v>
      </c>
      <c r="AH65" s="9"/>
      <c r="AI65" s="9"/>
    </row>
    <row r="66" s="4" customFormat="1" spans="1:35">
      <c r="A66" s="4">
        <v>65</v>
      </c>
      <c r="B66" s="18">
        <v>11</v>
      </c>
      <c r="C66" s="19" t="s">
        <v>116</v>
      </c>
      <c r="D66" s="5" t="s">
        <v>115</v>
      </c>
      <c r="E66" s="9">
        <v>47.7002778</v>
      </c>
      <c r="F66" s="9">
        <v>19.25027</v>
      </c>
      <c r="G66" s="20">
        <v>10.5</v>
      </c>
      <c r="H66" s="21">
        <v>500</v>
      </c>
      <c r="I66" s="4"/>
      <c r="J66" s="5" t="s">
        <v>86</v>
      </c>
      <c r="K66" s="5" t="s">
        <v>78</v>
      </c>
      <c r="L66" s="4">
        <v>2003</v>
      </c>
      <c r="M66" s="4">
        <v>6</v>
      </c>
      <c r="N66" s="5" t="s">
        <v>96</v>
      </c>
      <c r="O66" s="28" t="s">
        <v>80</v>
      </c>
      <c r="P66" s="20"/>
      <c r="Q66" s="5"/>
      <c r="R66" s="5"/>
      <c r="S66" s="13"/>
      <c r="T66" s="21">
        <v>29</v>
      </c>
      <c r="U66" s="21">
        <v>27</v>
      </c>
      <c r="V66" s="21">
        <v>44</v>
      </c>
      <c r="W66" s="18">
        <v>6</v>
      </c>
      <c r="X66" s="5" t="s">
        <v>91</v>
      </c>
      <c r="Y66" s="5" t="s">
        <v>82</v>
      </c>
      <c r="Z66" s="4">
        <v>3</v>
      </c>
      <c r="AA66" s="4">
        <v>3</v>
      </c>
      <c r="AB66" s="9">
        <v>0.314982196740886</v>
      </c>
      <c r="AC66" s="9">
        <v>0.0085039414972537</v>
      </c>
      <c r="AD66" s="9">
        <v>0.0147017068291251</v>
      </c>
      <c r="AE66" s="9">
        <v>0.00928020010804686</v>
      </c>
      <c r="AF66" s="9">
        <v>-0.30028048991176</v>
      </c>
      <c r="AG66" s="9">
        <v>0.0177841416053005</v>
      </c>
      <c r="AH66" s="9"/>
      <c r="AI66" s="9"/>
    </row>
    <row r="67" s="4" customFormat="1" ht="16.8" spans="1:35">
      <c r="A67" s="4">
        <v>66</v>
      </c>
      <c r="B67" s="18">
        <v>11</v>
      </c>
      <c r="C67" s="19" t="s">
        <v>117</v>
      </c>
      <c r="D67" s="5" t="s">
        <v>115</v>
      </c>
      <c r="E67" s="9">
        <v>47.2485224744732</v>
      </c>
      <c r="F67" s="9">
        <v>19.5973799710784</v>
      </c>
      <c r="G67" s="20">
        <v>11</v>
      </c>
      <c r="H67" s="21">
        <v>500</v>
      </c>
      <c r="I67" s="4"/>
      <c r="J67" s="5" t="s">
        <v>77</v>
      </c>
      <c r="K67" s="5" t="s">
        <v>78</v>
      </c>
      <c r="L67" s="4">
        <v>2003</v>
      </c>
      <c r="M67" s="4">
        <v>11</v>
      </c>
      <c r="N67" s="5" t="s">
        <v>108</v>
      </c>
      <c r="O67" s="28" t="s">
        <v>80</v>
      </c>
      <c r="P67" s="20"/>
      <c r="Q67" s="5"/>
      <c r="R67" s="5"/>
      <c r="S67" s="13"/>
      <c r="T67" s="21">
        <v>28</v>
      </c>
      <c r="U67" s="21">
        <v>41</v>
      </c>
      <c r="V67" s="21">
        <v>31</v>
      </c>
      <c r="W67" s="18">
        <v>6.5</v>
      </c>
      <c r="X67" s="5" t="s">
        <v>91</v>
      </c>
      <c r="Y67" s="5" t="s">
        <v>82</v>
      </c>
      <c r="Z67" s="4">
        <v>3</v>
      </c>
      <c r="AA67" s="4">
        <v>3</v>
      </c>
      <c r="AB67" s="9">
        <v>0.114723945008715</v>
      </c>
      <c r="AC67" s="9">
        <v>0.00870830150093232</v>
      </c>
      <c r="AD67" s="9">
        <v>0.113388230520646</v>
      </c>
      <c r="AE67" s="9">
        <v>0.347762356651472</v>
      </c>
      <c r="AF67" s="9">
        <v>-0.00133571448806836</v>
      </c>
      <c r="AG67" s="9">
        <v>0.356470658152402</v>
      </c>
      <c r="AH67" s="9"/>
      <c r="AI67" s="9"/>
    </row>
    <row r="68" s="4" customFormat="1" ht="16.8" spans="1:35">
      <c r="A68" s="4">
        <v>67</v>
      </c>
      <c r="B68" s="18">
        <v>11</v>
      </c>
      <c r="C68" s="19" t="s">
        <v>118</v>
      </c>
      <c r="D68" s="5" t="s">
        <v>115</v>
      </c>
      <c r="E68" s="9">
        <v>47.7002778</v>
      </c>
      <c r="F68" s="9">
        <v>19.25027</v>
      </c>
      <c r="G68" s="20">
        <v>10.5</v>
      </c>
      <c r="H68" s="21">
        <v>500</v>
      </c>
      <c r="I68" s="4"/>
      <c r="J68" s="5" t="s">
        <v>77</v>
      </c>
      <c r="K68" s="5" t="s">
        <v>78</v>
      </c>
      <c r="L68" s="4">
        <v>2003</v>
      </c>
      <c r="M68" s="4">
        <v>11</v>
      </c>
      <c r="N68" s="5" t="s">
        <v>108</v>
      </c>
      <c r="O68" s="28" t="s">
        <v>80</v>
      </c>
      <c r="P68" s="20"/>
      <c r="Q68" s="5"/>
      <c r="R68" s="5"/>
      <c r="S68" s="13"/>
      <c r="T68" s="21">
        <v>29</v>
      </c>
      <c r="U68" s="21">
        <v>27</v>
      </c>
      <c r="V68" s="21">
        <v>44</v>
      </c>
      <c r="W68" s="18">
        <v>6.5</v>
      </c>
      <c r="X68" s="5" t="s">
        <v>91</v>
      </c>
      <c r="Y68" s="5" t="s">
        <v>82</v>
      </c>
      <c r="Z68" s="4">
        <v>3</v>
      </c>
      <c r="AA68" s="4">
        <v>3</v>
      </c>
      <c r="AB68" s="9">
        <v>0.0889542853411797</v>
      </c>
      <c r="AC68" s="9">
        <v>0.0047183864582598</v>
      </c>
      <c r="AD68" s="9">
        <v>0.190944532607018</v>
      </c>
      <c r="AE68" s="9">
        <v>0.334777298721221</v>
      </c>
      <c r="AF68" s="9">
        <v>0.101990247265838</v>
      </c>
      <c r="AG68" s="9">
        <v>0.339495685179481</v>
      </c>
      <c r="AH68" s="9"/>
      <c r="AI68" s="9"/>
    </row>
    <row r="69" s="4" customFormat="1" spans="1:35">
      <c r="A69" s="4">
        <v>68</v>
      </c>
      <c r="B69" s="18">
        <v>11</v>
      </c>
      <c r="C69" s="19" t="s">
        <v>114</v>
      </c>
      <c r="D69" s="5" t="s">
        <v>115</v>
      </c>
      <c r="E69" s="9">
        <v>47.2485224744732</v>
      </c>
      <c r="F69" s="9">
        <v>19.5973799710784</v>
      </c>
      <c r="G69" s="20">
        <v>11</v>
      </c>
      <c r="H69" s="21">
        <v>500</v>
      </c>
      <c r="I69" s="4"/>
      <c r="J69" s="5" t="s">
        <v>86</v>
      </c>
      <c r="K69" s="5" t="s">
        <v>78</v>
      </c>
      <c r="L69" s="4">
        <v>2003</v>
      </c>
      <c r="M69" s="4">
        <v>6</v>
      </c>
      <c r="N69" s="5" t="s">
        <v>96</v>
      </c>
      <c r="O69" s="28" t="s">
        <v>80</v>
      </c>
      <c r="P69" s="20"/>
      <c r="Q69" s="5"/>
      <c r="R69" s="5"/>
      <c r="S69" s="13"/>
      <c r="T69" s="21">
        <v>28</v>
      </c>
      <c r="U69" s="21">
        <v>41</v>
      </c>
      <c r="V69" s="21">
        <v>31</v>
      </c>
      <c r="W69" s="18">
        <v>6</v>
      </c>
      <c r="X69" s="5" t="s">
        <v>91</v>
      </c>
      <c r="Y69" s="5" t="s">
        <v>82</v>
      </c>
      <c r="Z69" s="4">
        <v>3</v>
      </c>
      <c r="AA69" s="4">
        <v>3</v>
      </c>
      <c r="AB69" s="9">
        <v>0.0650847548054632</v>
      </c>
      <c r="AC69" s="9">
        <v>0.161745381057496</v>
      </c>
      <c r="AD69" s="9">
        <v>-0.155859966529582</v>
      </c>
      <c r="AE69" s="9">
        <v>0.00401875387428355</v>
      </c>
      <c r="AF69" s="9">
        <v>-0.220944721335046</v>
      </c>
      <c r="AG69" s="9">
        <v>0.165764134931779</v>
      </c>
      <c r="AH69" s="9"/>
      <c r="AI69" s="9"/>
    </row>
    <row r="70" s="4" customFormat="1" spans="1:35">
      <c r="A70" s="4">
        <v>69</v>
      </c>
      <c r="B70" s="18">
        <v>11</v>
      </c>
      <c r="C70" s="19" t="s">
        <v>116</v>
      </c>
      <c r="D70" s="5" t="s">
        <v>115</v>
      </c>
      <c r="E70" s="9">
        <v>47.7002778</v>
      </c>
      <c r="F70" s="9">
        <v>19.25027</v>
      </c>
      <c r="G70" s="20">
        <v>10.5</v>
      </c>
      <c r="H70" s="21">
        <v>500</v>
      </c>
      <c r="I70" s="4"/>
      <c r="J70" s="5" t="s">
        <v>86</v>
      </c>
      <c r="K70" s="5" t="s">
        <v>78</v>
      </c>
      <c r="L70" s="4">
        <v>2003</v>
      </c>
      <c r="M70" s="4">
        <v>6</v>
      </c>
      <c r="N70" s="5" t="s">
        <v>96</v>
      </c>
      <c r="O70" s="28" t="s">
        <v>80</v>
      </c>
      <c r="P70" s="20"/>
      <c r="Q70" s="5"/>
      <c r="R70" s="5"/>
      <c r="S70" s="13"/>
      <c r="T70" s="21">
        <v>29</v>
      </c>
      <c r="U70" s="21">
        <v>27</v>
      </c>
      <c r="V70" s="21">
        <v>44</v>
      </c>
      <c r="W70" s="18">
        <v>6</v>
      </c>
      <c r="X70" s="5" t="s">
        <v>91</v>
      </c>
      <c r="Y70" s="5" t="s">
        <v>82</v>
      </c>
      <c r="Z70" s="4">
        <v>3</v>
      </c>
      <c r="AA70" s="4">
        <v>3</v>
      </c>
      <c r="AB70" s="9">
        <v>0.00141845858375107</v>
      </c>
      <c r="AC70" s="9">
        <v>0.00162476045014264</v>
      </c>
      <c r="AD70" s="9">
        <v>0.0249540358547962</v>
      </c>
      <c r="AE70" s="9">
        <v>0.00841814278320135</v>
      </c>
      <c r="AF70" s="9">
        <v>0.0235355772710446</v>
      </c>
      <c r="AG70" s="9">
        <v>0.010042903233344</v>
      </c>
      <c r="AH70" s="9"/>
      <c r="AI70" s="9"/>
    </row>
    <row r="71" s="4" customFormat="1" ht="16.8" spans="1:35">
      <c r="A71" s="4">
        <v>70</v>
      </c>
      <c r="B71" s="18">
        <v>11</v>
      </c>
      <c r="C71" s="19" t="s">
        <v>117</v>
      </c>
      <c r="D71" s="5" t="s">
        <v>115</v>
      </c>
      <c r="E71" s="9">
        <v>47.2485224744732</v>
      </c>
      <c r="F71" s="9">
        <v>19.5973799710784</v>
      </c>
      <c r="G71" s="20">
        <v>11</v>
      </c>
      <c r="H71" s="21">
        <v>500</v>
      </c>
      <c r="I71" s="4"/>
      <c r="J71" s="5" t="s">
        <v>77</v>
      </c>
      <c r="K71" s="5" t="s">
        <v>78</v>
      </c>
      <c r="L71" s="4">
        <v>2003</v>
      </c>
      <c r="M71" s="4">
        <v>11</v>
      </c>
      <c r="N71" s="5" t="s">
        <v>108</v>
      </c>
      <c r="O71" s="28" t="s">
        <v>80</v>
      </c>
      <c r="P71" s="20"/>
      <c r="Q71" s="5"/>
      <c r="R71" s="5"/>
      <c r="S71" s="13"/>
      <c r="T71" s="21">
        <v>28</v>
      </c>
      <c r="U71" s="21">
        <v>41</v>
      </c>
      <c r="V71" s="21">
        <v>31</v>
      </c>
      <c r="W71" s="18">
        <v>6.5</v>
      </c>
      <c r="X71" s="5" t="s">
        <v>91</v>
      </c>
      <c r="Y71" s="5" t="s">
        <v>82</v>
      </c>
      <c r="Z71" s="4">
        <v>3</v>
      </c>
      <c r="AA71" s="4">
        <v>3</v>
      </c>
      <c r="AB71" s="9">
        <v>0.427819052708629</v>
      </c>
      <c r="AC71" s="9">
        <v>0.161411802775109</v>
      </c>
      <c r="AD71" s="9">
        <v>0.209551748506112</v>
      </c>
      <c r="AE71" s="9">
        <v>0.00744422303807558</v>
      </c>
      <c r="AF71" s="9">
        <v>-0.218267304202517</v>
      </c>
      <c r="AG71" s="9">
        <v>0.168856025813184</v>
      </c>
      <c r="AH71" s="9"/>
      <c r="AI71" s="9"/>
    </row>
    <row r="72" s="4" customFormat="1" ht="16.8" spans="1:35">
      <c r="A72" s="4">
        <v>71</v>
      </c>
      <c r="B72" s="18">
        <v>11</v>
      </c>
      <c r="C72" s="19" t="s">
        <v>118</v>
      </c>
      <c r="D72" s="5" t="s">
        <v>115</v>
      </c>
      <c r="E72" s="9">
        <v>47.7002778</v>
      </c>
      <c r="F72" s="9">
        <v>19.25027</v>
      </c>
      <c r="G72" s="20">
        <v>10.5</v>
      </c>
      <c r="H72" s="21">
        <v>500</v>
      </c>
      <c r="I72" s="4"/>
      <c r="J72" s="5" t="s">
        <v>77</v>
      </c>
      <c r="K72" s="5" t="s">
        <v>78</v>
      </c>
      <c r="L72" s="4">
        <v>2003</v>
      </c>
      <c r="M72" s="4">
        <v>11</v>
      </c>
      <c r="N72" s="5" t="s">
        <v>108</v>
      </c>
      <c r="O72" s="28" t="s">
        <v>80</v>
      </c>
      <c r="P72" s="20"/>
      <c r="Q72" s="5"/>
      <c r="R72" s="5"/>
      <c r="S72" s="13"/>
      <c r="T72" s="21">
        <v>29</v>
      </c>
      <c r="U72" s="21">
        <v>27</v>
      </c>
      <c r="V72" s="21">
        <v>44</v>
      </c>
      <c r="W72" s="18">
        <v>6.5</v>
      </c>
      <c r="X72" s="5" t="s">
        <v>91</v>
      </c>
      <c r="Y72" s="5" t="s">
        <v>82</v>
      </c>
      <c r="Z72" s="4">
        <v>3</v>
      </c>
      <c r="AA72" s="4">
        <v>3</v>
      </c>
      <c r="AB72" s="9">
        <v>0.0457441722542632</v>
      </c>
      <c r="AC72" s="9">
        <v>0.00523946890940576</v>
      </c>
      <c r="AD72" s="9">
        <v>-0.0267262791638261</v>
      </c>
      <c r="AE72" s="9">
        <v>0.00725406647237645</v>
      </c>
      <c r="AF72" s="9">
        <v>-0.072470451418089</v>
      </c>
      <c r="AG72" s="9">
        <v>0.0124935353817822</v>
      </c>
      <c r="AH72" s="9"/>
      <c r="AI72" s="9"/>
    </row>
    <row r="73" s="3" customFormat="1" spans="1:49">
      <c r="A73" s="4">
        <v>72</v>
      </c>
      <c r="B73" s="6">
        <v>12</v>
      </c>
      <c r="C73" s="24" t="s">
        <v>119</v>
      </c>
      <c r="D73" s="13" t="s">
        <v>120</v>
      </c>
      <c r="E73" s="25">
        <v>44.2336111</v>
      </c>
      <c r="F73" s="25">
        <v>-95.300277</v>
      </c>
      <c r="G73" s="26">
        <v>6.2</v>
      </c>
      <c r="H73" s="27">
        <v>632</v>
      </c>
      <c r="I73" s="3"/>
      <c r="J73" s="13" t="s">
        <v>94</v>
      </c>
      <c r="K73" s="5" t="s">
        <v>78</v>
      </c>
      <c r="L73" s="3">
        <v>1992</v>
      </c>
      <c r="M73" s="4">
        <v>6</v>
      </c>
      <c r="N73" s="5" t="s">
        <v>96</v>
      </c>
      <c r="O73" s="28" t="s">
        <v>80</v>
      </c>
      <c r="P73" s="20"/>
      <c r="Q73" s="5"/>
      <c r="R73" s="5"/>
      <c r="S73" s="13"/>
      <c r="T73" s="21">
        <v>26</v>
      </c>
      <c r="U73" s="21">
        <v>46</v>
      </c>
      <c r="V73" s="21">
        <v>28</v>
      </c>
      <c r="W73" s="6">
        <v>30</v>
      </c>
      <c r="X73" s="5" t="s">
        <v>91</v>
      </c>
      <c r="Y73" s="13" t="s">
        <v>82</v>
      </c>
      <c r="Z73" s="3">
        <v>3</v>
      </c>
      <c r="AA73" s="3">
        <v>3</v>
      </c>
      <c r="AB73" s="9">
        <v>0.15225422562716</v>
      </c>
      <c r="AC73" s="9">
        <v>0.000256361683990303</v>
      </c>
      <c r="AD73" s="25"/>
      <c r="AE73" s="25"/>
      <c r="AF73" s="9"/>
      <c r="AG73" s="9"/>
      <c r="AH73" s="25"/>
      <c r="AI73" s="25"/>
      <c r="AJ73" s="4"/>
      <c r="AK73" s="4"/>
      <c r="AL73" s="3"/>
      <c r="AM73" s="3"/>
      <c r="AN73" s="4"/>
      <c r="AO73" s="4"/>
      <c r="AP73" s="3"/>
      <c r="AQ73" s="3"/>
      <c r="AR73" s="4"/>
      <c r="AS73" s="4"/>
      <c r="AT73" s="3"/>
      <c r="AU73" s="3"/>
      <c r="AV73" s="4"/>
      <c r="AW73" s="4"/>
    </row>
    <row r="74" s="4" customFormat="1" spans="1:55">
      <c r="A74" s="4">
        <v>73</v>
      </c>
      <c r="B74" s="18">
        <v>13</v>
      </c>
      <c r="C74" s="19" t="s">
        <v>121</v>
      </c>
      <c r="D74" s="5" t="s">
        <v>122</v>
      </c>
      <c r="E74" s="9">
        <v>-65.416944</v>
      </c>
      <c r="F74" s="9">
        <v>-65.416944</v>
      </c>
      <c r="G74" s="20">
        <v>27.9</v>
      </c>
      <c r="H74" s="21">
        <v>1369</v>
      </c>
      <c r="I74" s="4">
        <v>120</v>
      </c>
      <c r="J74" s="5" t="s">
        <v>123</v>
      </c>
      <c r="K74" s="5" t="s">
        <v>78</v>
      </c>
      <c r="L74" s="4">
        <v>2008</v>
      </c>
      <c r="M74" s="4">
        <v>8</v>
      </c>
      <c r="N74" s="5" t="s">
        <v>79</v>
      </c>
      <c r="O74" s="28" t="s">
        <v>80</v>
      </c>
      <c r="P74" s="29">
        <v>5.1</v>
      </c>
      <c r="Q74" s="4"/>
      <c r="R74" s="4"/>
      <c r="S74" s="13"/>
      <c r="T74" s="21"/>
      <c r="U74" s="21"/>
      <c r="V74" s="34"/>
      <c r="W74" s="18">
        <v>3</v>
      </c>
      <c r="X74" s="5" t="s">
        <v>81</v>
      </c>
      <c r="Y74" s="5" t="s">
        <v>82</v>
      </c>
      <c r="Z74" s="4">
        <v>5</v>
      </c>
      <c r="AA74" s="4">
        <v>5</v>
      </c>
      <c r="AB74" s="9">
        <v>0.292707208654454</v>
      </c>
      <c r="AC74" s="9">
        <v>0.000153817010394183</v>
      </c>
      <c r="AD74" s="9"/>
      <c r="AE74" s="9"/>
      <c r="AF74" s="9"/>
      <c r="AG74" s="9"/>
      <c r="AH74" s="9"/>
      <c r="AI74" s="9"/>
      <c r="AJ74" s="4"/>
      <c r="AK74" s="4"/>
      <c r="AL74" s="4"/>
      <c r="AM74" s="4"/>
      <c r="AN74" s="4">
        <v>-0.0606246218164349</v>
      </c>
      <c r="AO74" s="4">
        <v>0.000225730435227926</v>
      </c>
      <c r="AP74" s="4">
        <v>0.405465108108164</v>
      </c>
      <c r="AQ74" s="4">
        <v>0.00861375184928068</v>
      </c>
      <c r="AR74" s="4">
        <v>0.332705753825736</v>
      </c>
      <c r="AS74" s="4">
        <v>0.00245426179530072</v>
      </c>
      <c r="AT74" s="4"/>
      <c r="AU74" s="4"/>
      <c r="AV74" s="4">
        <v>0.112117298120706</v>
      </c>
      <c r="AW74" s="4">
        <v>0.00335970399206839</v>
      </c>
      <c r="AX74" s="4"/>
      <c r="AY74" s="4"/>
      <c r="BB74" s="4">
        <v>0.275705881405065</v>
      </c>
      <c r="BC74" s="4">
        <v>0.0041649312786339</v>
      </c>
    </row>
    <row r="75" s="4" customFormat="1" spans="1:55">
      <c r="A75" s="4">
        <v>74</v>
      </c>
      <c r="B75" s="18">
        <v>13</v>
      </c>
      <c r="C75" s="19" t="s">
        <v>121</v>
      </c>
      <c r="D75" s="5" t="s">
        <v>122</v>
      </c>
      <c r="E75" s="9">
        <v>-65.416944</v>
      </c>
      <c r="F75" s="9">
        <v>-65.416944</v>
      </c>
      <c r="G75" s="20">
        <v>27.9</v>
      </c>
      <c r="H75" s="21">
        <v>1369</v>
      </c>
      <c r="I75" s="4">
        <v>120</v>
      </c>
      <c r="J75" s="5" t="s">
        <v>123</v>
      </c>
      <c r="K75" s="5" t="s">
        <v>78</v>
      </c>
      <c r="L75" s="4">
        <v>2008</v>
      </c>
      <c r="M75" s="4">
        <v>8</v>
      </c>
      <c r="N75" s="5" t="s">
        <v>79</v>
      </c>
      <c r="O75" s="28" t="s">
        <v>80</v>
      </c>
      <c r="P75" s="29">
        <v>5.1</v>
      </c>
      <c r="Q75" s="4"/>
      <c r="R75" s="4"/>
      <c r="S75" s="13"/>
      <c r="T75" s="21"/>
      <c r="U75" s="21"/>
      <c r="V75" s="34"/>
      <c r="W75" s="18">
        <v>3</v>
      </c>
      <c r="X75" s="5" t="s">
        <v>81</v>
      </c>
      <c r="Y75" s="5" t="s">
        <v>82</v>
      </c>
      <c r="Z75" s="4">
        <v>5</v>
      </c>
      <c r="AA75" s="4">
        <v>5</v>
      </c>
      <c r="AB75" s="9">
        <v>0.149461762309458</v>
      </c>
      <c r="AC75" s="9">
        <v>0.000153817010394182</v>
      </c>
      <c r="AD75" s="9"/>
      <c r="AE75" s="9"/>
      <c r="AF75" s="9"/>
      <c r="AG75" s="9"/>
      <c r="AH75" s="9"/>
      <c r="AI75" s="9"/>
      <c r="AJ75" s="4"/>
      <c r="AK75" s="4"/>
      <c r="AL75" s="4"/>
      <c r="AM75" s="4"/>
      <c r="AN75" s="4">
        <v>-0.0816780310142671</v>
      </c>
      <c r="AO75" s="4">
        <v>0.000225730435227926</v>
      </c>
      <c r="AP75" s="4">
        <v>0.344840486291729</v>
      </c>
      <c r="AQ75" s="4">
        <v>0.00861375184928069</v>
      </c>
      <c r="AR75" s="4">
        <v>1.47440162863016</v>
      </c>
      <c r="AS75" s="4">
        <v>0.00245426179530072</v>
      </c>
      <c r="AT75" s="4"/>
      <c r="AU75" s="4"/>
      <c r="AV75" s="4">
        <v>-0.0885533973414451</v>
      </c>
      <c r="AW75" s="4">
        <v>0.00335970399206839</v>
      </c>
      <c r="AX75" s="4"/>
      <c r="AY75" s="4"/>
      <c r="BB75" s="4">
        <v>0.076372978784574</v>
      </c>
      <c r="BC75" s="4">
        <v>0.0041649312786339</v>
      </c>
    </row>
    <row r="76" s="4" customFormat="1" spans="1:55">
      <c r="A76" s="4">
        <v>75</v>
      </c>
      <c r="B76" s="18">
        <v>13</v>
      </c>
      <c r="C76" s="19" t="s">
        <v>121</v>
      </c>
      <c r="D76" s="5" t="s">
        <v>122</v>
      </c>
      <c r="E76" s="9">
        <v>-65.416944</v>
      </c>
      <c r="F76" s="9">
        <v>-65.416944</v>
      </c>
      <c r="G76" s="20">
        <v>27.9</v>
      </c>
      <c r="H76" s="21">
        <v>1369</v>
      </c>
      <c r="I76" s="4">
        <v>120</v>
      </c>
      <c r="J76" s="5" t="s">
        <v>123</v>
      </c>
      <c r="K76" s="5" t="s">
        <v>78</v>
      </c>
      <c r="L76" s="4">
        <v>2008</v>
      </c>
      <c r="M76" s="4">
        <v>8</v>
      </c>
      <c r="N76" s="5" t="s">
        <v>79</v>
      </c>
      <c r="O76" s="28" t="s">
        <v>80</v>
      </c>
      <c r="P76" s="29">
        <v>5.1</v>
      </c>
      <c r="Q76" s="4"/>
      <c r="R76" s="4"/>
      <c r="S76" s="13"/>
      <c r="T76" s="21"/>
      <c r="U76" s="21"/>
      <c r="V76" s="34"/>
      <c r="W76" s="18">
        <v>3</v>
      </c>
      <c r="X76" s="5" t="s">
        <v>81</v>
      </c>
      <c r="Y76" s="5" t="s">
        <v>82</v>
      </c>
      <c r="Z76" s="4">
        <v>5</v>
      </c>
      <c r="AA76" s="4">
        <v>5</v>
      </c>
      <c r="AB76" s="9">
        <v>0.138556528827196</v>
      </c>
      <c r="AC76" s="9">
        <v>0.000153817010394184</v>
      </c>
      <c r="AD76" s="9"/>
      <c r="AE76" s="9"/>
      <c r="AF76" s="9"/>
      <c r="AG76" s="9"/>
      <c r="AH76" s="9"/>
      <c r="AI76" s="9"/>
      <c r="AJ76" s="4"/>
      <c r="AK76" s="4"/>
      <c r="AL76" s="4"/>
      <c r="AM76" s="4"/>
      <c r="AN76" s="4">
        <v>-0.103184236235231</v>
      </c>
      <c r="AO76" s="4">
        <v>0.000225730435227926</v>
      </c>
      <c r="AP76" s="4">
        <v>0.2578291093021</v>
      </c>
      <c r="AQ76" s="4">
        <v>0.00861375184928069</v>
      </c>
      <c r="AR76" s="4">
        <v>1.43131804249385</v>
      </c>
      <c r="AS76" s="4">
        <v>0.00245426179530072</v>
      </c>
      <c r="AT76" s="4"/>
      <c r="AU76" s="4"/>
      <c r="AV76" s="4">
        <v>0.0655972824858133</v>
      </c>
      <c r="AW76" s="4">
        <v>0.00335970399206839</v>
      </c>
      <c r="AX76" s="4"/>
      <c r="AY76" s="4"/>
      <c r="BB76" s="4">
        <v>-0.0543612092188874</v>
      </c>
      <c r="BC76" s="4">
        <v>0.00416493127863391</v>
      </c>
    </row>
    <row r="77" s="3" customFormat="1" spans="1:51">
      <c r="A77" s="4">
        <v>76</v>
      </c>
      <c r="B77" s="6">
        <v>14</v>
      </c>
      <c r="C77" s="24" t="s">
        <v>124</v>
      </c>
      <c r="D77" s="13" t="s">
        <v>125</v>
      </c>
      <c r="E77" s="25">
        <v>51.083</v>
      </c>
      <c r="F77" s="25">
        <v>125.117</v>
      </c>
      <c r="G77" s="26">
        <v>-2.4</v>
      </c>
      <c r="H77" s="27">
        <v>500</v>
      </c>
      <c r="I77" s="3"/>
      <c r="J77" s="13" t="s">
        <v>94</v>
      </c>
      <c r="K77" s="5" t="s">
        <v>78</v>
      </c>
      <c r="L77" s="3">
        <v>2015</v>
      </c>
      <c r="M77" s="3">
        <v>5</v>
      </c>
      <c r="N77" s="13" t="s">
        <v>113</v>
      </c>
      <c r="O77" s="28" t="s">
        <v>80</v>
      </c>
      <c r="P77" s="20"/>
      <c r="Q77" s="13">
        <v>36.79</v>
      </c>
      <c r="R77" s="13">
        <v>0.82</v>
      </c>
      <c r="S77" s="13">
        <v>44.8658536585366</v>
      </c>
      <c r="T77" s="21">
        <v>19</v>
      </c>
      <c r="U77" s="21">
        <v>50</v>
      </c>
      <c r="V77" s="21">
        <v>31</v>
      </c>
      <c r="W77" s="6">
        <v>4</v>
      </c>
      <c r="X77" s="5" t="s">
        <v>81</v>
      </c>
      <c r="Y77" s="13" t="s">
        <v>82</v>
      </c>
      <c r="Z77" s="3">
        <v>3</v>
      </c>
      <c r="AA77" s="3">
        <v>3</v>
      </c>
      <c r="AB77" s="9">
        <v>0.230319055030556</v>
      </c>
      <c r="AC77" s="9">
        <v>0.0160979322811254</v>
      </c>
      <c r="AD77" s="25">
        <v>0.102894423162633</v>
      </c>
      <c r="AE77" s="25">
        <v>0.00609690667476749</v>
      </c>
      <c r="AF77" s="9">
        <v>-0.127424631867925</v>
      </c>
      <c r="AG77" s="9">
        <v>0.0221948389558928</v>
      </c>
      <c r="AH77" s="25">
        <v>-0.0150625879419043</v>
      </c>
      <c r="AI77" s="25">
        <v>0.00219837906925671</v>
      </c>
      <c r="AJ77" s="4">
        <v>0.24538164297246</v>
      </c>
      <c r="AK77" s="4">
        <v>0.018296311350382</v>
      </c>
      <c r="AL77" s="3">
        <v>0.11795701110454</v>
      </c>
      <c r="AM77" s="3">
        <v>0.00829528574402416</v>
      </c>
      <c r="AN77" s="4"/>
      <c r="AO77" s="4"/>
      <c r="AP77" s="3">
        <v>0.157628944203583</v>
      </c>
      <c r="AQ77" s="3">
        <v>0.00188483211051623</v>
      </c>
      <c r="AR77" s="4">
        <v>-0.0736118173432461</v>
      </c>
      <c r="AS77" s="4">
        <v>0.00277669383743787</v>
      </c>
      <c r="AT77" s="3"/>
      <c r="AU77" s="3"/>
      <c r="AV77" s="4"/>
      <c r="AW77" s="4"/>
      <c r="AX77" s="3">
        <v>-0.172691532145488</v>
      </c>
      <c r="AY77" s="3">
        <v>0.00408321117977294</v>
      </c>
    </row>
    <row r="78" s="3" customFormat="1" spans="1:51">
      <c r="A78" s="4">
        <v>77</v>
      </c>
      <c r="B78" s="6">
        <v>14</v>
      </c>
      <c r="C78" s="24" t="s">
        <v>126</v>
      </c>
      <c r="D78" s="13" t="s">
        <v>125</v>
      </c>
      <c r="E78" s="25">
        <v>51.083</v>
      </c>
      <c r="F78" s="25">
        <v>125.117</v>
      </c>
      <c r="G78" s="26">
        <v>-2.4</v>
      </c>
      <c r="H78" s="27">
        <v>500</v>
      </c>
      <c r="I78" s="3"/>
      <c r="J78" s="13" t="s">
        <v>94</v>
      </c>
      <c r="K78" s="5" t="s">
        <v>78</v>
      </c>
      <c r="L78" s="3">
        <v>2016</v>
      </c>
      <c r="M78" s="3">
        <v>5</v>
      </c>
      <c r="N78" s="13" t="s">
        <v>113</v>
      </c>
      <c r="O78" s="28" t="s">
        <v>80</v>
      </c>
      <c r="P78" s="20"/>
      <c r="Q78" s="13">
        <v>32.69</v>
      </c>
      <c r="R78" s="13">
        <v>0.82</v>
      </c>
      <c r="S78" s="13">
        <v>39.8658536585366</v>
      </c>
      <c r="T78" s="21">
        <v>19</v>
      </c>
      <c r="U78" s="21">
        <v>50</v>
      </c>
      <c r="V78" s="21">
        <v>31</v>
      </c>
      <c r="W78" s="6">
        <v>5</v>
      </c>
      <c r="X78" s="5" t="s">
        <v>81</v>
      </c>
      <c r="Y78" s="13" t="s">
        <v>82</v>
      </c>
      <c r="Z78" s="3">
        <v>3</v>
      </c>
      <c r="AA78" s="3">
        <v>3</v>
      </c>
      <c r="AB78" s="9">
        <v>0.232360932521911</v>
      </c>
      <c r="AC78" s="9">
        <v>0.00686432939895579</v>
      </c>
      <c r="AD78" s="25">
        <v>0.176051943780359</v>
      </c>
      <c r="AE78" s="25">
        <v>0.00619623212865173</v>
      </c>
      <c r="AF78" s="9">
        <v>-0.0563089887415482</v>
      </c>
      <c r="AG78" s="9">
        <v>0.0130605615276075</v>
      </c>
      <c r="AH78" s="25">
        <v>0.119243509720855</v>
      </c>
      <c r="AI78" s="25">
        <v>0.00103286844816793</v>
      </c>
      <c r="AJ78" s="4">
        <v>0.113117422801057</v>
      </c>
      <c r="AK78" s="4">
        <v>0.00789719784712368</v>
      </c>
      <c r="AL78" s="3">
        <v>0.0568084340595032</v>
      </c>
      <c r="AM78" s="3">
        <v>0.00722910057681974</v>
      </c>
      <c r="AN78" s="4"/>
      <c r="AO78" s="4"/>
      <c r="AP78" s="3">
        <v>0.23767165187712</v>
      </c>
      <c r="AQ78" s="3">
        <v>0.00572377846379131</v>
      </c>
      <c r="AR78" s="4">
        <v>-0.0182375875497809</v>
      </c>
      <c r="AS78" s="4">
        <v>0.00134406839006346</v>
      </c>
      <c r="AT78" s="3"/>
      <c r="AU78" s="3"/>
      <c r="AV78" s="4"/>
      <c r="AW78" s="4"/>
      <c r="AX78" s="3">
        <v>-0.118428142156266</v>
      </c>
      <c r="AY78" s="3">
        <v>0.00675664691195925</v>
      </c>
    </row>
    <row r="79" s="3" customFormat="1" spans="1:51">
      <c r="A79" s="4">
        <v>78</v>
      </c>
      <c r="B79" s="6">
        <v>14</v>
      </c>
      <c r="C79" s="24" t="s">
        <v>127</v>
      </c>
      <c r="D79" s="13" t="s">
        <v>125</v>
      </c>
      <c r="E79" s="25">
        <v>51.083</v>
      </c>
      <c r="F79" s="25">
        <v>125.117</v>
      </c>
      <c r="G79" s="26">
        <v>-2.4</v>
      </c>
      <c r="H79" s="27">
        <v>500</v>
      </c>
      <c r="I79" s="3"/>
      <c r="J79" s="13" t="s">
        <v>94</v>
      </c>
      <c r="K79" s="5" t="s">
        <v>78</v>
      </c>
      <c r="L79" s="3">
        <v>2017</v>
      </c>
      <c r="M79" s="3">
        <v>5</v>
      </c>
      <c r="N79" s="13" t="s">
        <v>113</v>
      </c>
      <c r="O79" s="28" t="s">
        <v>80</v>
      </c>
      <c r="P79" s="20"/>
      <c r="Q79" s="13">
        <v>34.37</v>
      </c>
      <c r="R79" s="13">
        <v>1.01</v>
      </c>
      <c r="S79" s="13">
        <v>34.029702970297</v>
      </c>
      <c r="T79" s="21">
        <v>19</v>
      </c>
      <c r="U79" s="21">
        <v>50</v>
      </c>
      <c r="V79" s="21">
        <v>31</v>
      </c>
      <c r="W79" s="6">
        <v>6</v>
      </c>
      <c r="X79" s="5" t="s">
        <v>91</v>
      </c>
      <c r="Y79" s="13" t="s">
        <v>82</v>
      </c>
      <c r="Z79" s="3">
        <v>3</v>
      </c>
      <c r="AA79" s="3">
        <v>3</v>
      </c>
      <c r="AB79" s="9">
        <v>0.25996713986777</v>
      </c>
      <c r="AC79" s="9">
        <v>0.00539592231416788</v>
      </c>
      <c r="AD79" s="25">
        <v>0.113243035870096</v>
      </c>
      <c r="AE79" s="25">
        <v>0.00298712684168698</v>
      </c>
      <c r="AF79" s="9">
        <v>-0.146724103997674</v>
      </c>
      <c r="AG79" s="9">
        <v>0.00838304915585479</v>
      </c>
      <c r="AH79" s="25">
        <v>0.12842673631284</v>
      </c>
      <c r="AI79" s="25">
        <v>0.00491058063395177</v>
      </c>
      <c r="AJ79" s="4">
        <v>0.13154040355493</v>
      </c>
      <c r="AK79" s="4">
        <v>0.0103065029481196</v>
      </c>
      <c r="AL79" s="3">
        <v>-0.0151837004427391</v>
      </c>
      <c r="AM79" s="3">
        <v>0.00789770747563871</v>
      </c>
      <c r="AN79" s="4"/>
      <c r="AO79" s="4"/>
      <c r="AP79" s="3">
        <v>0.0762273653878843</v>
      </c>
      <c r="AQ79" s="3">
        <v>0.00140942693638854</v>
      </c>
      <c r="AR79" s="4">
        <v>0.0384662808277961</v>
      </c>
      <c r="AS79" s="4">
        <v>0.0176208269493036</v>
      </c>
      <c r="AT79" s="3"/>
      <c r="AU79" s="3"/>
      <c r="AV79" s="4"/>
      <c r="AW79" s="4"/>
      <c r="AX79" s="3">
        <v>0.0521993709249558</v>
      </c>
      <c r="AY79" s="3">
        <v>0.00632000757034031</v>
      </c>
    </row>
    <row r="80" s="3" customFormat="1" spans="1:51">
      <c r="A80" s="4">
        <v>79</v>
      </c>
      <c r="B80" s="6">
        <v>14</v>
      </c>
      <c r="C80" s="24" t="s">
        <v>128</v>
      </c>
      <c r="D80" s="13" t="s">
        <v>125</v>
      </c>
      <c r="E80" s="25">
        <v>51.083</v>
      </c>
      <c r="F80" s="25">
        <v>125.117</v>
      </c>
      <c r="G80" s="26">
        <v>-2.4</v>
      </c>
      <c r="H80" s="27">
        <v>500</v>
      </c>
      <c r="I80" s="3"/>
      <c r="J80" s="13" t="s">
        <v>94</v>
      </c>
      <c r="K80" s="5" t="s">
        <v>78</v>
      </c>
      <c r="L80" s="3">
        <v>2015</v>
      </c>
      <c r="M80" s="3">
        <v>5</v>
      </c>
      <c r="N80" s="13" t="s">
        <v>113</v>
      </c>
      <c r="O80" s="28" t="s">
        <v>80</v>
      </c>
      <c r="P80" s="20"/>
      <c r="Q80" s="13">
        <v>36.79</v>
      </c>
      <c r="R80" s="13">
        <v>0.82</v>
      </c>
      <c r="S80" s="13">
        <v>44.8658536585366</v>
      </c>
      <c r="T80" s="21">
        <v>19</v>
      </c>
      <c r="U80" s="21">
        <v>50</v>
      </c>
      <c r="V80" s="21">
        <v>31</v>
      </c>
      <c r="W80" s="6">
        <v>4</v>
      </c>
      <c r="X80" s="5" t="s">
        <v>81</v>
      </c>
      <c r="Y80" s="13" t="s">
        <v>82</v>
      </c>
      <c r="Z80" s="3">
        <v>3</v>
      </c>
      <c r="AA80" s="3">
        <v>3</v>
      </c>
      <c r="AB80" s="9">
        <v>0.370208160053977</v>
      </c>
      <c r="AC80" s="9">
        <v>0.018132579364492</v>
      </c>
      <c r="AD80" s="25">
        <v>0.109538965881301</v>
      </c>
      <c r="AE80" s="25">
        <v>0.00394074046806548</v>
      </c>
      <c r="AF80" s="9">
        <v>-0.26066919417268</v>
      </c>
      <c r="AG80" s="9">
        <v>0.0220733198325574</v>
      </c>
      <c r="AH80" s="25">
        <v>-0.00190450336439332</v>
      </c>
      <c r="AI80" s="25">
        <v>0.00142816150124136</v>
      </c>
      <c r="AJ80" s="4">
        <v>0.372112663418371</v>
      </c>
      <c r="AK80" s="4">
        <v>0.0195607408657332</v>
      </c>
      <c r="AL80" s="3">
        <v>0.111443469245691</v>
      </c>
      <c r="AM80" s="3">
        <v>0.00536890196930688</v>
      </c>
      <c r="AN80" s="4"/>
      <c r="AO80" s="4"/>
      <c r="AP80" s="3">
        <v>0.218253566020018</v>
      </c>
      <c r="AQ80" s="3">
        <v>0.00360892861186189</v>
      </c>
      <c r="AR80" s="4">
        <v>0.00643089033029033</v>
      </c>
      <c r="AS80" s="4">
        <v>0.00305406070134317</v>
      </c>
      <c r="AT80" s="3"/>
      <c r="AU80" s="3"/>
      <c r="AV80" s="4"/>
      <c r="AW80" s="4"/>
      <c r="AX80" s="3">
        <v>-0.220158069384412</v>
      </c>
      <c r="AY80" s="3">
        <v>0.00503709011310325</v>
      </c>
    </row>
    <row r="81" s="3" customFormat="1" spans="1:51">
      <c r="A81" s="4">
        <v>80</v>
      </c>
      <c r="B81" s="6">
        <v>14</v>
      </c>
      <c r="C81" s="24" t="s">
        <v>129</v>
      </c>
      <c r="D81" s="13" t="s">
        <v>125</v>
      </c>
      <c r="E81" s="25">
        <v>51.083</v>
      </c>
      <c r="F81" s="25">
        <v>125.117</v>
      </c>
      <c r="G81" s="26">
        <v>-2.4</v>
      </c>
      <c r="H81" s="27">
        <v>500</v>
      </c>
      <c r="I81" s="3"/>
      <c r="J81" s="13" t="s">
        <v>94</v>
      </c>
      <c r="K81" s="5" t="s">
        <v>78</v>
      </c>
      <c r="L81" s="3">
        <v>2016</v>
      </c>
      <c r="M81" s="3">
        <v>5</v>
      </c>
      <c r="N81" s="13" t="s">
        <v>113</v>
      </c>
      <c r="O81" s="28" t="s">
        <v>80</v>
      </c>
      <c r="P81" s="20"/>
      <c r="Q81" s="13">
        <v>32.69</v>
      </c>
      <c r="R81" s="13">
        <v>0.82</v>
      </c>
      <c r="S81" s="13">
        <v>39.8658536585366</v>
      </c>
      <c r="T81" s="21">
        <v>19</v>
      </c>
      <c r="U81" s="21">
        <v>50</v>
      </c>
      <c r="V81" s="21">
        <v>31</v>
      </c>
      <c r="W81" s="6">
        <v>5</v>
      </c>
      <c r="X81" s="5" t="s">
        <v>81</v>
      </c>
      <c r="Y81" s="13" t="s">
        <v>82</v>
      </c>
      <c r="Z81" s="3">
        <v>3</v>
      </c>
      <c r="AA81" s="3">
        <v>3</v>
      </c>
      <c r="AB81" s="9">
        <v>0.27443684570176</v>
      </c>
      <c r="AC81" s="9">
        <v>0.0133218741979185</v>
      </c>
      <c r="AD81" s="25">
        <v>0.161268147596122</v>
      </c>
      <c r="AE81" s="25">
        <v>0.00449637845178814</v>
      </c>
      <c r="AF81" s="9">
        <v>-0.113168698105634</v>
      </c>
      <c r="AG81" s="9">
        <v>0.0178182526497066</v>
      </c>
      <c r="AH81" s="25">
        <v>0.151043116324164</v>
      </c>
      <c r="AI81" s="25">
        <v>0.00105410297081196</v>
      </c>
      <c r="AJ81" s="4">
        <v>0.123393729377596</v>
      </c>
      <c r="AK81" s="4">
        <v>0.0143759771687304</v>
      </c>
      <c r="AL81" s="3">
        <v>0.0102250312719563</v>
      </c>
      <c r="AM81" s="3">
        <v>0.00555048142260015</v>
      </c>
      <c r="AN81" s="4"/>
      <c r="AO81" s="4"/>
      <c r="AP81" s="3">
        <v>0.311779624030842</v>
      </c>
      <c r="AQ81" s="3">
        <v>0.00543367536633932</v>
      </c>
      <c r="AR81" s="4">
        <v>-0.101352494260287</v>
      </c>
      <c r="AS81" s="4">
        <v>0.002017541652554</v>
      </c>
      <c r="AT81" s="3"/>
      <c r="AU81" s="3"/>
      <c r="AV81" s="4"/>
      <c r="AW81" s="4"/>
      <c r="AX81" s="3">
        <v>-0.160736507706677</v>
      </c>
      <c r="AY81" s="3">
        <v>0.00648777833715128</v>
      </c>
    </row>
    <row r="82" s="3" customFormat="1" spans="1:51">
      <c r="A82" s="4">
        <v>81</v>
      </c>
      <c r="B82" s="6">
        <v>14</v>
      </c>
      <c r="C82" s="24" t="s">
        <v>130</v>
      </c>
      <c r="D82" s="13" t="s">
        <v>125</v>
      </c>
      <c r="E82" s="25">
        <v>51.083</v>
      </c>
      <c r="F82" s="25">
        <v>125.117</v>
      </c>
      <c r="G82" s="26">
        <v>-2.4</v>
      </c>
      <c r="H82" s="27">
        <v>500</v>
      </c>
      <c r="I82" s="3"/>
      <c r="J82" s="13" t="s">
        <v>94</v>
      </c>
      <c r="K82" s="5" t="s">
        <v>78</v>
      </c>
      <c r="L82" s="3">
        <v>2017</v>
      </c>
      <c r="M82" s="3">
        <v>5</v>
      </c>
      <c r="N82" s="13" t="s">
        <v>113</v>
      </c>
      <c r="O82" s="28" t="s">
        <v>80</v>
      </c>
      <c r="P82" s="20"/>
      <c r="Q82" s="13">
        <v>34.37</v>
      </c>
      <c r="R82" s="13">
        <v>1.01</v>
      </c>
      <c r="S82" s="13">
        <v>34.029702970297</v>
      </c>
      <c r="T82" s="21">
        <v>19</v>
      </c>
      <c r="U82" s="21">
        <v>50</v>
      </c>
      <c r="V82" s="21">
        <v>31</v>
      </c>
      <c r="W82" s="6">
        <v>6</v>
      </c>
      <c r="X82" s="5" t="s">
        <v>91</v>
      </c>
      <c r="Y82" s="13" t="s">
        <v>82</v>
      </c>
      <c r="Z82" s="3">
        <v>3</v>
      </c>
      <c r="AA82" s="3">
        <v>3</v>
      </c>
      <c r="AB82" s="9">
        <v>0.276748616829773</v>
      </c>
      <c r="AC82" s="9">
        <v>0.00960793456920989</v>
      </c>
      <c r="AD82" s="25">
        <v>0.126009166693132</v>
      </c>
      <c r="AE82" s="25">
        <v>0.00327553903013091</v>
      </c>
      <c r="AF82" s="9">
        <v>-0.150739450136641</v>
      </c>
      <c r="AG82" s="9">
        <v>0.0128834735993407</v>
      </c>
      <c r="AH82" s="25">
        <v>0.0614970953340449</v>
      </c>
      <c r="AI82" s="25">
        <v>0.00132622645491512</v>
      </c>
      <c r="AJ82" s="4">
        <v>0.215251521495727</v>
      </c>
      <c r="AK82" s="4">
        <v>0.010934161024125</v>
      </c>
      <c r="AL82" s="3">
        <v>0.0645120713590872</v>
      </c>
      <c r="AM82" s="3">
        <v>0.00460176548504604</v>
      </c>
      <c r="AN82" s="4"/>
      <c r="AO82" s="4"/>
      <c r="AP82" s="3">
        <v>0.282719283109652</v>
      </c>
      <c r="AQ82" s="3">
        <v>0.000285505710360973</v>
      </c>
      <c r="AR82" s="4">
        <v>-0.00655740054615905</v>
      </c>
      <c r="AS82" s="4">
        <v>0.0111090949937691</v>
      </c>
      <c r="AT82" s="3"/>
      <c r="AU82" s="3"/>
      <c r="AV82" s="4"/>
      <c r="AW82" s="4"/>
      <c r="AX82" s="3">
        <v>-0.221222187775605</v>
      </c>
      <c r="AY82" s="3">
        <v>0.00161173216527609</v>
      </c>
    </row>
    <row r="83" s="3" customFormat="1" spans="1:51">
      <c r="A83" s="4">
        <v>82</v>
      </c>
      <c r="B83" s="6">
        <v>14</v>
      </c>
      <c r="C83" s="24" t="s">
        <v>131</v>
      </c>
      <c r="D83" s="13" t="s">
        <v>125</v>
      </c>
      <c r="E83" s="25">
        <v>51.083</v>
      </c>
      <c r="F83" s="25">
        <v>125.117</v>
      </c>
      <c r="G83" s="26">
        <v>-2.4</v>
      </c>
      <c r="H83" s="27">
        <v>500</v>
      </c>
      <c r="I83" s="3"/>
      <c r="J83" s="13" t="s">
        <v>94</v>
      </c>
      <c r="K83" s="5" t="s">
        <v>78</v>
      </c>
      <c r="L83" s="3">
        <v>2015</v>
      </c>
      <c r="M83" s="3">
        <v>5</v>
      </c>
      <c r="N83" s="13" t="s">
        <v>113</v>
      </c>
      <c r="O83" s="28" t="s">
        <v>80</v>
      </c>
      <c r="P83" s="20"/>
      <c r="Q83" s="13">
        <v>36.79</v>
      </c>
      <c r="R83" s="13">
        <v>0.82</v>
      </c>
      <c r="S83" s="13">
        <v>44.8658536585366</v>
      </c>
      <c r="T83" s="21">
        <v>19</v>
      </c>
      <c r="U83" s="21">
        <v>50</v>
      </c>
      <c r="V83" s="21">
        <v>31</v>
      </c>
      <c r="W83" s="6">
        <v>4</v>
      </c>
      <c r="X83" s="5" t="s">
        <v>81</v>
      </c>
      <c r="Y83" s="13" t="s">
        <v>82</v>
      </c>
      <c r="Z83" s="3">
        <v>3</v>
      </c>
      <c r="AA83" s="3">
        <v>3</v>
      </c>
      <c r="AB83" s="9">
        <v>0.0940446866514791</v>
      </c>
      <c r="AC83" s="9">
        <v>0.0225179656693193</v>
      </c>
      <c r="AD83" s="25">
        <v>-0.0661819068813012</v>
      </c>
      <c r="AE83" s="25">
        <v>0.00122621483796301</v>
      </c>
      <c r="AF83" s="9">
        <v>-0.160226593532786</v>
      </c>
      <c r="AG83" s="9">
        <v>0.0237441805072824</v>
      </c>
      <c r="AH83" s="25">
        <v>0.165233371989676</v>
      </c>
      <c r="AI83" s="25">
        <v>0.00266882307639253</v>
      </c>
      <c r="AJ83" s="4">
        <v>-0.0711886853381967</v>
      </c>
      <c r="AK83" s="4">
        <v>0.0251867887457118</v>
      </c>
      <c r="AL83" s="3">
        <v>-0.231415278870978</v>
      </c>
      <c r="AM83" s="3">
        <v>0.00389503791435555</v>
      </c>
      <c r="AN83" s="4"/>
      <c r="AO83" s="4"/>
      <c r="AP83" s="3">
        <v>0.302810954048081</v>
      </c>
      <c r="AQ83" s="3">
        <v>0.00996935244165823</v>
      </c>
      <c r="AR83" s="4">
        <v>-0.0129871955268112</v>
      </c>
      <c r="AS83" s="4">
        <v>0.00531244397627336</v>
      </c>
      <c r="AT83" s="3"/>
      <c r="AU83" s="3"/>
      <c r="AV83" s="4"/>
      <c r="AW83" s="4"/>
      <c r="AX83" s="3">
        <v>-0.137577582058405</v>
      </c>
      <c r="AY83" s="3">
        <v>0.0126381755180507</v>
      </c>
    </row>
    <row r="84" s="3" customFormat="1" spans="1:51">
      <c r="A84" s="4">
        <v>83</v>
      </c>
      <c r="B84" s="6">
        <v>14</v>
      </c>
      <c r="C84" s="24" t="s">
        <v>132</v>
      </c>
      <c r="D84" s="13" t="s">
        <v>125</v>
      </c>
      <c r="E84" s="25">
        <v>51.083</v>
      </c>
      <c r="F84" s="25">
        <v>125.117</v>
      </c>
      <c r="G84" s="26">
        <v>-2.4</v>
      </c>
      <c r="H84" s="27">
        <v>500</v>
      </c>
      <c r="I84" s="3"/>
      <c r="J84" s="13" t="s">
        <v>94</v>
      </c>
      <c r="K84" s="5" t="s">
        <v>78</v>
      </c>
      <c r="L84" s="3">
        <v>2016</v>
      </c>
      <c r="M84" s="3">
        <v>5</v>
      </c>
      <c r="N84" s="13" t="s">
        <v>113</v>
      </c>
      <c r="O84" s="28" t="s">
        <v>80</v>
      </c>
      <c r="P84" s="20"/>
      <c r="Q84" s="13">
        <v>32.69</v>
      </c>
      <c r="R84" s="13">
        <v>0.82</v>
      </c>
      <c r="S84" s="13">
        <v>39.8658536585366</v>
      </c>
      <c r="T84" s="21">
        <v>19</v>
      </c>
      <c r="U84" s="21">
        <v>50</v>
      </c>
      <c r="V84" s="21">
        <v>31</v>
      </c>
      <c r="W84" s="6">
        <v>5</v>
      </c>
      <c r="X84" s="5" t="s">
        <v>81</v>
      </c>
      <c r="Y84" s="13" t="s">
        <v>82</v>
      </c>
      <c r="Z84" s="3">
        <v>3</v>
      </c>
      <c r="AA84" s="3">
        <v>3</v>
      </c>
      <c r="AB84" s="9">
        <v>0.0319341777485342</v>
      </c>
      <c r="AC84" s="9">
        <v>0.00586614780602384</v>
      </c>
      <c r="AD84" s="25">
        <v>-0.0779615414697119</v>
      </c>
      <c r="AE84" s="25">
        <v>0.0037344777209642</v>
      </c>
      <c r="AF84" s="9">
        <v>-0.109895719218246</v>
      </c>
      <c r="AG84" s="9">
        <v>0.00960062552698811</v>
      </c>
      <c r="AH84" s="25">
        <v>0.279928012641769</v>
      </c>
      <c r="AI84" s="25">
        <v>0.00163236382832113</v>
      </c>
      <c r="AJ84" s="4">
        <v>-0.247993834893235</v>
      </c>
      <c r="AK84" s="4">
        <v>0.00749851163434492</v>
      </c>
      <c r="AL84" s="3">
        <v>-0.357889554111479</v>
      </c>
      <c r="AM84" s="3">
        <v>0.00536684154928536</v>
      </c>
      <c r="AN84" s="4"/>
      <c r="AO84" s="4"/>
      <c r="AP84" s="3">
        <v>0.576887374444083</v>
      </c>
      <c r="AQ84" s="3">
        <v>0.00554160844621416</v>
      </c>
      <c r="AR84" s="4">
        <v>-0.128381166648207</v>
      </c>
      <c r="AS84" s="4">
        <v>0.00172864859361027</v>
      </c>
      <c r="AT84" s="3"/>
      <c r="AU84" s="3"/>
      <c r="AV84" s="4"/>
      <c r="AW84" s="4"/>
      <c r="AX84" s="3">
        <v>-0.296959361802314</v>
      </c>
      <c r="AY84" s="3">
        <v>0.00717397227453529</v>
      </c>
    </row>
    <row r="85" s="3" customFormat="1" spans="1:51">
      <c r="A85" s="4">
        <v>84</v>
      </c>
      <c r="B85" s="6">
        <v>14</v>
      </c>
      <c r="C85" s="24" t="s">
        <v>133</v>
      </c>
      <c r="D85" s="13" t="s">
        <v>125</v>
      </c>
      <c r="E85" s="25">
        <v>51.083</v>
      </c>
      <c r="F85" s="25">
        <v>125.117</v>
      </c>
      <c r="G85" s="26">
        <v>-2.4</v>
      </c>
      <c r="H85" s="27">
        <v>500</v>
      </c>
      <c r="I85" s="3"/>
      <c r="J85" s="13" t="s">
        <v>94</v>
      </c>
      <c r="K85" s="5" t="s">
        <v>78</v>
      </c>
      <c r="L85" s="3">
        <v>2017</v>
      </c>
      <c r="M85" s="3">
        <v>5</v>
      </c>
      <c r="N85" s="13" t="s">
        <v>113</v>
      </c>
      <c r="O85" s="28" t="s">
        <v>80</v>
      </c>
      <c r="P85" s="20"/>
      <c r="Q85" s="13">
        <v>34.37</v>
      </c>
      <c r="R85" s="13">
        <v>1.01</v>
      </c>
      <c r="S85" s="13">
        <v>34.029702970297</v>
      </c>
      <c r="T85" s="21">
        <v>19</v>
      </c>
      <c r="U85" s="21">
        <v>50</v>
      </c>
      <c r="V85" s="21">
        <v>31</v>
      </c>
      <c r="W85" s="6">
        <v>6</v>
      </c>
      <c r="X85" s="5" t="s">
        <v>91</v>
      </c>
      <c r="Y85" s="13" t="s">
        <v>82</v>
      </c>
      <c r="Z85" s="3">
        <v>3</v>
      </c>
      <c r="AA85" s="3">
        <v>3</v>
      </c>
      <c r="AB85" s="9">
        <v>0.0741934775619911</v>
      </c>
      <c r="AC85" s="9">
        <v>0.00313254080811279</v>
      </c>
      <c r="AD85" s="25">
        <v>-0.183761441851942</v>
      </c>
      <c r="AE85" s="25">
        <v>0.0136544388041572</v>
      </c>
      <c r="AF85" s="9">
        <v>-0.257954919413935</v>
      </c>
      <c r="AG85" s="9">
        <v>0.0167869796122699</v>
      </c>
      <c r="AH85" s="25">
        <v>0.184162553389695</v>
      </c>
      <c r="AI85" s="25">
        <v>0.00747882300370309</v>
      </c>
      <c r="AJ85" s="4">
        <v>-0.109969075827705</v>
      </c>
      <c r="AK85" s="4">
        <v>0.0106113638118159</v>
      </c>
      <c r="AL85" s="3">
        <v>-0.367923995241634</v>
      </c>
      <c r="AM85" s="3">
        <v>0.0211332618078604</v>
      </c>
      <c r="AN85" s="4"/>
      <c r="AO85" s="4"/>
      <c r="AP85" s="3">
        <v>0.484745910982939</v>
      </c>
      <c r="AQ85" s="3">
        <v>6.31107496605556e-5</v>
      </c>
      <c r="AR85" s="4">
        <v>-0.0887954987831312</v>
      </c>
      <c r="AS85" s="4">
        <v>0.0134359647998633</v>
      </c>
      <c r="AT85" s="3"/>
      <c r="AU85" s="3"/>
      <c r="AV85" s="4"/>
      <c r="AW85" s="4"/>
      <c r="AX85" s="3">
        <v>-0.300583357593243</v>
      </c>
      <c r="AY85" s="3">
        <v>0.00754193375336367</v>
      </c>
    </row>
    <row r="86" s="4" customFormat="1" spans="1:51">
      <c r="A86" s="4">
        <v>85</v>
      </c>
      <c r="B86" s="18">
        <v>15</v>
      </c>
      <c r="C86" s="19" t="s">
        <v>134</v>
      </c>
      <c r="D86" s="5" t="s">
        <v>135</v>
      </c>
      <c r="E86" s="9">
        <v>-27.18</v>
      </c>
      <c r="F86" s="9">
        <v>-65.283</v>
      </c>
      <c r="G86" s="20">
        <v>20.2416667938232</v>
      </c>
      <c r="H86" s="21">
        <v>880</v>
      </c>
      <c r="I86" s="4">
        <v>335</v>
      </c>
      <c r="J86" s="5" t="s">
        <v>94</v>
      </c>
      <c r="K86" s="5" t="s">
        <v>78</v>
      </c>
      <c r="L86" s="4">
        <v>2007</v>
      </c>
      <c r="M86" s="4">
        <v>3</v>
      </c>
      <c r="N86" s="5" t="s">
        <v>108</v>
      </c>
      <c r="O86" s="28" t="s">
        <v>80</v>
      </c>
      <c r="P86" s="29">
        <v>5.3</v>
      </c>
      <c r="Q86" s="4">
        <v>28</v>
      </c>
      <c r="R86" s="4">
        <v>1</v>
      </c>
      <c r="S86" s="13">
        <v>28</v>
      </c>
      <c r="T86" s="34">
        <v>11.2</v>
      </c>
      <c r="U86" s="34">
        <v>57</v>
      </c>
      <c r="V86" s="34">
        <v>31.8</v>
      </c>
      <c r="W86" s="18">
        <v>7</v>
      </c>
      <c r="X86" s="5" t="s">
        <v>91</v>
      </c>
      <c r="Y86" s="5" t="s">
        <v>82</v>
      </c>
      <c r="Z86" s="4">
        <v>4</v>
      </c>
      <c r="AA86" s="4">
        <v>4</v>
      </c>
      <c r="AB86" s="9">
        <v>0.0313965554497652</v>
      </c>
      <c r="AC86" s="9">
        <v>0.000192271262992729</v>
      </c>
      <c r="AD86" s="9"/>
      <c r="AE86" s="9"/>
      <c r="AF86" s="9"/>
      <c r="AG86" s="9"/>
      <c r="AH86" s="9">
        <v>-0.0130197132083034</v>
      </c>
      <c r="AI86" s="9">
        <v>0.00520616409829235</v>
      </c>
      <c r="AJ86" s="4">
        <v>0.04441626865807</v>
      </c>
      <c r="AK86" s="4">
        <v>0.00539843536128509</v>
      </c>
      <c r="AL86" s="4"/>
      <c r="AM86" s="4"/>
      <c r="AN86" s="4"/>
      <c r="AO86" s="4"/>
      <c r="AP86" s="4">
        <v>0.0689928714869514</v>
      </c>
      <c r="AQ86" s="4">
        <v>0.0107671898116009</v>
      </c>
      <c r="AR86" s="4"/>
      <c r="AS86" s="4"/>
      <c r="AT86" s="4"/>
      <c r="AU86" s="4"/>
      <c r="AV86" s="4"/>
      <c r="AW86" s="4"/>
      <c r="AX86" s="4">
        <v>-0.0820125846952552</v>
      </c>
      <c r="AY86" s="4">
        <v>0.0159733539098932</v>
      </c>
    </row>
    <row r="87" s="4" customFormat="1" spans="1:51">
      <c r="A87" s="4">
        <v>86</v>
      </c>
      <c r="B87" s="18">
        <v>15</v>
      </c>
      <c r="C87" s="19" t="s">
        <v>134</v>
      </c>
      <c r="D87" s="5" t="s">
        <v>135</v>
      </c>
      <c r="E87" s="9">
        <v>-27.18</v>
      </c>
      <c r="F87" s="9">
        <v>-65.283</v>
      </c>
      <c r="G87" s="20">
        <v>20.2416667938232</v>
      </c>
      <c r="H87" s="21">
        <v>880</v>
      </c>
      <c r="I87" s="4">
        <v>335</v>
      </c>
      <c r="J87" s="5" t="s">
        <v>94</v>
      </c>
      <c r="K87" s="5" t="s">
        <v>78</v>
      </c>
      <c r="L87" s="4">
        <v>2010</v>
      </c>
      <c r="M87" s="4">
        <v>3</v>
      </c>
      <c r="N87" s="5" t="s">
        <v>108</v>
      </c>
      <c r="O87" s="28" t="s">
        <v>80</v>
      </c>
      <c r="P87" s="29">
        <v>5.3</v>
      </c>
      <c r="Q87" s="4">
        <v>28</v>
      </c>
      <c r="R87" s="4">
        <v>1</v>
      </c>
      <c r="S87" s="13">
        <v>28</v>
      </c>
      <c r="T87" s="34">
        <v>11.2</v>
      </c>
      <c r="U87" s="34">
        <v>57</v>
      </c>
      <c r="V87" s="34">
        <v>31.8</v>
      </c>
      <c r="W87" s="18">
        <v>10</v>
      </c>
      <c r="X87" s="5" t="s">
        <v>91</v>
      </c>
      <c r="Y87" s="5" t="s">
        <v>82</v>
      </c>
      <c r="Z87" s="4">
        <v>4</v>
      </c>
      <c r="AA87" s="4">
        <v>4</v>
      </c>
      <c r="AB87" s="9">
        <v>0.0746895419093391</v>
      </c>
      <c r="AC87" s="9">
        <v>0.000192271262992729</v>
      </c>
      <c r="AD87" s="9"/>
      <c r="AE87" s="9"/>
      <c r="AF87" s="9"/>
      <c r="AG87" s="9"/>
      <c r="AH87" s="9">
        <v>0.00495786836078669</v>
      </c>
      <c r="AI87" s="9">
        <v>0.00520616409829237</v>
      </c>
      <c r="AJ87" s="4">
        <v>0.0697316735485531</v>
      </c>
      <c r="AK87" s="4">
        <v>0.00539843536128513</v>
      </c>
      <c r="AL87" s="4"/>
      <c r="AM87" s="4"/>
      <c r="AN87" s="4"/>
      <c r="AO87" s="4"/>
      <c r="AP87" s="4">
        <v>0.517943091534855</v>
      </c>
      <c r="AQ87" s="4">
        <v>0.0107671898116008</v>
      </c>
      <c r="AR87" s="4"/>
      <c r="AS87" s="4"/>
      <c r="AT87" s="4"/>
      <c r="AU87" s="4"/>
      <c r="AV87" s="4"/>
      <c r="AW87" s="4"/>
      <c r="AX87" s="4">
        <v>-0.512985223174069</v>
      </c>
      <c r="AY87" s="4">
        <v>0.0159733539098932</v>
      </c>
    </row>
    <row r="88" s="4" customFormat="1" spans="1:51">
      <c r="A88" s="4">
        <v>87</v>
      </c>
      <c r="B88" s="18">
        <v>15</v>
      </c>
      <c r="C88" s="19" t="s">
        <v>134</v>
      </c>
      <c r="D88" s="5" t="s">
        <v>135</v>
      </c>
      <c r="E88" s="9">
        <v>-27.18</v>
      </c>
      <c r="F88" s="9">
        <v>-65.283</v>
      </c>
      <c r="G88" s="20">
        <v>20.2416667938232</v>
      </c>
      <c r="H88" s="21">
        <v>880</v>
      </c>
      <c r="I88" s="4">
        <v>335</v>
      </c>
      <c r="J88" s="5" t="s">
        <v>94</v>
      </c>
      <c r="K88" s="5" t="s">
        <v>78</v>
      </c>
      <c r="L88" s="4">
        <v>2007</v>
      </c>
      <c r="M88" s="4">
        <v>3</v>
      </c>
      <c r="N88" s="5" t="s">
        <v>108</v>
      </c>
      <c r="O88" s="28" t="s">
        <v>80</v>
      </c>
      <c r="P88" s="29">
        <v>5.3</v>
      </c>
      <c r="Q88" s="4">
        <v>28</v>
      </c>
      <c r="R88" s="4">
        <v>1</v>
      </c>
      <c r="S88" s="13">
        <v>28</v>
      </c>
      <c r="T88" s="34">
        <v>11.2</v>
      </c>
      <c r="U88" s="34">
        <v>57</v>
      </c>
      <c r="V88" s="34">
        <v>31.8</v>
      </c>
      <c r="W88" s="18">
        <v>7</v>
      </c>
      <c r="X88" s="5" t="s">
        <v>91</v>
      </c>
      <c r="Y88" s="5" t="s">
        <v>82</v>
      </c>
      <c r="Z88" s="4">
        <v>4</v>
      </c>
      <c r="AA88" s="4">
        <v>4</v>
      </c>
      <c r="AB88" s="9">
        <v>-0.00457858568025553</v>
      </c>
      <c r="AC88" s="9">
        <v>0.000192271262992729</v>
      </c>
      <c r="AD88" s="9"/>
      <c r="AE88" s="9"/>
      <c r="AF88" s="9"/>
      <c r="AG88" s="9"/>
      <c r="AH88" s="9">
        <v>0.00495786836078669</v>
      </c>
      <c r="AI88" s="9">
        <v>0.00520616409829237</v>
      </c>
      <c r="AJ88" s="4">
        <v>-0.00953645404103516</v>
      </c>
      <c r="AK88" s="4">
        <v>0.0053984353612851</v>
      </c>
      <c r="AL88" s="4"/>
      <c r="AM88" s="4"/>
      <c r="AN88" s="4"/>
      <c r="AO88" s="4"/>
      <c r="AP88" s="4">
        <v>0</v>
      </c>
      <c r="AQ88" s="4">
        <v>0.010767189811601</v>
      </c>
      <c r="AR88" s="4"/>
      <c r="AS88" s="4"/>
      <c r="AT88" s="4"/>
      <c r="AU88" s="4"/>
      <c r="AV88" s="4"/>
      <c r="AW88" s="4"/>
      <c r="AX88" s="4">
        <v>0.00495786836078934</v>
      </c>
      <c r="AY88" s="4">
        <v>0.0159733539098934</v>
      </c>
    </row>
    <row r="89" s="4" customFormat="1" spans="1:51">
      <c r="A89" s="4">
        <v>88</v>
      </c>
      <c r="B89" s="18">
        <v>15</v>
      </c>
      <c r="C89" s="19" t="s">
        <v>134</v>
      </c>
      <c r="D89" s="5" t="s">
        <v>135</v>
      </c>
      <c r="E89" s="9">
        <v>-27.18</v>
      </c>
      <c r="F89" s="9">
        <v>-65.283</v>
      </c>
      <c r="G89" s="20">
        <v>20.2416667938232</v>
      </c>
      <c r="H89" s="21">
        <v>880</v>
      </c>
      <c r="I89" s="4">
        <v>335</v>
      </c>
      <c r="J89" s="5" t="s">
        <v>94</v>
      </c>
      <c r="K89" s="5" t="s">
        <v>78</v>
      </c>
      <c r="L89" s="4">
        <v>2010</v>
      </c>
      <c r="M89" s="4">
        <v>3</v>
      </c>
      <c r="N89" s="5" t="s">
        <v>108</v>
      </c>
      <c r="O89" s="28" t="s">
        <v>80</v>
      </c>
      <c r="P89" s="29">
        <v>5.3</v>
      </c>
      <c r="Q89" s="4">
        <v>28</v>
      </c>
      <c r="R89" s="4">
        <v>1</v>
      </c>
      <c r="S89" s="13">
        <v>28</v>
      </c>
      <c r="T89" s="34">
        <v>11.2</v>
      </c>
      <c r="U89" s="34">
        <v>57</v>
      </c>
      <c r="V89" s="34">
        <v>31.8</v>
      </c>
      <c r="W89" s="18">
        <v>10</v>
      </c>
      <c r="X89" s="5" t="s">
        <v>91</v>
      </c>
      <c r="Y89" s="5" t="s">
        <v>82</v>
      </c>
      <c r="Z89" s="4">
        <v>4</v>
      </c>
      <c r="AA89" s="4">
        <v>4</v>
      </c>
      <c r="AB89" s="9">
        <v>0.16622287593689</v>
      </c>
      <c r="AC89" s="9">
        <v>0.000192271262992729</v>
      </c>
      <c r="AD89" s="9"/>
      <c r="AE89" s="9"/>
      <c r="AF89" s="9"/>
      <c r="AG89" s="9"/>
      <c r="AH89" s="9">
        <v>0.0526437334854219</v>
      </c>
      <c r="AI89" s="9">
        <v>0.00520616409829239</v>
      </c>
      <c r="AJ89" s="4">
        <v>0.113579142451466</v>
      </c>
      <c r="AK89" s="4">
        <v>0.0053984353612851</v>
      </c>
      <c r="AL89" s="4"/>
      <c r="AM89" s="4"/>
      <c r="AN89" s="4"/>
      <c r="AO89" s="4"/>
      <c r="AP89" s="4">
        <v>0.395895657092014</v>
      </c>
      <c r="AQ89" s="4">
        <v>0.0107671898116008</v>
      </c>
      <c r="AR89" s="4"/>
      <c r="AS89" s="4"/>
      <c r="AT89" s="4"/>
      <c r="AU89" s="4"/>
      <c r="AV89" s="4"/>
      <c r="AW89" s="4"/>
      <c r="AX89" s="4">
        <v>-0.343251923606594</v>
      </c>
      <c r="AY89" s="4">
        <v>0.0159733539098932</v>
      </c>
    </row>
    <row r="90" s="4" customFormat="1" spans="1:51">
      <c r="A90" s="4">
        <v>89</v>
      </c>
      <c r="B90" s="18">
        <v>15</v>
      </c>
      <c r="C90" s="19" t="s">
        <v>134</v>
      </c>
      <c r="D90" s="5" t="s">
        <v>135</v>
      </c>
      <c r="E90" s="9">
        <v>-27.18</v>
      </c>
      <c r="F90" s="9">
        <v>-65.283</v>
      </c>
      <c r="G90" s="20">
        <v>20.2416667938232</v>
      </c>
      <c r="H90" s="21">
        <v>880</v>
      </c>
      <c r="I90" s="4">
        <v>335</v>
      </c>
      <c r="J90" s="5" t="s">
        <v>94</v>
      </c>
      <c r="K90" s="5" t="s">
        <v>78</v>
      </c>
      <c r="L90" s="4">
        <v>2007</v>
      </c>
      <c r="M90" s="4">
        <v>3</v>
      </c>
      <c r="N90" s="5" t="s">
        <v>108</v>
      </c>
      <c r="O90" s="28" t="s">
        <v>80</v>
      </c>
      <c r="P90" s="29">
        <v>5.3</v>
      </c>
      <c r="Q90" s="4">
        <v>28</v>
      </c>
      <c r="R90" s="4">
        <v>1</v>
      </c>
      <c r="S90" s="13">
        <v>28</v>
      </c>
      <c r="T90" s="34">
        <v>11.2</v>
      </c>
      <c r="U90" s="34">
        <v>57</v>
      </c>
      <c r="V90" s="34">
        <v>31.8</v>
      </c>
      <c r="W90" s="18">
        <v>7</v>
      </c>
      <c r="X90" s="5" t="s">
        <v>91</v>
      </c>
      <c r="Y90" s="5" t="s">
        <v>82</v>
      </c>
      <c r="Z90" s="4">
        <v>4</v>
      </c>
      <c r="AA90" s="4">
        <v>4</v>
      </c>
      <c r="AB90" s="9">
        <v>-0.0248585975469286</v>
      </c>
      <c r="AC90" s="9">
        <v>0.000192271262992729</v>
      </c>
      <c r="AD90" s="9"/>
      <c r="AE90" s="9"/>
      <c r="AF90" s="9"/>
      <c r="AG90" s="9"/>
      <c r="AH90" s="9">
        <v>-0.0130197132083034</v>
      </c>
      <c r="AI90" s="9">
        <v>0.00520616409829235</v>
      </c>
      <c r="AJ90" s="4">
        <v>-0.011838884338625</v>
      </c>
      <c r="AK90" s="4">
        <v>0.00539843536128508</v>
      </c>
      <c r="AL90" s="4"/>
      <c r="AM90" s="4"/>
      <c r="AN90" s="4"/>
      <c r="AO90" s="4"/>
      <c r="AP90" s="4">
        <v>0.0689928714869514</v>
      </c>
      <c r="AQ90" s="4">
        <v>0.0107671898116009</v>
      </c>
      <c r="AR90" s="4"/>
      <c r="AS90" s="4"/>
      <c r="AT90" s="4"/>
      <c r="AU90" s="4"/>
      <c r="AV90" s="4"/>
      <c r="AW90" s="4"/>
      <c r="AX90" s="4">
        <v>-0.0820125846952552</v>
      </c>
      <c r="AY90" s="4">
        <v>0.0159733539098932</v>
      </c>
    </row>
    <row r="91" s="4" customFormat="1" spans="1:51">
      <c r="A91" s="4">
        <v>90</v>
      </c>
      <c r="B91" s="18">
        <v>15</v>
      </c>
      <c r="C91" s="19" t="s">
        <v>134</v>
      </c>
      <c r="D91" s="5" t="s">
        <v>135</v>
      </c>
      <c r="E91" s="9">
        <v>-27.18</v>
      </c>
      <c r="F91" s="9">
        <v>-65.283</v>
      </c>
      <c r="G91" s="20">
        <v>20.2416667938232</v>
      </c>
      <c r="H91" s="21">
        <v>880</v>
      </c>
      <c r="I91" s="4">
        <v>335</v>
      </c>
      <c r="J91" s="5" t="s">
        <v>94</v>
      </c>
      <c r="K91" s="5" t="s">
        <v>78</v>
      </c>
      <c r="L91" s="4">
        <v>2010</v>
      </c>
      <c r="M91" s="4">
        <v>3</v>
      </c>
      <c r="N91" s="5" t="s">
        <v>108</v>
      </c>
      <c r="O91" s="28" t="s">
        <v>80</v>
      </c>
      <c r="P91" s="29">
        <v>5.3</v>
      </c>
      <c r="Q91" s="4">
        <v>28</v>
      </c>
      <c r="R91" s="4">
        <v>1</v>
      </c>
      <c r="S91" s="13">
        <v>28</v>
      </c>
      <c r="T91" s="34">
        <v>11.2</v>
      </c>
      <c r="U91" s="34">
        <v>57</v>
      </c>
      <c r="V91" s="34">
        <v>31.8</v>
      </c>
      <c r="W91" s="18">
        <v>10</v>
      </c>
      <c r="X91" s="5" t="s">
        <v>91</v>
      </c>
      <c r="Y91" s="5" t="s">
        <v>82</v>
      </c>
      <c r="Z91" s="4">
        <v>4</v>
      </c>
      <c r="AA91" s="4">
        <v>4</v>
      </c>
      <c r="AB91" s="9">
        <v>0.0816392870476911</v>
      </c>
      <c r="AC91" s="9">
        <v>0.000192271262992729</v>
      </c>
      <c r="AD91" s="9"/>
      <c r="AE91" s="9"/>
      <c r="AF91" s="9"/>
      <c r="AG91" s="9"/>
      <c r="AH91" s="9">
        <v>0.00495786836078669</v>
      </c>
      <c r="AI91" s="9">
        <v>0.00520616409829237</v>
      </c>
      <c r="AJ91" s="4">
        <v>0.0766814186869048</v>
      </c>
      <c r="AK91" s="4">
        <v>0.0053984353612851</v>
      </c>
      <c r="AL91" s="4"/>
      <c r="AM91" s="4"/>
      <c r="AN91" s="4"/>
      <c r="AO91" s="4"/>
      <c r="AP91" s="4">
        <v>0.517943091534855</v>
      </c>
      <c r="AQ91" s="4">
        <v>0.0107671898116008</v>
      </c>
      <c r="AR91" s="4"/>
      <c r="AS91" s="4"/>
      <c r="AT91" s="4"/>
      <c r="AU91" s="4"/>
      <c r="AV91" s="4"/>
      <c r="AW91" s="4"/>
      <c r="AX91" s="4">
        <v>-0.512985223174069</v>
      </c>
      <c r="AY91" s="4">
        <v>0.0159733539098932</v>
      </c>
    </row>
    <row r="92" s="4" customFormat="1" spans="1:51">
      <c r="A92" s="4">
        <v>91</v>
      </c>
      <c r="B92" s="18">
        <v>15</v>
      </c>
      <c r="C92" s="19" t="s">
        <v>134</v>
      </c>
      <c r="D92" s="5" t="s">
        <v>135</v>
      </c>
      <c r="E92" s="9">
        <v>-27.18</v>
      </c>
      <c r="F92" s="9">
        <v>-65.283</v>
      </c>
      <c r="G92" s="20">
        <v>20.2416667938232</v>
      </c>
      <c r="H92" s="21">
        <v>880</v>
      </c>
      <c r="I92" s="4">
        <v>335</v>
      </c>
      <c r="J92" s="5" t="s">
        <v>94</v>
      </c>
      <c r="K92" s="5" t="s">
        <v>78</v>
      </c>
      <c r="L92" s="4">
        <v>2007</v>
      </c>
      <c r="M92" s="4">
        <v>3</v>
      </c>
      <c r="N92" s="5" t="s">
        <v>108</v>
      </c>
      <c r="O92" s="28" t="s">
        <v>80</v>
      </c>
      <c r="P92" s="29">
        <v>5.3</v>
      </c>
      <c r="Q92" s="4">
        <v>28</v>
      </c>
      <c r="R92" s="4">
        <v>1</v>
      </c>
      <c r="S92" s="13">
        <v>28</v>
      </c>
      <c r="T92" s="34">
        <v>11.2</v>
      </c>
      <c r="U92" s="34">
        <v>57</v>
      </c>
      <c r="V92" s="34">
        <v>31.8</v>
      </c>
      <c r="W92" s="18">
        <v>7</v>
      </c>
      <c r="X92" s="5" t="s">
        <v>91</v>
      </c>
      <c r="Y92" s="5" t="s">
        <v>82</v>
      </c>
      <c r="Z92" s="4">
        <v>4</v>
      </c>
      <c r="AA92" s="4">
        <v>4</v>
      </c>
      <c r="AB92" s="9">
        <v>0.00684791334894294</v>
      </c>
      <c r="AC92" s="9">
        <v>0.000192271262992729</v>
      </c>
      <c r="AD92" s="9"/>
      <c r="AE92" s="9"/>
      <c r="AF92" s="9"/>
      <c r="AG92" s="9"/>
      <c r="AH92" s="9">
        <v>0.00495786836078669</v>
      </c>
      <c r="AI92" s="9">
        <v>0.00520616409829237</v>
      </c>
      <c r="AJ92" s="4">
        <v>0.00189004498815828</v>
      </c>
      <c r="AK92" s="4">
        <v>0.00539843536128509</v>
      </c>
      <c r="AL92" s="4"/>
      <c r="AM92" s="4"/>
      <c r="AN92" s="4"/>
      <c r="AO92" s="4"/>
      <c r="AP92" s="4">
        <v>0</v>
      </c>
      <c r="AQ92" s="4">
        <v>0.010767189811601</v>
      </c>
      <c r="AR92" s="4"/>
      <c r="AS92" s="4"/>
      <c r="AT92" s="4"/>
      <c r="AU92" s="4"/>
      <c r="AV92" s="4"/>
      <c r="AW92" s="4"/>
      <c r="AX92" s="4">
        <v>0.00495786836078934</v>
      </c>
      <c r="AY92" s="4">
        <v>0.0159733539098934</v>
      </c>
    </row>
    <row r="93" s="4" customFormat="1" spans="1:51">
      <c r="A93" s="4">
        <v>92</v>
      </c>
      <c r="B93" s="18">
        <v>15</v>
      </c>
      <c r="C93" s="19" t="s">
        <v>134</v>
      </c>
      <c r="D93" s="5" t="s">
        <v>135</v>
      </c>
      <c r="E93" s="9">
        <v>-27.18</v>
      </c>
      <c r="F93" s="9">
        <v>-65.283</v>
      </c>
      <c r="G93" s="20">
        <v>20.2416667938232</v>
      </c>
      <c r="H93" s="21">
        <v>880</v>
      </c>
      <c r="I93" s="4">
        <v>335</v>
      </c>
      <c r="J93" s="5" t="s">
        <v>94</v>
      </c>
      <c r="K93" s="5" t="s">
        <v>78</v>
      </c>
      <c r="L93" s="4">
        <v>2010</v>
      </c>
      <c r="M93" s="4">
        <v>3</v>
      </c>
      <c r="N93" s="5" t="s">
        <v>108</v>
      </c>
      <c r="O93" s="28" t="s">
        <v>80</v>
      </c>
      <c r="P93" s="29">
        <v>5.3</v>
      </c>
      <c r="Q93" s="4">
        <v>28</v>
      </c>
      <c r="R93" s="4">
        <v>1</v>
      </c>
      <c r="S93" s="13">
        <v>28</v>
      </c>
      <c r="T93" s="34">
        <v>11.2</v>
      </c>
      <c r="U93" s="34">
        <v>57</v>
      </c>
      <c r="V93" s="34">
        <v>31.8</v>
      </c>
      <c r="W93" s="18">
        <v>10</v>
      </c>
      <c r="X93" s="5" t="s">
        <v>91</v>
      </c>
      <c r="Y93" s="5" t="s">
        <v>82</v>
      </c>
      <c r="Z93" s="4">
        <v>4</v>
      </c>
      <c r="AA93" s="4">
        <v>4</v>
      </c>
      <c r="AB93" s="9">
        <v>0.16568635268612</v>
      </c>
      <c r="AC93" s="9">
        <v>0.000192271262992729</v>
      </c>
      <c r="AD93" s="9"/>
      <c r="AE93" s="9"/>
      <c r="AF93" s="9"/>
      <c r="AG93" s="9"/>
      <c r="AH93" s="9">
        <v>0.0526437334854219</v>
      </c>
      <c r="AI93" s="9">
        <v>0.00520616409829239</v>
      </c>
      <c r="AJ93" s="4">
        <v>0.113042619200697</v>
      </c>
      <c r="AK93" s="4">
        <v>0.00539843536128511</v>
      </c>
      <c r="AL93" s="4"/>
      <c r="AM93" s="4"/>
      <c r="AN93" s="4"/>
      <c r="AO93" s="4"/>
      <c r="AP93" s="4">
        <v>0.395895657092014</v>
      </c>
      <c r="AQ93" s="4">
        <v>0.0107671898116008</v>
      </c>
      <c r="AR93" s="4"/>
      <c r="AS93" s="4"/>
      <c r="AT93" s="4"/>
      <c r="AU93" s="4"/>
      <c r="AV93" s="4"/>
      <c r="AW93" s="4"/>
      <c r="AX93" s="4">
        <v>-0.343251923606594</v>
      </c>
      <c r="AY93" s="4">
        <v>0.0159733539098932</v>
      </c>
    </row>
    <row r="94" s="4" customFormat="1" spans="1:51">
      <c r="A94" s="4">
        <v>93</v>
      </c>
      <c r="B94" s="18">
        <v>15</v>
      </c>
      <c r="C94" s="19" t="s">
        <v>134</v>
      </c>
      <c r="D94" s="5" t="s">
        <v>135</v>
      </c>
      <c r="E94" s="9">
        <v>-27.18</v>
      </c>
      <c r="F94" s="9">
        <v>-65.283</v>
      </c>
      <c r="G94" s="20">
        <v>20.2416667938232</v>
      </c>
      <c r="H94" s="21">
        <v>880</v>
      </c>
      <c r="I94" s="4">
        <v>335</v>
      </c>
      <c r="J94" s="5" t="s">
        <v>94</v>
      </c>
      <c r="K94" s="5" t="s">
        <v>78</v>
      </c>
      <c r="L94" s="4">
        <v>2007</v>
      </c>
      <c r="M94" s="4">
        <v>3</v>
      </c>
      <c r="N94" s="5" t="s">
        <v>108</v>
      </c>
      <c r="O94" s="28" t="s">
        <v>136</v>
      </c>
      <c r="P94" s="29">
        <v>7.1</v>
      </c>
      <c r="Q94" s="4">
        <v>2</v>
      </c>
      <c r="R94" s="5"/>
      <c r="S94" s="13"/>
      <c r="T94" s="34">
        <v>13.2</v>
      </c>
      <c r="U94" s="34">
        <v>54</v>
      </c>
      <c r="V94" s="34">
        <v>32.8</v>
      </c>
      <c r="W94" s="18">
        <v>7</v>
      </c>
      <c r="X94" s="5" t="s">
        <v>91</v>
      </c>
      <c r="Y94" s="5" t="s">
        <v>82</v>
      </c>
      <c r="Z94" s="4">
        <v>4</v>
      </c>
      <c r="AA94" s="4">
        <v>4</v>
      </c>
      <c r="AB94" s="9">
        <v>0.0377401487334878</v>
      </c>
      <c r="AC94" s="9">
        <v>0.000192271262992729</v>
      </c>
      <c r="AD94" s="9"/>
      <c r="AE94" s="9"/>
      <c r="AF94" s="9"/>
      <c r="AG94" s="9"/>
      <c r="AH94" s="9">
        <v>-0.0130197132083034</v>
      </c>
      <c r="AI94" s="9">
        <v>0.00520616409829235</v>
      </c>
      <c r="AJ94" s="4">
        <v>0.0507598619417887</v>
      </c>
      <c r="AK94" s="4">
        <v>0.00539843536128507</v>
      </c>
      <c r="AL94" s="4"/>
      <c r="AM94" s="4"/>
      <c r="AN94" s="4"/>
      <c r="AO94" s="4"/>
      <c r="AP94" s="4">
        <v>0.0689928714869514</v>
      </c>
      <c r="AQ94" s="4">
        <v>0.0107671898116009</v>
      </c>
      <c r="AR94" s="4"/>
      <c r="AS94" s="4"/>
      <c r="AT94" s="4"/>
      <c r="AU94" s="4"/>
      <c r="AV94" s="4"/>
      <c r="AW94" s="4"/>
      <c r="AX94" s="4">
        <v>-0.0820125846952552</v>
      </c>
      <c r="AY94" s="4">
        <v>0.0159733539098932</v>
      </c>
    </row>
    <row r="95" s="4" customFormat="1" spans="1:51">
      <c r="A95" s="4">
        <v>94</v>
      </c>
      <c r="B95" s="18">
        <v>15</v>
      </c>
      <c r="C95" s="19" t="s">
        <v>134</v>
      </c>
      <c r="D95" s="5" t="s">
        <v>135</v>
      </c>
      <c r="E95" s="9">
        <v>-27.18</v>
      </c>
      <c r="F95" s="9">
        <v>-65.283</v>
      </c>
      <c r="G95" s="20">
        <v>20.2416667938232</v>
      </c>
      <c r="H95" s="21">
        <v>880</v>
      </c>
      <c r="I95" s="4">
        <v>335</v>
      </c>
      <c r="J95" s="5" t="s">
        <v>94</v>
      </c>
      <c r="K95" s="5" t="s">
        <v>78</v>
      </c>
      <c r="L95" s="4">
        <v>2010</v>
      </c>
      <c r="M95" s="4">
        <v>3</v>
      </c>
      <c r="N95" s="5" t="s">
        <v>108</v>
      </c>
      <c r="O95" s="28" t="s">
        <v>136</v>
      </c>
      <c r="P95" s="29">
        <v>7.1</v>
      </c>
      <c r="Q95" s="4">
        <v>2</v>
      </c>
      <c r="R95" s="5"/>
      <c r="S95" s="13"/>
      <c r="T95" s="34">
        <v>13.2</v>
      </c>
      <c r="U95" s="34">
        <v>54</v>
      </c>
      <c r="V95" s="34">
        <v>32.8</v>
      </c>
      <c r="W95" s="18">
        <v>10</v>
      </c>
      <c r="X95" s="5" t="s">
        <v>91</v>
      </c>
      <c r="Y95" s="5" t="s">
        <v>82</v>
      </c>
      <c r="Z95" s="4">
        <v>4</v>
      </c>
      <c r="AA95" s="4">
        <v>4</v>
      </c>
      <c r="AB95" s="9">
        <v>0.0783018605315068</v>
      </c>
      <c r="AC95" s="9">
        <v>0.000192271262992729</v>
      </c>
      <c r="AD95" s="9"/>
      <c r="AE95" s="9"/>
      <c r="AF95" s="9"/>
      <c r="AG95" s="9"/>
      <c r="AH95" s="9">
        <v>0.00495786836078669</v>
      </c>
      <c r="AI95" s="9">
        <v>0.00520616409829237</v>
      </c>
      <c r="AJ95" s="4">
        <v>0.0733439921707186</v>
      </c>
      <c r="AK95" s="4">
        <v>0.0053984353612851</v>
      </c>
      <c r="AL95" s="4"/>
      <c r="AM95" s="4"/>
      <c r="AN95" s="4"/>
      <c r="AO95" s="4"/>
      <c r="AP95" s="4">
        <v>0.517943091534855</v>
      </c>
      <c r="AQ95" s="4">
        <v>0.0107671898116008</v>
      </c>
      <c r="AR95" s="4"/>
      <c r="AS95" s="4"/>
      <c r="AT95" s="4"/>
      <c r="AU95" s="4"/>
      <c r="AV95" s="4"/>
      <c r="AW95" s="4"/>
      <c r="AX95" s="4">
        <v>-0.512985223174069</v>
      </c>
      <c r="AY95" s="4">
        <v>0.0159733539098932</v>
      </c>
    </row>
    <row r="96" s="4" customFormat="1" spans="1:51">
      <c r="A96" s="4">
        <v>95</v>
      </c>
      <c r="B96" s="18">
        <v>15</v>
      </c>
      <c r="C96" s="19" t="s">
        <v>134</v>
      </c>
      <c r="D96" s="5" t="s">
        <v>135</v>
      </c>
      <c r="E96" s="9">
        <v>-27.18</v>
      </c>
      <c r="F96" s="9">
        <v>-65.283</v>
      </c>
      <c r="G96" s="20">
        <v>20.2416667938232</v>
      </c>
      <c r="H96" s="21">
        <v>880</v>
      </c>
      <c r="I96" s="4">
        <v>335</v>
      </c>
      <c r="J96" s="5" t="s">
        <v>94</v>
      </c>
      <c r="K96" s="5" t="s">
        <v>78</v>
      </c>
      <c r="L96" s="4">
        <v>2007</v>
      </c>
      <c r="M96" s="4">
        <v>3</v>
      </c>
      <c r="N96" s="5" t="s">
        <v>108</v>
      </c>
      <c r="O96" s="28" t="s">
        <v>136</v>
      </c>
      <c r="P96" s="29">
        <v>7.1</v>
      </c>
      <c r="Q96" s="4">
        <v>2</v>
      </c>
      <c r="R96" s="5"/>
      <c r="S96" s="13"/>
      <c r="T96" s="34">
        <v>13.2</v>
      </c>
      <c r="U96" s="34">
        <v>54</v>
      </c>
      <c r="V96" s="34">
        <v>32.8</v>
      </c>
      <c r="W96" s="18">
        <v>7</v>
      </c>
      <c r="X96" s="5" t="s">
        <v>91</v>
      </c>
      <c r="Y96" s="5" t="s">
        <v>82</v>
      </c>
      <c r="Z96" s="4">
        <v>4</v>
      </c>
      <c r="AA96" s="4">
        <v>4</v>
      </c>
      <c r="AB96" s="9">
        <v>-0.27777854049956</v>
      </c>
      <c r="AC96" s="9">
        <v>0.000192271262992729</v>
      </c>
      <c r="AD96" s="9"/>
      <c r="AE96" s="9"/>
      <c r="AF96" s="9"/>
      <c r="AG96" s="9"/>
      <c r="AH96" s="9">
        <v>0.00495786836078669</v>
      </c>
      <c r="AI96" s="9">
        <v>0.00520616409829237</v>
      </c>
      <c r="AJ96" s="4">
        <v>-0.282736408860348</v>
      </c>
      <c r="AK96" s="4">
        <v>0.00539843536128509</v>
      </c>
      <c r="AL96" s="4"/>
      <c r="AM96" s="4"/>
      <c r="AN96" s="4"/>
      <c r="AO96" s="4"/>
      <c r="AP96" s="4">
        <v>0</v>
      </c>
      <c r="AQ96" s="4">
        <v>0.010767189811601</v>
      </c>
      <c r="AR96" s="4"/>
      <c r="AS96" s="4"/>
      <c r="AT96" s="4"/>
      <c r="AU96" s="4"/>
      <c r="AV96" s="4"/>
      <c r="AW96" s="4"/>
      <c r="AX96" s="4">
        <v>0.00495786836078934</v>
      </c>
      <c r="AY96" s="4">
        <v>0.0159733539098934</v>
      </c>
    </row>
    <row r="97" s="4" customFormat="1" spans="1:51">
      <c r="A97" s="4">
        <v>96</v>
      </c>
      <c r="B97" s="18">
        <v>15</v>
      </c>
      <c r="C97" s="19" t="s">
        <v>134</v>
      </c>
      <c r="D97" s="5" t="s">
        <v>135</v>
      </c>
      <c r="E97" s="9">
        <v>-27.18</v>
      </c>
      <c r="F97" s="9">
        <v>-65.283</v>
      </c>
      <c r="G97" s="20">
        <v>20.2416667938232</v>
      </c>
      <c r="H97" s="21">
        <v>880</v>
      </c>
      <c r="I97" s="4">
        <v>335</v>
      </c>
      <c r="J97" s="5" t="s">
        <v>94</v>
      </c>
      <c r="K97" s="5" t="s">
        <v>78</v>
      </c>
      <c r="L97" s="4">
        <v>2010</v>
      </c>
      <c r="M97" s="4">
        <v>3</v>
      </c>
      <c r="N97" s="5" t="s">
        <v>108</v>
      </c>
      <c r="O97" s="28" t="s">
        <v>136</v>
      </c>
      <c r="P97" s="29">
        <v>7.1</v>
      </c>
      <c r="Q97" s="4">
        <v>2</v>
      </c>
      <c r="R97" s="5"/>
      <c r="S97" s="13"/>
      <c r="T97" s="34">
        <v>13.2</v>
      </c>
      <c r="U97" s="34">
        <v>54</v>
      </c>
      <c r="V97" s="34">
        <v>32.8</v>
      </c>
      <c r="W97" s="18">
        <v>10</v>
      </c>
      <c r="X97" s="5" t="s">
        <v>91</v>
      </c>
      <c r="Y97" s="5" t="s">
        <v>82</v>
      </c>
      <c r="Z97" s="4">
        <v>4</v>
      </c>
      <c r="AA97" s="4">
        <v>4</v>
      </c>
      <c r="AB97" s="9">
        <v>0.0866362732432301</v>
      </c>
      <c r="AC97" s="9">
        <v>0.000192271262992729</v>
      </c>
      <c r="AD97" s="9"/>
      <c r="AE97" s="9"/>
      <c r="AF97" s="9"/>
      <c r="AG97" s="9"/>
      <c r="AH97" s="9">
        <v>0.0526437334854219</v>
      </c>
      <c r="AI97" s="9">
        <v>0.00520616409829239</v>
      </c>
      <c r="AJ97" s="4">
        <v>0.0339925397578083</v>
      </c>
      <c r="AK97" s="4">
        <v>0.0053984353612851</v>
      </c>
      <c r="AL97" s="4"/>
      <c r="AM97" s="4"/>
      <c r="AN97" s="4"/>
      <c r="AO97" s="4"/>
      <c r="AP97" s="4">
        <v>0.395895657092014</v>
      </c>
      <c r="AQ97" s="4">
        <v>0.0107671898116008</v>
      </c>
      <c r="AR97" s="4"/>
      <c r="AS97" s="4"/>
      <c r="AT97" s="4"/>
      <c r="AU97" s="4"/>
      <c r="AV97" s="4"/>
      <c r="AW97" s="4"/>
      <c r="AX97" s="4">
        <v>-0.343251923606594</v>
      </c>
      <c r="AY97" s="4">
        <v>0.0159733539098932</v>
      </c>
    </row>
    <row r="98" s="4" customFormat="1" spans="1:35">
      <c r="A98" s="4">
        <v>97</v>
      </c>
      <c r="B98" s="18">
        <v>15</v>
      </c>
      <c r="C98" s="19" t="s">
        <v>134</v>
      </c>
      <c r="D98" s="5" t="s">
        <v>135</v>
      </c>
      <c r="E98" s="9">
        <v>-27.18</v>
      </c>
      <c r="F98" s="9">
        <v>-65.283</v>
      </c>
      <c r="G98" s="20">
        <v>20.2416667938232</v>
      </c>
      <c r="H98" s="21">
        <v>880</v>
      </c>
      <c r="I98" s="4">
        <v>335</v>
      </c>
      <c r="J98" s="5" t="s">
        <v>94</v>
      </c>
      <c r="K98" s="5" t="s">
        <v>78</v>
      </c>
      <c r="L98" s="4">
        <v>2007</v>
      </c>
      <c r="M98" s="4">
        <v>3</v>
      </c>
      <c r="N98" s="5" t="s">
        <v>108</v>
      </c>
      <c r="O98" s="28" t="s">
        <v>136</v>
      </c>
      <c r="P98" s="29">
        <v>7.5</v>
      </c>
      <c r="Q98" s="5"/>
      <c r="R98" s="5"/>
      <c r="S98" s="13"/>
      <c r="T98" s="34">
        <v>13.2</v>
      </c>
      <c r="U98" s="34">
        <v>54</v>
      </c>
      <c r="V98" s="34">
        <v>32.8</v>
      </c>
      <c r="W98" s="18">
        <v>7</v>
      </c>
      <c r="X98" s="5" t="s">
        <v>91</v>
      </c>
      <c r="Y98" s="5" t="s">
        <v>82</v>
      </c>
      <c r="Z98" s="4">
        <v>4</v>
      </c>
      <c r="AA98" s="4">
        <v>4</v>
      </c>
      <c r="AB98" s="9">
        <v>0.00621338174519478</v>
      </c>
      <c r="AC98" s="9">
        <v>0.000192271262992729</v>
      </c>
      <c r="AD98" s="9"/>
      <c r="AE98" s="9"/>
      <c r="AF98" s="9"/>
      <c r="AG98" s="9"/>
      <c r="AH98" s="9"/>
      <c r="AI98" s="9"/>
    </row>
    <row r="99" s="4" customFormat="1" spans="1:35">
      <c r="A99" s="4">
        <v>98</v>
      </c>
      <c r="B99" s="18">
        <v>15</v>
      </c>
      <c r="C99" s="19" t="s">
        <v>134</v>
      </c>
      <c r="D99" s="5" t="s">
        <v>135</v>
      </c>
      <c r="E99" s="9">
        <v>-27.18</v>
      </c>
      <c r="F99" s="9">
        <v>-65.283</v>
      </c>
      <c r="G99" s="20">
        <v>20.2416667938232</v>
      </c>
      <c r="H99" s="21">
        <v>880</v>
      </c>
      <c r="I99" s="4">
        <v>335</v>
      </c>
      <c r="J99" s="5" t="s">
        <v>94</v>
      </c>
      <c r="K99" s="5" t="s">
        <v>78</v>
      </c>
      <c r="L99" s="4">
        <v>2010</v>
      </c>
      <c r="M99" s="4">
        <v>3</v>
      </c>
      <c r="N99" s="5" t="s">
        <v>108</v>
      </c>
      <c r="O99" s="28" t="s">
        <v>136</v>
      </c>
      <c r="P99" s="29">
        <v>7.5</v>
      </c>
      <c r="Q99" s="5"/>
      <c r="R99" s="5"/>
      <c r="S99" s="13"/>
      <c r="T99" s="34">
        <v>13.2</v>
      </c>
      <c r="U99" s="34">
        <v>54</v>
      </c>
      <c r="V99" s="34">
        <v>32.8</v>
      </c>
      <c r="W99" s="18">
        <v>10</v>
      </c>
      <c r="X99" s="5" t="s">
        <v>91</v>
      </c>
      <c r="Y99" s="5" t="s">
        <v>82</v>
      </c>
      <c r="Z99" s="4">
        <v>4</v>
      </c>
      <c r="AA99" s="4">
        <v>4</v>
      </c>
      <c r="AB99" s="9">
        <v>0.0584872325337124</v>
      </c>
      <c r="AC99" s="9">
        <v>0.000192271262992729</v>
      </c>
      <c r="AD99" s="9"/>
      <c r="AE99" s="9"/>
      <c r="AF99" s="9"/>
      <c r="AG99" s="9"/>
      <c r="AH99" s="9"/>
      <c r="AI99" s="9"/>
    </row>
    <row r="100" s="4" customFormat="1" spans="1:35">
      <c r="A100" s="4">
        <v>99</v>
      </c>
      <c r="B100" s="18">
        <v>15</v>
      </c>
      <c r="C100" s="19" t="s">
        <v>134</v>
      </c>
      <c r="D100" s="5" t="s">
        <v>135</v>
      </c>
      <c r="E100" s="9">
        <v>-27.18</v>
      </c>
      <c r="F100" s="9">
        <v>-65.283</v>
      </c>
      <c r="G100" s="20">
        <v>20.2416667938232</v>
      </c>
      <c r="H100" s="21">
        <v>880</v>
      </c>
      <c r="I100" s="4">
        <v>335</v>
      </c>
      <c r="J100" s="5" t="s">
        <v>94</v>
      </c>
      <c r="K100" s="5" t="s">
        <v>78</v>
      </c>
      <c r="L100" s="4">
        <v>2007</v>
      </c>
      <c r="M100" s="4">
        <v>3</v>
      </c>
      <c r="N100" s="5" t="s">
        <v>108</v>
      </c>
      <c r="O100" s="28" t="s">
        <v>136</v>
      </c>
      <c r="P100" s="29">
        <v>7.5</v>
      </c>
      <c r="Q100" s="5"/>
      <c r="R100" s="5"/>
      <c r="S100" s="13"/>
      <c r="T100" s="34">
        <v>13.2</v>
      </c>
      <c r="U100" s="34">
        <v>54</v>
      </c>
      <c r="V100" s="34">
        <v>32.8</v>
      </c>
      <c r="W100" s="18">
        <v>7</v>
      </c>
      <c r="X100" s="5" t="s">
        <v>91</v>
      </c>
      <c r="Y100" s="5" t="s">
        <v>82</v>
      </c>
      <c r="Z100" s="4">
        <v>4</v>
      </c>
      <c r="AA100" s="4">
        <v>4</v>
      </c>
      <c r="AB100" s="9">
        <v>0.0315803401630133</v>
      </c>
      <c r="AC100" s="9">
        <v>0.000192271262992729</v>
      </c>
      <c r="AD100" s="9"/>
      <c r="AE100" s="9"/>
      <c r="AF100" s="9"/>
      <c r="AG100" s="9"/>
      <c r="AH100" s="9"/>
      <c r="AI100" s="9"/>
    </row>
    <row r="101" s="4" customFormat="1" spans="1:35">
      <c r="A101" s="4">
        <v>100</v>
      </c>
      <c r="B101" s="18">
        <v>15</v>
      </c>
      <c r="C101" s="19" t="s">
        <v>134</v>
      </c>
      <c r="D101" s="5" t="s">
        <v>135</v>
      </c>
      <c r="E101" s="9">
        <v>-27.18</v>
      </c>
      <c r="F101" s="9">
        <v>-65.283</v>
      </c>
      <c r="G101" s="20">
        <v>20.2416667938232</v>
      </c>
      <c r="H101" s="21">
        <v>880</v>
      </c>
      <c r="I101" s="4">
        <v>335</v>
      </c>
      <c r="J101" s="5" t="s">
        <v>94</v>
      </c>
      <c r="K101" s="5" t="s">
        <v>78</v>
      </c>
      <c r="L101" s="4">
        <v>2010</v>
      </c>
      <c r="M101" s="4">
        <v>3</v>
      </c>
      <c r="N101" s="5" t="s">
        <v>108</v>
      </c>
      <c r="O101" s="28" t="s">
        <v>136</v>
      </c>
      <c r="P101" s="29">
        <v>7.5</v>
      </c>
      <c r="Q101" s="5"/>
      <c r="R101" s="5"/>
      <c r="S101" s="13"/>
      <c r="T101" s="34">
        <v>13.2</v>
      </c>
      <c r="U101" s="34">
        <v>54</v>
      </c>
      <c r="V101" s="34">
        <v>32.8</v>
      </c>
      <c r="W101" s="18">
        <v>10</v>
      </c>
      <c r="X101" s="5" t="s">
        <v>91</v>
      </c>
      <c r="Y101" s="5" t="s">
        <v>82</v>
      </c>
      <c r="Z101" s="4">
        <v>4</v>
      </c>
      <c r="AA101" s="4">
        <v>4</v>
      </c>
      <c r="AB101" s="9">
        <v>0.0997269207543727</v>
      </c>
      <c r="AC101" s="9">
        <v>0.000192271262992729</v>
      </c>
      <c r="AD101" s="9"/>
      <c r="AE101" s="9"/>
      <c r="AF101" s="9"/>
      <c r="AG101" s="9"/>
      <c r="AH101" s="9"/>
      <c r="AI101" s="9"/>
    </row>
    <row r="102" s="4" customFormat="1" spans="1:35">
      <c r="A102" s="4">
        <v>101</v>
      </c>
      <c r="B102" s="18">
        <v>15</v>
      </c>
      <c r="C102" s="19" t="s">
        <v>134</v>
      </c>
      <c r="D102" s="5" t="s">
        <v>135</v>
      </c>
      <c r="E102" s="9">
        <v>-27.18</v>
      </c>
      <c r="F102" s="9">
        <v>-65.283</v>
      </c>
      <c r="G102" s="20">
        <v>20.2416667938232</v>
      </c>
      <c r="H102" s="21">
        <v>880</v>
      </c>
      <c r="I102" s="4">
        <v>335</v>
      </c>
      <c r="J102" s="5" t="s">
        <v>94</v>
      </c>
      <c r="K102" s="5" t="s">
        <v>78</v>
      </c>
      <c r="L102" s="4">
        <v>2007</v>
      </c>
      <c r="M102" s="4">
        <v>3</v>
      </c>
      <c r="N102" s="5" t="s">
        <v>108</v>
      </c>
      <c r="O102" s="28" t="s">
        <v>136</v>
      </c>
      <c r="P102" s="29">
        <v>8.2</v>
      </c>
      <c r="Q102" s="5"/>
      <c r="R102" s="5"/>
      <c r="S102" s="13"/>
      <c r="T102" s="21">
        <v>21</v>
      </c>
      <c r="U102" s="21">
        <v>42</v>
      </c>
      <c r="V102" s="21">
        <v>37</v>
      </c>
      <c r="W102" s="18">
        <v>7</v>
      </c>
      <c r="X102" s="5" t="s">
        <v>91</v>
      </c>
      <c r="Y102" s="5" t="s">
        <v>82</v>
      </c>
      <c r="Z102" s="4">
        <v>4</v>
      </c>
      <c r="AA102" s="4">
        <v>4</v>
      </c>
      <c r="AB102" s="9">
        <v>-0.0441345456596471</v>
      </c>
      <c r="AC102" s="9">
        <v>0.000192271262992728</v>
      </c>
      <c r="AD102" s="9"/>
      <c r="AE102" s="9"/>
      <c r="AF102" s="9"/>
      <c r="AG102" s="9"/>
      <c r="AH102" s="9"/>
      <c r="AI102" s="9"/>
    </row>
    <row r="103" s="4" customFormat="1" spans="1:35">
      <c r="A103" s="4">
        <v>102</v>
      </c>
      <c r="B103" s="18">
        <v>15</v>
      </c>
      <c r="C103" s="19" t="s">
        <v>134</v>
      </c>
      <c r="D103" s="5" t="s">
        <v>135</v>
      </c>
      <c r="E103" s="9">
        <v>-27.18</v>
      </c>
      <c r="F103" s="9">
        <v>-65.283</v>
      </c>
      <c r="G103" s="20">
        <v>20.2416667938232</v>
      </c>
      <c r="H103" s="21">
        <v>880</v>
      </c>
      <c r="I103" s="4">
        <v>335</v>
      </c>
      <c r="J103" s="5" t="s">
        <v>94</v>
      </c>
      <c r="K103" s="5" t="s">
        <v>78</v>
      </c>
      <c r="L103" s="4">
        <v>2010</v>
      </c>
      <c r="M103" s="4">
        <v>3</v>
      </c>
      <c r="N103" s="5" t="s">
        <v>108</v>
      </c>
      <c r="O103" s="28" t="s">
        <v>136</v>
      </c>
      <c r="P103" s="29">
        <v>8.2</v>
      </c>
      <c r="Q103" s="5"/>
      <c r="R103" s="5"/>
      <c r="S103" s="13"/>
      <c r="T103" s="21">
        <v>21</v>
      </c>
      <c r="U103" s="21">
        <v>42</v>
      </c>
      <c r="V103" s="21">
        <v>37</v>
      </c>
      <c r="W103" s="18">
        <v>10</v>
      </c>
      <c r="X103" s="5" t="s">
        <v>91</v>
      </c>
      <c r="Y103" s="5" t="s">
        <v>82</v>
      </c>
      <c r="Z103" s="4">
        <v>4</v>
      </c>
      <c r="AA103" s="4">
        <v>4</v>
      </c>
      <c r="AB103" s="9">
        <v>0.0958756444267741</v>
      </c>
      <c r="AC103" s="9">
        <v>0.000192271262992728</v>
      </c>
      <c r="AD103" s="9"/>
      <c r="AE103" s="9"/>
      <c r="AF103" s="9"/>
      <c r="AG103" s="9"/>
      <c r="AH103" s="9"/>
      <c r="AI103" s="9"/>
    </row>
    <row r="104" s="4" customFormat="1" spans="1:35">
      <c r="A104" s="4">
        <v>103</v>
      </c>
      <c r="B104" s="18">
        <v>15</v>
      </c>
      <c r="C104" s="19" t="s">
        <v>134</v>
      </c>
      <c r="D104" s="5" t="s">
        <v>135</v>
      </c>
      <c r="E104" s="9">
        <v>-27.18</v>
      </c>
      <c r="F104" s="9">
        <v>-65.283</v>
      </c>
      <c r="G104" s="20">
        <v>20.2416667938232</v>
      </c>
      <c r="H104" s="21">
        <v>880</v>
      </c>
      <c r="I104" s="4">
        <v>335</v>
      </c>
      <c r="J104" s="5" t="s">
        <v>94</v>
      </c>
      <c r="K104" s="5" t="s">
        <v>78</v>
      </c>
      <c r="L104" s="4">
        <v>2007</v>
      </c>
      <c r="M104" s="4">
        <v>3</v>
      </c>
      <c r="N104" s="5" t="s">
        <v>108</v>
      </c>
      <c r="O104" s="28" t="s">
        <v>136</v>
      </c>
      <c r="P104" s="29">
        <v>8.2</v>
      </c>
      <c r="Q104" s="5"/>
      <c r="R104" s="5"/>
      <c r="S104" s="13"/>
      <c r="T104" s="21">
        <v>21</v>
      </c>
      <c r="U104" s="21">
        <v>42</v>
      </c>
      <c r="V104" s="21">
        <v>37</v>
      </c>
      <c r="W104" s="18">
        <v>7</v>
      </c>
      <c r="X104" s="5" t="s">
        <v>91</v>
      </c>
      <c r="Y104" s="5" t="s">
        <v>82</v>
      </c>
      <c r="Z104" s="4">
        <v>4</v>
      </c>
      <c r="AA104" s="4">
        <v>4</v>
      </c>
      <c r="AB104" s="9">
        <v>0.0313883105368124</v>
      </c>
      <c r="AC104" s="9">
        <v>0.000192271262992728</v>
      </c>
      <c r="AD104" s="9"/>
      <c r="AE104" s="9"/>
      <c r="AF104" s="9"/>
      <c r="AG104" s="9"/>
      <c r="AH104" s="9"/>
      <c r="AI104" s="9"/>
    </row>
    <row r="105" s="4" customFormat="1" spans="1:35">
      <c r="A105" s="4">
        <v>104</v>
      </c>
      <c r="B105" s="18">
        <v>15</v>
      </c>
      <c r="C105" s="19" t="s">
        <v>134</v>
      </c>
      <c r="D105" s="5" t="s">
        <v>135</v>
      </c>
      <c r="E105" s="9">
        <v>-27.18</v>
      </c>
      <c r="F105" s="9">
        <v>-65.283</v>
      </c>
      <c r="G105" s="20">
        <v>20.2416667938232</v>
      </c>
      <c r="H105" s="21">
        <v>880</v>
      </c>
      <c r="I105" s="4">
        <v>335</v>
      </c>
      <c r="J105" s="5" t="s">
        <v>94</v>
      </c>
      <c r="K105" s="5" t="s">
        <v>78</v>
      </c>
      <c r="L105" s="4">
        <v>2010</v>
      </c>
      <c r="M105" s="4">
        <v>3</v>
      </c>
      <c r="N105" s="5" t="s">
        <v>108</v>
      </c>
      <c r="O105" s="28" t="s">
        <v>136</v>
      </c>
      <c r="P105" s="29">
        <v>8.2</v>
      </c>
      <c r="Q105" s="5"/>
      <c r="R105" s="5"/>
      <c r="S105" s="13"/>
      <c r="T105" s="21">
        <v>21</v>
      </c>
      <c r="U105" s="21">
        <v>42</v>
      </c>
      <c r="V105" s="21">
        <v>37</v>
      </c>
      <c r="W105" s="18">
        <v>10</v>
      </c>
      <c r="X105" s="5" t="s">
        <v>91</v>
      </c>
      <c r="Y105" s="5" t="s">
        <v>82</v>
      </c>
      <c r="Z105" s="4">
        <v>4</v>
      </c>
      <c r="AA105" s="4">
        <v>4</v>
      </c>
      <c r="AB105" s="9">
        <v>0.0336218605673934</v>
      </c>
      <c r="AC105" s="9">
        <v>0.000192271262992729</v>
      </c>
      <c r="AD105" s="9"/>
      <c r="AE105" s="9"/>
      <c r="AF105" s="9"/>
      <c r="AG105" s="9"/>
      <c r="AH105" s="9"/>
      <c r="AI105" s="9"/>
    </row>
    <row r="106" s="3" customFormat="1" spans="1:61">
      <c r="A106" s="4">
        <v>105</v>
      </c>
      <c r="B106" s="6">
        <v>16</v>
      </c>
      <c r="C106" s="24" t="s">
        <v>137</v>
      </c>
      <c r="D106" s="13" t="s">
        <v>138</v>
      </c>
      <c r="E106" s="25">
        <v>41.446567</v>
      </c>
      <c r="F106" s="25">
        <v>-6.822091</v>
      </c>
      <c r="G106" s="26">
        <v>10.8</v>
      </c>
      <c r="H106" s="27">
        <v>666</v>
      </c>
      <c r="I106" s="3"/>
      <c r="J106" s="13" t="s">
        <v>94</v>
      </c>
      <c r="K106" s="5" t="s">
        <v>78</v>
      </c>
      <c r="L106" s="3">
        <v>2018</v>
      </c>
      <c r="M106" s="3">
        <v>12</v>
      </c>
      <c r="N106" s="13" t="s">
        <v>79</v>
      </c>
      <c r="O106" s="28" t="s">
        <v>80</v>
      </c>
      <c r="P106" s="7">
        <v>5.9</v>
      </c>
      <c r="Q106" s="3">
        <v>4.6</v>
      </c>
      <c r="R106" s="3">
        <v>0.4</v>
      </c>
      <c r="S106" s="13">
        <v>11.5</v>
      </c>
      <c r="T106" s="8">
        <v>3.4</v>
      </c>
      <c r="U106" s="8">
        <v>18.9</v>
      </c>
      <c r="V106" s="8">
        <v>77.7</v>
      </c>
      <c r="W106" s="3">
        <v>3</v>
      </c>
      <c r="X106" s="5" t="s">
        <v>81</v>
      </c>
      <c r="Y106" s="13" t="s">
        <v>82</v>
      </c>
      <c r="Z106" s="3">
        <v>3</v>
      </c>
      <c r="AA106" s="3">
        <v>3</v>
      </c>
      <c r="AB106" s="9">
        <v>-0.473289822131275</v>
      </c>
      <c r="AC106" s="9">
        <v>0.0324271667455131</v>
      </c>
      <c r="AD106" s="25">
        <v>-0.263419969842911</v>
      </c>
      <c r="AE106" s="25">
        <v>0.013782125236604</v>
      </c>
      <c r="AF106" s="9">
        <v>0.209869852288365</v>
      </c>
      <c r="AG106" s="9">
        <v>0.046209291982117</v>
      </c>
      <c r="AH106" s="25"/>
      <c r="AI106" s="25"/>
      <c r="AJ106" s="4"/>
      <c r="AK106" s="4"/>
      <c r="AL106" s="3"/>
      <c r="AM106" s="3"/>
      <c r="AN106" s="4"/>
      <c r="AO106" s="4"/>
      <c r="AP106" s="3">
        <v>0.351975824770776</v>
      </c>
      <c r="AQ106" s="3">
        <v>0.21609979164126</v>
      </c>
      <c r="AR106" s="4"/>
      <c r="AS106" s="4"/>
      <c r="AT106" s="3"/>
      <c r="AU106" s="3"/>
      <c r="AV106" s="4"/>
      <c r="AW106" s="4"/>
      <c r="AX106" s="3"/>
      <c r="AY106" s="3"/>
      <c r="BF106" s="3">
        <v>0.158608855389789</v>
      </c>
      <c r="BG106" s="3">
        <v>0.0566675957221822</v>
      </c>
      <c r="BH106" s="3">
        <v>0.31237503219676</v>
      </c>
      <c r="BI106" s="3">
        <v>0.100260968193396</v>
      </c>
    </row>
    <row r="107" s="3" customFormat="1" spans="1:61">
      <c r="A107" s="4">
        <v>106</v>
      </c>
      <c r="B107" s="6">
        <v>16</v>
      </c>
      <c r="C107" s="24" t="s">
        <v>137</v>
      </c>
      <c r="D107" s="13" t="s">
        <v>138</v>
      </c>
      <c r="E107" s="25">
        <v>41.446567</v>
      </c>
      <c r="F107" s="25">
        <v>-6.822091</v>
      </c>
      <c r="G107" s="26">
        <v>10.8</v>
      </c>
      <c r="H107" s="27">
        <v>666</v>
      </c>
      <c r="I107" s="3"/>
      <c r="J107" s="13" t="s">
        <v>94</v>
      </c>
      <c r="K107" s="5" t="s">
        <v>78</v>
      </c>
      <c r="L107" s="3">
        <v>2018</v>
      </c>
      <c r="M107" s="3">
        <v>12</v>
      </c>
      <c r="N107" s="13" t="s">
        <v>79</v>
      </c>
      <c r="O107" s="28" t="s">
        <v>80</v>
      </c>
      <c r="P107" s="7">
        <v>5.9</v>
      </c>
      <c r="Q107" s="3">
        <v>4.6</v>
      </c>
      <c r="R107" s="3">
        <v>0.4</v>
      </c>
      <c r="S107" s="13">
        <v>11.5</v>
      </c>
      <c r="T107" s="8">
        <v>3.4</v>
      </c>
      <c r="U107" s="8">
        <v>18.9</v>
      </c>
      <c r="V107" s="8">
        <v>77.7</v>
      </c>
      <c r="W107" s="3">
        <v>3</v>
      </c>
      <c r="X107" s="5" t="s">
        <v>81</v>
      </c>
      <c r="Y107" s="13" t="s">
        <v>82</v>
      </c>
      <c r="Z107" s="3">
        <v>3</v>
      </c>
      <c r="AA107" s="3">
        <v>3</v>
      </c>
      <c r="AB107" s="9">
        <v>0.331775145840143</v>
      </c>
      <c r="AC107" s="9">
        <v>0.0200980478855705</v>
      </c>
      <c r="AD107" s="25">
        <v>0.208294348464004</v>
      </c>
      <c r="AE107" s="25">
        <v>0.00535145677540066</v>
      </c>
      <c r="AF107" s="9">
        <v>-0.123480797376138</v>
      </c>
      <c r="AG107" s="9">
        <v>0.025449504660971</v>
      </c>
      <c r="AH107" s="25"/>
      <c r="AI107" s="25"/>
      <c r="AJ107" s="4"/>
      <c r="AK107" s="4"/>
      <c r="AL107" s="3"/>
      <c r="AM107" s="3"/>
      <c r="AN107" s="4"/>
      <c r="AO107" s="4"/>
      <c r="AP107" s="3">
        <v>0.922521858585254</v>
      </c>
      <c r="AQ107" s="3">
        <v>0.162845991530056</v>
      </c>
      <c r="AR107" s="4"/>
      <c r="AS107" s="4"/>
      <c r="AT107" s="3"/>
      <c r="AU107" s="3"/>
      <c r="AV107" s="4"/>
      <c r="AW107" s="4"/>
      <c r="AX107" s="3"/>
      <c r="AY107" s="3"/>
      <c r="BF107" s="3">
        <v>0.307026448552706</v>
      </c>
      <c r="BG107" s="3">
        <v>0.0511426981040951</v>
      </c>
      <c r="BH107" s="3">
        <v>0.676340510266316</v>
      </c>
      <c r="BI107" s="3">
        <v>0.0851888195200544</v>
      </c>
    </row>
    <row r="108" s="3" customFormat="1" spans="1:61">
      <c r="A108" s="4">
        <v>107</v>
      </c>
      <c r="B108" s="6">
        <v>16</v>
      </c>
      <c r="C108" s="24" t="s">
        <v>137</v>
      </c>
      <c r="D108" s="13" t="s">
        <v>138</v>
      </c>
      <c r="E108" s="25">
        <v>41.446567</v>
      </c>
      <c r="F108" s="25">
        <v>-6.822091</v>
      </c>
      <c r="G108" s="26">
        <v>10.8</v>
      </c>
      <c r="H108" s="27">
        <v>666</v>
      </c>
      <c r="I108" s="3"/>
      <c r="J108" s="13" t="s">
        <v>94</v>
      </c>
      <c r="K108" s="5" t="s">
        <v>78</v>
      </c>
      <c r="L108" s="3">
        <v>2018</v>
      </c>
      <c r="M108" s="3">
        <v>12</v>
      </c>
      <c r="N108" s="13" t="s">
        <v>79</v>
      </c>
      <c r="O108" s="28" t="s">
        <v>80</v>
      </c>
      <c r="P108" s="7">
        <v>5.9</v>
      </c>
      <c r="Q108" s="3">
        <v>4.6</v>
      </c>
      <c r="R108" s="3">
        <v>0.4</v>
      </c>
      <c r="S108" s="13">
        <v>11.5</v>
      </c>
      <c r="T108" s="8">
        <v>3.4</v>
      </c>
      <c r="U108" s="8">
        <v>18.9</v>
      </c>
      <c r="V108" s="8">
        <v>77.7</v>
      </c>
      <c r="W108" s="3">
        <v>3</v>
      </c>
      <c r="X108" s="5" t="s">
        <v>81</v>
      </c>
      <c r="Y108" s="13" t="s">
        <v>82</v>
      </c>
      <c r="Z108" s="3">
        <v>3</v>
      </c>
      <c r="AA108" s="3">
        <v>3</v>
      </c>
      <c r="AB108" s="9">
        <v>0.130448423721741</v>
      </c>
      <c r="AC108" s="9">
        <v>0.0184282999822928</v>
      </c>
      <c r="AD108" s="25">
        <v>0.100081373347395</v>
      </c>
      <c r="AE108" s="25">
        <v>0.00621628451006608</v>
      </c>
      <c r="AF108" s="9">
        <v>-0.0303670503743459</v>
      </c>
      <c r="AG108" s="9">
        <v>0.0246445844923588</v>
      </c>
      <c r="AH108" s="25"/>
      <c r="AI108" s="25"/>
      <c r="AJ108" s="4"/>
      <c r="AK108" s="4"/>
      <c r="AL108" s="3"/>
      <c r="AM108" s="3"/>
      <c r="AN108" s="4"/>
      <c r="AO108" s="4"/>
      <c r="AP108" s="3">
        <v>0.858396647391464</v>
      </c>
      <c r="AQ108" s="3">
        <v>0.165887132592599</v>
      </c>
      <c r="AR108" s="4"/>
      <c r="AS108" s="4"/>
      <c r="AT108" s="3"/>
      <c r="AU108" s="3"/>
      <c r="AV108" s="4"/>
      <c r="AW108" s="4"/>
      <c r="AX108" s="3"/>
      <c r="AY108" s="3"/>
      <c r="BF108" s="3">
        <v>0.271936030220448</v>
      </c>
      <c r="BG108" s="3">
        <v>0.0523049650786076</v>
      </c>
      <c r="BH108" s="3">
        <v>0.569094570254768</v>
      </c>
      <c r="BI108" s="3">
        <v>0.0885559122588714</v>
      </c>
    </row>
    <row r="109" s="4" customFormat="1" spans="1:37">
      <c r="A109" s="4">
        <v>108</v>
      </c>
      <c r="B109" s="18">
        <v>17</v>
      </c>
      <c r="C109" s="19" t="s">
        <v>139</v>
      </c>
      <c r="D109" s="5" t="s">
        <v>140</v>
      </c>
      <c r="E109" s="9">
        <v>23.73333333</v>
      </c>
      <c r="F109" s="9">
        <v>85.53333333</v>
      </c>
      <c r="G109" s="20">
        <v>23.1</v>
      </c>
      <c r="H109" s="21">
        <v>1450</v>
      </c>
      <c r="I109" s="4">
        <v>625</v>
      </c>
      <c r="J109" s="5" t="s">
        <v>94</v>
      </c>
      <c r="K109" s="5" t="s">
        <v>78</v>
      </c>
      <c r="L109" s="4">
        <v>2016</v>
      </c>
      <c r="M109" s="4">
        <v>4</v>
      </c>
      <c r="N109" s="5" t="s">
        <v>113</v>
      </c>
      <c r="O109" s="28" t="s">
        <v>80</v>
      </c>
      <c r="P109" s="29">
        <v>5.5</v>
      </c>
      <c r="Q109" s="5"/>
      <c r="R109" s="4">
        <v>0.67</v>
      </c>
      <c r="S109" s="13">
        <v>0</v>
      </c>
      <c r="T109" s="21">
        <v>51</v>
      </c>
      <c r="U109" s="21">
        <v>27</v>
      </c>
      <c r="V109" s="21">
        <v>22</v>
      </c>
      <c r="W109" s="18">
        <v>60</v>
      </c>
      <c r="X109" s="13" t="s">
        <v>141</v>
      </c>
      <c r="Y109" s="5" t="s">
        <v>82</v>
      </c>
      <c r="Z109" s="4">
        <v>3</v>
      </c>
      <c r="AA109" s="4">
        <v>3</v>
      </c>
      <c r="AB109" s="9">
        <v>-0.00716848947861252</v>
      </c>
      <c r="AC109" s="9">
        <v>0.000256361683990305</v>
      </c>
      <c r="AD109" s="9"/>
      <c r="AE109" s="9"/>
      <c r="AF109" s="9"/>
      <c r="AG109" s="9"/>
      <c r="AH109" s="9">
        <v>-0.269877104974424</v>
      </c>
      <c r="AI109" s="9">
        <v>0.00694155213105651</v>
      </c>
      <c r="AJ109" s="4">
        <v>0.262708615495814</v>
      </c>
      <c r="AK109" s="4">
        <v>0.00719791381504681</v>
      </c>
    </row>
    <row r="110" s="4" customFormat="1" spans="1:37">
      <c r="A110" s="4">
        <v>109</v>
      </c>
      <c r="B110" s="18">
        <v>17</v>
      </c>
      <c r="C110" s="19" t="s">
        <v>142</v>
      </c>
      <c r="D110" s="5" t="s">
        <v>140</v>
      </c>
      <c r="E110" s="9">
        <v>23.73333333</v>
      </c>
      <c r="F110" s="9">
        <v>85.53333333</v>
      </c>
      <c r="G110" s="20">
        <v>23.1</v>
      </c>
      <c r="H110" s="21">
        <v>1450</v>
      </c>
      <c r="I110" s="4">
        <v>625</v>
      </c>
      <c r="J110" s="5" t="s">
        <v>94</v>
      </c>
      <c r="K110" s="5" t="s">
        <v>78</v>
      </c>
      <c r="L110" s="4">
        <v>2016</v>
      </c>
      <c r="M110" s="4">
        <v>4</v>
      </c>
      <c r="N110" s="5" t="s">
        <v>113</v>
      </c>
      <c r="O110" s="28" t="s">
        <v>80</v>
      </c>
      <c r="P110" s="29">
        <v>5.5</v>
      </c>
      <c r="Q110" s="5"/>
      <c r="R110" s="4">
        <v>0.67</v>
      </c>
      <c r="S110" s="13">
        <v>0</v>
      </c>
      <c r="T110" s="21">
        <v>51</v>
      </c>
      <c r="U110" s="21">
        <v>27</v>
      </c>
      <c r="V110" s="21">
        <v>22</v>
      </c>
      <c r="W110" s="18">
        <v>60</v>
      </c>
      <c r="X110" s="13" t="s">
        <v>141</v>
      </c>
      <c r="Y110" s="5" t="s">
        <v>82</v>
      </c>
      <c r="Z110" s="4">
        <v>3</v>
      </c>
      <c r="AA110" s="4">
        <v>3</v>
      </c>
      <c r="AB110" s="9">
        <v>0.0287101058824314</v>
      </c>
      <c r="AC110" s="9">
        <v>0.000256361683990304</v>
      </c>
      <c r="AD110" s="9"/>
      <c r="AE110" s="9"/>
      <c r="AF110" s="9"/>
      <c r="AG110" s="9"/>
      <c r="AH110" s="9">
        <v>-0.371831001663523</v>
      </c>
      <c r="AI110" s="9">
        <v>0.0069415521310565</v>
      </c>
      <c r="AJ110" s="4">
        <v>0.400541107545953</v>
      </c>
      <c r="AK110" s="4">
        <v>0.00719791381504677</v>
      </c>
    </row>
    <row r="111" s="4" customFormat="1" spans="1:37">
      <c r="A111" s="4">
        <v>110</v>
      </c>
      <c r="B111" s="18">
        <v>17</v>
      </c>
      <c r="C111" s="19" t="s">
        <v>143</v>
      </c>
      <c r="D111" s="5" t="s">
        <v>140</v>
      </c>
      <c r="E111" s="9">
        <v>23.73333333</v>
      </c>
      <c r="F111" s="9">
        <v>85.53333333</v>
      </c>
      <c r="G111" s="20">
        <v>23.1</v>
      </c>
      <c r="H111" s="21">
        <v>1450</v>
      </c>
      <c r="I111" s="4">
        <v>625</v>
      </c>
      <c r="J111" s="5" t="s">
        <v>94</v>
      </c>
      <c r="K111" s="5" t="s">
        <v>78</v>
      </c>
      <c r="L111" s="4">
        <v>2016</v>
      </c>
      <c r="M111" s="4">
        <v>4</v>
      </c>
      <c r="N111" s="5" t="s">
        <v>113</v>
      </c>
      <c r="O111" s="28" t="s">
        <v>80</v>
      </c>
      <c r="P111" s="29">
        <v>5.5</v>
      </c>
      <c r="Q111" s="5"/>
      <c r="R111" s="4">
        <v>0.67</v>
      </c>
      <c r="S111" s="13">
        <v>0</v>
      </c>
      <c r="T111" s="21">
        <v>51</v>
      </c>
      <c r="U111" s="21">
        <v>27</v>
      </c>
      <c r="V111" s="21">
        <v>22</v>
      </c>
      <c r="W111" s="18">
        <v>60</v>
      </c>
      <c r="X111" s="13" t="s">
        <v>141</v>
      </c>
      <c r="Y111" s="5" t="s">
        <v>82</v>
      </c>
      <c r="Z111" s="4">
        <v>3</v>
      </c>
      <c r="AA111" s="4">
        <v>3</v>
      </c>
      <c r="AB111" s="9">
        <v>-0.0512932943875506</v>
      </c>
      <c r="AC111" s="9">
        <v>0.000256361683990304</v>
      </c>
      <c r="AD111" s="9"/>
      <c r="AE111" s="9"/>
      <c r="AF111" s="9"/>
      <c r="AG111" s="9"/>
      <c r="AH111" s="9">
        <v>-0.358990815245685</v>
      </c>
      <c r="AI111" s="9">
        <v>0.00694155213105652</v>
      </c>
      <c r="AJ111" s="4">
        <v>0.307697520858135</v>
      </c>
      <c r="AK111" s="4">
        <v>0.00719791381504684</v>
      </c>
    </row>
    <row r="112" s="4" customFormat="1" spans="1:35">
      <c r="A112" s="4">
        <v>111</v>
      </c>
      <c r="B112" s="18">
        <v>17</v>
      </c>
      <c r="C112" s="19" t="s">
        <v>144</v>
      </c>
      <c r="D112" s="5" t="s">
        <v>140</v>
      </c>
      <c r="E112" s="9">
        <v>23.73333333</v>
      </c>
      <c r="F112" s="9">
        <v>85.53333333</v>
      </c>
      <c r="G112" s="20">
        <v>23.1</v>
      </c>
      <c r="H112" s="21">
        <v>1450</v>
      </c>
      <c r="I112" s="4">
        <v>625</v>
      </c>
      <c r="J112" s="5" t="s">
        <v>94</v>
      </c>
      <c r="K112" s="5" t="s">
        <v>78</v>
      </c>
      <c r="L112" s="4">
        <v>2016</v>
      </c>
      <c r="M112" s="4">
        <v>4</v>
      </c>
      <c r="N112" s="5" t="s">
        <v>113</v>
      </c>
      <c r="O112" s="28" t="s">
        <v>80</v>
      </c>
      <c r="P112" s="29">
        <v>5.5</v>
      </c>
      <c r="Q112" s="5"/>
      <c r="R112" s="4">
        <v>0.67</v>
      </c>
      <c r="S112" s="13">
        <v>0</v>
      </c>
      <c r="T112" s="21">
        <v>51</v>
      </c>
      <c r="U112" s="21">
        <v>27</v>
      </c>
      <c r="V112" s="21">
        <v>22</v>
      </c>
      <c r="W112" s="18">
        <v>60</v>
      </c>
      <c r="X112" s="13" t="s">
        <v>141</v>
      </c>
      <c r="Y112" s="5" t="s">
        <v>82</v>
      </c>
      <c r="Z112" s="4">
        <v>3</v>
      </c>
      <c r="AA112" s="4">
        <v>3</v>
      </c>
      <c r="AB112" s="9">
        <v>-0.1633250561033</v>
      </c>
      <c r="AC112" s="9">
        <v>0.000256361683990305</v>
      </c>
      <c r="AD112" s="9"/>
      <c r="AE112" s="9"/>
      <c r="AF112" s="9"/>
      <c r="AG112" s="9"/>
      <c r="AH112" s="9"/>
      <c r="AI112" s="9"/>
    </row>
    <row r="113" s="4" customFormat="1" spans="1:37">
      <c r="A113" s="4">
        <v>112</v>
      </c>
      <c r="B113" s="18">
        <v>17</v>
      </c>
      <c r="C113" s="19" t="s">
        <v>144</v>
      </c>
      <c r="D113" s="5" t="s">
        <v>140</v>
      </c>
      <c r="E113" s="9">
        <v>23.73333333</v>
      </c>
      <c r="F113" s="9">
        <v>85.53333333</v>
      </c>
      <c r="G113" s="20">
        <v>23.1</v>
      </c>
      <c r="H113" s="21">
        <v>1450</v>
      </c>
      <c r="I113" s="4">
        <v>625</v>
      </c>
      <c r="J113" s="5" t="s">
        <v>90</v>
      </c>
      <c r="K113" s="5" t="s">
        <v>78</v>
      </c>
      <c r="L113" s="4">
        <v>2016</v>
      </c>
      <c r="M113" s="4">
        <v>4</v>
      </c>
      <c r="N113" s="5" t="s">
        <v>113</v>
      </c>
      <c r="O113" s="28" t="s">
        <v>80</v>
      </c>
      <c r="P113" s="29">
        <v>5.5</v>
      </c>
      <c r="Q113" s="5"/>
      <c r="R113" s="4">
        <v>0.67</v>
      </c>
      <c r="S113" s="13">
        <v>0</v>
      </c>
      <c r="T113" s="21">
        <v>51</v>
      </c>
      <c r="U113" s="21">
        <v>27</v>
      </c>
      <c r="V113" s="21">
        <v>22</v>
      </c>
      <c r="W113" s="18">
        <v>60</v>
      </c>
      <c r="X113" s="13" t="s">
        <v>141</v>
      </c>
      <c r="Y113" s="5" t="s">
        <v>82</v>
      </c>
      <c r="Z113" s="4">
        <v>3</v>
      </c>
      <c r="AA113" s="4">
        <v>3</v>
      </c>
      <c r="AB113" s="9">
        <v>0.278713402469021</v>
      </c>
      <c r="AC113" s="9">
        <v>0.000256361683990305</v>
      </c>
      <c r="AD113" s="9"/>
      <c r="AE113" s="9"/>
      <c r="AF113" s="9"/>
      <c r="AG113" s="9"/>
      <c r="AH113" s="9">
        <v>0.367748707092774</v>
      </c>
      <c r="AI113" s="9">
        <v>0.00694155213105653</v>
      </c>
      <c r="AJ113" s="4">
        <v>-0.0890353046237483</v>
      </c>
      <c r="AK113" s="4">
        <v>0.00719791381504679</v>
      </c>
    </row>
    <row r="114" s="4" customFormat="1" spans="1:37">
      <c r="A114" s="4">
        <v>113</v>
      </c>
      <c r="B114" s="18">
        <v>17</v>
      </c>
      <c r="C114" s="19" t="s">
        <v>144</v>
      </c>
      <c r="D114" s="5" t="s">
        <v>140</v>
      </c>
      <c r="E114" s="9">
        <v>23.73333333</v>
      </c>
      <c r="F114" s="9">
        <v>85.53333333</v>
      </c>
      <c r="G114" s="20">
        <v>23.1</v>
      </c>
      <c r="H114" s="21">
        <v>1450</v>
      </c>
      <c r="I114" s="4">
        <v>625</v>
      </c>
      <c r="J114" s="5" t="s">
        <v>90</v>
      </c>
      <c r="K114" s="5" t="s">
        <v>78</v>
      </c>
      <c r="L114" s="4">
        <v>2016</v>
      </c>
      <c r="M114" s="4">
        <v>4</v>
      </c>
      <c r="N114" s="5" t="s">
        <v>113</v>
      </c>
      <c r="O114" s="28" t="s">
        <v>80</v>
      </c>
      <c r="P114" s="29">
        <v>5.5</v>
      </c>
      <c r="Q114" s="5"/>
      <c r="R114" s="4">
        <v>0.67</v>
      </c>
      <c r="S114" s="13">
        <v>0</v>
      </c>
      <c r="T114" s="21">
        <v>51</v>
      </c>
      <c r="U114" s="21">
        <v>27</v>
      </c>
      <c r="V114" s="21">
        <v>22</v>
      </c>
      <c r="W114" s="18">
        <v>60</v>
      </c>
      <c r="X114" s="13" t="s">
        <v>141</v>
      </c>
      <c r="Y114" s="5" t="s">
        <v>82</v>
      </c>
      <c r="Z114" s="4">
        <v>3</v>
      </c>
      <c r="AA114" s="4">
        <v>3</v>
      </c>
      <c r="AB114" s="9">
        <v>0.552656817611119</v>
      </c>
      <c r="AC114" s="9">
        <v>0.000256361683990305</v>
      </c>
      <c r="AD114" s="9"/>
      <c r="AE114" s="9"/>
      <c r="AF114" s="9"/>
      <c r="AG114" s="9"/>
      <c r="AH114" s="9">
        <v>0.194560943070285</v>
      </c>
      <c r="AI114" s="9">
        <v>0.0069415521310565</v>
      </c>
      <c r="AJ114" s="4">
        <v>0.358095874540835</v>
      </c>
      <c r="AK114" s="4">
        <v>0.00719791381504677</v>
      </c>
    </row>
    <row r="115" s="4" customFormat="1" spans="1:37">
      <c r="A115" s="4">
        <v>114</v>
      </c>
      <c r="B115" s="18">
        <v>17</v>
      </c>
      <c r="C115" s="19" t="s">
        <v>144</v>
      </c>
      <c r="D115" s="5" t="s">
        <v>140</v>
      </c>
      <c r="E115" s="9">
        <v>23.73333333</v>
      </c>
      <c r="F115" s="9">
        <v>85.53333333</v>
      </c>
      <c r="G115" s="20">
        <v>23.1</v>
      </c>
      <c r="H115" s="21">
        <v>1450</v>
      </c>
      <c r="I115" s="4">
        <v>625</v>
      </c>
      <c r="J115" s="5" t="s">
        <v>90</v>
      </c>
      <c r="K115" s="5" t="s">
        <v>78</v>
      </c>
      <c r="L115" s="4">
        <v>2016</v>
      </c>
      <c r="M115" s="4">
        <v>4</v>
      </c>
      <c r="N115" s="5" t="s">
        <v>113</v>
      </c>
      <c r="O115" s="28" t="s">
        <v>80</v>
      </c>
      <c r="P115" s="29">
        <v>5.5</v>
      </c>
      <c r="Q115" s="5"/>
      <c r="R115" s="4">
        <v>0.67</v>
      </c>
      <c r="S115" s="13">
        <v>0</v>
      </c>
      <c r="T115" s="21">
        <v>51</v>
      </c>
      <c r="U115" s="21">
        <v>27</v>
      </c>
      <c r="V115" s="21">
        <v>22</v>
      </c>
      <c r="W115" s="18">
        <v>60</v>
      </c>
      <c r="X115" s="13" t="s">
        <v>141</v>
      </c>
      <c r="Y115" s="5" t="s">
        <v>82</v>
      </c>
      <c r="Z115" s="4">
        <v>3</v>
      </c>
      <c r="AA115" s="4">
        <v>3</v>
      </c>
      <c r="AB115" s="9">
        <v>0.451075619360217</v>
      </c>
      <c r="AC115" s="9">
        <v>0.000256361683990306</v>
      </c>
      <c r="AD115" s="9"/>
      <c r="AE115" s="9"/>
      <c r="AF115" s="9"/>
      <c r="AG115" s="9"/>
      <c r="AH115" s="9">
        <v>0.227286718244805</v>
      </c>
      <c r="AI115" s="9">
        <v>0.00694155213105649</v>
      </c>
      <c r="AJ115" s="4">
        <v>0.223788901115409</v>
      </c>
      <c r="AK115" s="4">
        <v>0.00719791381504681</v>
      </c>
    </row>
    <row r="116" s="4" customFormat="1" spans="1:35">
      <c r="A116" s="4">
        <v>115</v>
      </c>
      <c r="B116" s="18">
        <v>17</v>
      </c>
      <c r="C116" s="19" t="s">
        <v>144</v>
      </c>
      <c r="D116" s="5" t="s">
        <v>140</v>
      </c>
      <c r="E116" s="9">
        <v>23.73333333</v>
      </c>
      <c r="F116" s="9">
        <v>85.53333333</v>
      </c>
      <c r="G116" s="20">
        <v>23.1</v>
      </c>
      <c r="H116" s="21">
        <v>1450</v>
      </c>
      <c r="I116" s="4">
        <v>625</v>
      </c>
      <c r="J116" s="5" t="s">
        <v>90</v>
      </c>
      <c r="K116" s="5" t="s">
        <v>78</v>
      </c>
      <c r="L116" s="4">
        <v>2016</v>
      </c>
      <c r="M116" s="4">
        <v>4</v>
      </c>
      <c r="N116" s="5" t="s">
        <v>113</v>
      </c>
      <c r="O116" s="28" t="s">
        <v>80</v>
      </c>
      <c r="P116" s="29">
        <v>5.5</v>
      </c>
      <c r="Q116" s="5"/>
      <c r="R116" s="4">
        <v>0.67</v>
      </c>
      <c r="S116" s="13">
        <v>0</v>
      </c>
      <c r="T116" s="21">
        <v>51</v>
      </c>
      <c r="U116" s="21">
        <v>27</v>
      </c>
      <c r="V116" s="21">
        <v>22</v>
      </c>
      <c r="W116" s="18">
        <v>60</v>
      </c>
      <c r="X116" s="13" t="s">
        <v>141</v>
      </c>
      <c r="Y116" s="5" t="s">
        <v>82</v>
      </c>
      <c r="Z116" s="4">
        <v>3</v>
      </c>
      <c r="AA116" s="4">
        <v>3</v>
      </c>
      <c r="AB116" s="9">
        <v>-0.0277795641070757</v>
      </c>
      <c r="AC116" s="9">
        <v>0.000256361683990304</v>
      </c>
      <c r="AD116" s="9"/>
      <c r="AE116" s="9"/>
      <c r="AF116" s="9"/>
      <c r="AG116" s="9"/>
      <c r="AH116" s="9"/>
      <c r="AI116" s="9"/>
    </row>
    <row r="117" s="4" customFormat="1" spans="1:37">
      <c r="A117" s="4">
        <v>116</v>
      </c>
      <c r="B117" s="18">
        <v>17</v>
      </c>
      <c r="C117" s="19" t="s">
        <v>144</v>
      </c>
      <c r="D117" s="5" t="s">
        <v>140</v>
      </c>
      <c r="E117" s="9">
        <v>23.73333333</v>
      </c>
      <c r="F117" s="9">
        <v>85.53333333</v>
      </c>
      <c r="G117" s="20">
        <v>23.1</v>
      </c>
      <c r="H117" s="21">
        <v>1450</v>
      </c>
      <c r="I117" s="4">
        <v>625</v>
      </c>
      <c r="J117" s="5" t="s">
        <v>123</v>
      </c>
      <c r="K117" s="5" t="s">
        <v>78</v>
      </c>
      <c r="L117" s="4">
        <v>2016</v>
      </c>
      <c r="M117" s="4">
        <v>4</v>
      </c>
      <c r="N117" s="5" t="s">
        <v>113</v>
      </c>
      <c r="O117" s="28" t="s">
        <v>80</v>
      </c>
      <c r="P117" s="29">
        <v>5.5</v>
      </c>
      <c r="Q117" s="5"/>
      <c r="R117" s="4">
        <v>0.67</v>
      </c>
      <c r="S117" s="13">
        <v>0</v>
      </c>
      <c r="T117" s="21">
        <v>51</v>
      </c>
      <c r="U117" s="21">
        <v>27</v>
      </c>
      <c r="V117" s="21">
        <v>22</v>
      </c>
      <c r="W117" s="18">
        <v>60</v>
      </c>
      <c r="X117" s="13" t="s">
        <v>141</v>
      </c>
      <c r="Y117" s="5" t="s">
        <v>82</v>
      </c>
      <c r="Z117" s="4">
        <v>3</v>
      </c>
      <c r="AA117" s="4">
        <v>3</v>
      </c>
      <c r="AB117" s="9">
        <v>0.0512932943875505</v>
      </c>
      <c r="AC117" s="9">
        <v>0.000256361683990305</v>
      </c>
      <c r="AD117" s="9"/>
      <c r="AE117" s="9"/>
      <c r="AF117" s="9"/>
      <c r="AG117" s="9"/>
      <c r="AH117" s="9">
        <v>0.149950099796138</v>
      </c>
      <c r="AI117" s="9">
        <v>0.00694155213105647</v>
      </c>
      <c r="AJ117" s="4">
        <v>-0.0986568054085893</v>
      </c>
      <c r="AK117" s="4">
        <v>0.00719791381504675</v>
      </c>
    </row>
    <row r="118" s="4" customFormat="1" spans="1:37">
      <c r="A118" s="4">
        <v>117</v>
      </c>
      <c r="B118" s="18">
        <v>17</v>
      </c>
      <c r="C118" s="19" t="s">
        <v>144</v>
      </c>
      <c r="D118" s="5" t="s">
        <v>140</v>
      </c>
      <c r="E118" s="9">
        <v>23.73333333</v>
      </c>
      <c r="F118" s="9">
        <v>85.53333333</v>
      </c>
      <c r="G118" s="20">
        <v>23.1</v>
      </c>
      <c r="H118" s="21">
        <v>1450</v>
      </c>
      <c r="I118" s="4">
        <v>625</v>
      </c>
      <c r="J118" s="5" t="s">
        <v>123</v>
      </c>
      <c r="K118" s="5" t="s">
        <v>78</v>
      </c>
      <c r="L118" s="4">
        <v>2016</v>
      </c>
      <c r="M118" s="4">
        <v>4</v>
      </c>
      <c r="N118" s="5" t="s">
        <v>113</v>
      </c>
      <c r="O118" s="28" t="s">
        <v>80</v>
      </c>
      <c r="P118" s="29">
        <v>5.5</v>
      </c>
      <c r="Q118" s="5"/>
      <c r="R118" s="4">
        <v>0.67</v>
      </c>
      <c r="S118" s="13">
        <v>0</v>
      </c>
      <c r="T118" s="21">
        <v>51</v>
      </c>
      <c r="U118" s="21">
        <v>27</v>
      </c>
      <c r="V118" s="21">
        <v>22</v>
      </c>
      <c r="W118" s="18">
        <v>60</v>
      </c>
      <c r="X118" s="13" t="s">
        <v>141</v>
      </c>
      <c r="Y118" s="5" t="s">
        <v>82</v>
      </c>
      <c r="Z118" s="4">
        <v>3</v>
      </c>
      <c r="AA118" s="4">
        <v>3</v>
      </c>
      <c r="AB118" s="9">
        <v>0.150572858479374</v>
      </c>
      <c r="AC118" s="9">
        <v>0.000256361683990305</v>
      </c>
      <c r="AD118" s="9"/>
      <c r="AE118" s="9"/>
      <c r="AF118" s="9"/>
      <c r="AG118" s="9"/>
      <c r="AH118" s="9">
        <v>0.346332823929162</v>
      </c>
      <c r="AI118" s="9">
        <v>0.00694155213105651</v>
      </c>
      <c r="AJ118" s="4">
        <v>-0.195759965449792</v>
      </c>
      <c r="AK118" s="4">
        <v>0.00719791381504685</v>
      </c>
    </row>
    <row r="119" s="4" customFormat="1" spans="1:37">
      <c r="A119" s="4">
        <v>118</v>
      </c>
      <c r="B119" s="18">
        <v>17</v>
      </c>
      <c r="C119" s="19" t="s">
        <v>144</v>
      </c>
      <c r="D119" s="5" t="s">
        <v>140</v>
      </c>
      <c r="E119" s="9">
        <v>23.73333333</v>
      </c>
      <c r="F119" s="9">
        <v>85.53333333</v>
      </c>
      <c r="G119" s="20">
        <v>23.1</v>
      </c>
      <c r="H119" s="21">
        <v>1450</v>
      </c>
      <c r="I119" s="4">
        <v>625</v>
      </c>
      <c r="J119" s="5" t="s">
        <v>123</v>
      </c>
      <c r="K119" s="5" t="s">
        <v>78</v>
      </c>
      <c r="L119" s="4">
        <v>2016</v>
      </c>
      <c r="M119" s="4">
        <v>4</v>
      </c>
      <c r="N119" s="5" t="s">
        <v>113</v>
      </c>
      <c r="O119" s="28" t="s">
        <v>80</v>
      </c>
      <c r="P119" s="29">
        <v>5.5</v>
      </c>
      <c r="Q119" s="5"/>
      <c r="R119" s="4">
        <v>0.67</v>
      </c>
      <c r="S119" s="13">
        <v>0</v>
      </c>
      <c r="T119" s="21">
        <v>51</v>
      </c>
      <c r="U119" s="21">
        <v>27</v>
      </c>
      <c r="V119" s="21">
        <v>22</v>
      </c>
      <c r="W119" s="18">
        <v>60</v>
      </c>
      <c r="X119" s="13" t="s">
        <v>141</v>
      </c>
      <c r="Y119" s="5" t="s">
        <v>82</v>
      </c>
      <c r="Z119" s="4">
        <v>3</v>
      </c>
      <c r="AA119" s="4">
        <v>3</v>
      </c>
      <c r="AB119" s="9">
        <v>0.177983155195356</v>
      </c>
      <c r="AC119" s="9">
        <v>0.000256361683990305</v>
      </c>
      <c r="AD119" s="9"/>
      <c r="AE119" s="9"/>
      <c r="AF119" s="9"/>
      <c r="AG119" s="9"/>
      <c r="AH119" s="9">
        <v>0.0163157185484277</v>
      </c>
      <c r="AI119" s="9">
        <v>0.0069415521310565</v>
      </c>
      <c r="AJ119" s="4">
        <v>0.161667436646932</v>
      </c>
      <c r="AK119" s="4">
        <v>0.00719791381504678</v>
      </c>
    </row>
    <row r="120" s="4" customFormat="1" spans="1:35">
      <c r="A120" s="4">
        <v>119</v>
      </c>
      <c r="B120" s="18">
        <v>17</v>
      </c>
      <c r="C120" s="19" t="s">
        <v>144</v>
      </c>
      <c r="D120" s="5" t="s">
        <v>140</v>
      </c>
      <c r="E120" s="9">
        <v>23.73333333</v>
      </c>
      <c r="F120" s="9">
        <v>85.53333333</v>
      </c>
      <c r="G120" s="20">
        <v>23.1</v>
      </c>
      <c r="H120" s="21">
        <v>1450</v>
      </c>
      <c r="I120" s="4">
        <v>625</v>
      </c>
      <c r="J120" s="5" t="s">
        <v>123</v>
      </c>
      <c r="K120" s="5" t="s">
        <v>78</v>
      </c>
      <c r="L120" s="4">
        <v>2016</v>
      </c>
      <c r="M120" s="4">
        <v>4</v>
      </c>
      <c r="N120" s="5" t="s">
        <v>113</v>
      </c>
      <c r="O120" s="28" t="s">
        <v>80</v>
      </c>
      <c r="P120" s="29">
        <v>5.5</v>
      </c>
      <c r="Q120" s="5"/>
      <c r="R120" s="4">
        <v>0.67</v>
      </c>
      <c r="S120" s="13">
        <v>0</v>
      </c>
      <c r="T120" s="21">
        <v>51</v>
      </c>
      <c r="U120" s="21">
        <v>27</v>
      </c>
      <c r="V120" s="21">
        <v>22</v>
      </c>
      <c r="W120" s="18">
        <v>60</v>
      </c>
      <c r="X120" s="13" t="s">
        <v>141</v>
      </c>
      <c r="Y120" s="5" t="s">
        <v>82</v>
      </c>
      <c r="Z120" s="4">
        <v>3</v>
      </c>
      <c r="AA120" s="4">
        <v>3</v>
      </c>
      <c r="AB120" s="9">
        <v>0.311779624030842</v>
      </c>
      <c r="AC120" s="9">
        <v>0.000256361683990306</v>
      </c>
      <c r="AD120" s="9"/>
      <c r="AE120" s="9"/>
      <c r="AF120" s="9"/>
      <c r="AG120" s="9"/>
      <c r="AH120" s="9"/>
      <c r="AI120" s="9"/>
    </row>
    <row r="121" s="3" customFormat="1" spans="1:51">
      <c r="A121" s="4">
        <v>120</v>
      </c>
      <c r="B121" s="6">
        <v>18</v>
      </c>
      <c r="C121" s="24" t="s">
        <v>145</v>
      </c>
      <c r="D121" s="13" t="s">
        <v>146</v>
      </c>
      <c r="E121" s="25">
        <v>24.233333333</v>
      </c>
      <c r="F121" s="25">
        <v>102.5</v>
      </c>
      <c r="G121" s="26">
        <v>15.9</v>
      </c>
      <c r="H121" s="27">
        <v>1160</v>
      </c>
      <c r="I121" s="3">
        <v>1680</v>
      </c>
      <c r="J121" s="13" t="s">
        <v>90</v>
      </c>
      <c r="K121" s="5" t="s">
        <v>78</v>
      </c>
      <c r="L121" s="3">
        <v>2018</v>
      </c>
      <c r="M121" s="3">
        <v>8</v>
      </c>
      <c r="N121" s="13" t="s">
        <v>96</v>
      </c>
      <c r="O121" s="28" t="s">
        <v>80</v>
      </c>
      <c r="P121" s="7">
        <v>6.4</v>
      </c>
      <c r="Q121" s="3">
        <v>6.2</v>
      </c>
      <c r="R121" s="3">
        <v>0.5</v>
      </c>
      <c r="S121" s="13">
        <v>12.4</v>
      </c>
      <c r="T121" s="8">
        <v>22</v>
      </c>
      <c r="U121" s="8">
        <v>50</v>
      </c>
      <c r="V121" s="8">
        <v>28</v>
      </c>
      <c r="W121" s="6">
        <v>11</v>
      </c>
      <c r="X121" s="5" t="s">
        <v>91</v>
      </c>
      <c r="Y121" s="13" t="s">
        <v>82</v>
      </c>
      <c r="Z121" s="3">
        <v>3</v>
      </c>
      <c r="AA121" s="3">
        <v>3</v>
      </c>
      <c r="AB121" s="9">
        <v>0.00829927928980843</v>
      </c>
      <c r="AC121" s="9">
        <v>0.000223483354270205</v>
      </c>
      <c r="AD121" s="25">
        <v>0.0178051233538299</v>
      </c>
      <c r="AE121" s="25">
        <v>0.00709538985765586</v>
      </c>
      <c r="AF121" s="9">
        <v>0.00950584406402143</v>
      </c>
      <c r="AG121" s="9">
        <v>0.00731887321192605</v>
      </c>
      <c r="AH121" s="25">
        <v>0.0873030184230302</v>
      </c>
      <c r="AI121" s="25">
        <v>0.000484503428384265</v>
      </c>
      <c r="AJ121" s="4">
        <v>-0.0790037391332208</v>
      </c>
      <c r="AK121" s="4">
        <v>0.000707986782654468</v>
      </c>
      <c r="AL121" s="3">
        <v>-0.0694978950692036</v>
      </c>
      <c r="AM121" s="3">
        <v>0.00757989328604013</v>
      </c>
      <c r="AN121" s="4">
        <v>-0.0862172460831686</v>
      </c>
      <c r="AO121" s="4">
        <v>3.22050989084053e-5</v>
      </c>
      <c r="AP121" s="3">
        <v>0.155055033750516</v>
      </c>
      <c r="AQ121" s="3">
        <v>0.00292419150261105</v>
      </c>
      <c r="AR121" s="4">
        <v>0.0329445384945469</v>
      </c>
      <c r="AS121" s="4">
        <v>0.0028369423287657</v>
      </c>
      <c r="AT121" s="3">
        <v>0.0161943231707286</v>
      </c>
      <c r="AU121" s="3">
        <v>0.00220932735355748</v>
      </c>
      <c r="AV121" s="4"/>
      <c r="AW121" s="4"/>
      <c r="AX121" s="3">
        <v>-0.0677520153274847</v>
      </c>
      <c r="AY121" s="3">
        <v>0.00340869493099527</v>
      </c>
    </row>
    <row r="122" s="4" customFormat="1" spans="1:51">
      <c r="A122" s="4">
        <v>121</v>
      </c>
      <c r="B122" s="18">
        <v>19</v>
      </c>
      <c r="C122" s="19" t="s">
        <v>147</v>
      </c>
      <c r="D122" s="5" t="s">
        <v>148</v>
      </c>
      <c r="E122" s="9">
        <v>26.3319444444444</v>
      </c>
      <c r="F122" s="9">
        <v>117.614722222222</v>
      </c>
      <c r="G122" s="20">
        <v>19.1</v>
      </c>
      <c r="H122" s="21">
        <v>1750</v>
      </c>
      <c r="I122" s="4">
        <v>300</v>
      </c>
      <c r="J122" s="5" t="s">
        <v>94</v>
      </c>
      <c r="K122" s="5" t="s">
        <v>78</v>
      </c>
      <c r="L122" s="4">
        <v>2015</v>
      </c>
      <c r="M122" s="4">
        <v>4</v>
      </c>
      <c r="N122" s="5" t="s">
        <v>113</v>
      </c>
      <c r="O122" s="28" t="s">
        <v>80</v>
      </c>
      <c r="P122" s="20">
        <v>4.73</v>
      </c>
      <c r="Q122" s="5">
        <v>14.29</v>
      </c>
      <c r="R122" s="5">
        <v>1.3532196969697</v>
      </c>
      <c r="S122" s="13">
        <v>10.56</v>
      </c>
      <c r="T122" s="21">
        <v>19</v>
      </c>
      <c r="U122" s="21">
        <v>28</v>
      </c>
      <c r="V122" s="21">
        <v>53</v>
      </c>
      <c r="W122" s="18">
        <v>2</v>
      </c>
      <c r="X122" s="5" t="s">
        <v>81</v>
      </c>
      <c r="Y122" s="5" t="s">
        <v>82</v>
      </c>
      <c r="Z122" s="4">
        <v>5</v>
      </c>
      <c r="AA122" s="4">
        <v>5</v>
      </c>
      <c r="AB122" s="9">
        <v>0.186408564600608</v>
      </c>
      <c r="AC122" s="9">
        <v>0.000900916005216943</v>
      </c>
      <c r="AD122" s="9">
        <v>0.17480178946428</v>
      </c>
      <c r="AE122" s="9">
        <v>0.00150338297596663</v>
      </c>
      <c r="AF122" s="9">
        <v>-0.0116067751363271</v>
      </c>
      <c r="AG122" s="9">
        <v>0.00240429898118355</v>
      </c>
      <c r="AH122" s="9">
        <v>-0.0740541435976599</v>
      </c>
      <c r="AI122" s="9">
        <v>0.00418599154352464</v>
      </c>
      <c r="AJ122" s="4">
        <v>0.260462708198269</v>
      </c>
      <c r="AK122" s="4">
        <v>0.00508690754874157</v>
      </c>
      <c r="AL122" s="4">
        <v>0.248855933061942</v>
      </c>
      <c r="AM122" s="4">
        <v>0.00568937451949128</v>
      </c>
      <c r="AN122" s="4">
        <v>-0.0170579829045766</v>
      </c>
      <c r="AO122" s="4">
        <v>0.000327402193030571</v>
      </c>
      <c r="AP122" s="4">
        <v>-0.0645393239563218</v>
      </c>
      <c r="AQ122" s="4">
        <v>0.00861375184928067</v>
      </c>
      <c r="AR122" s="4">
        <v>0.0165427517545663</v>
      </c>
      <c r="AS122" s="4">
        <v>0.0024542617953007</v>
      </c>
      <c r="AT122" s="4"/>
      <c r="AU122" s="4"/>
      <c r="AV122" s="4"/>
      <c r="AW122" s="4"/>
      <c r="AX122" s="4">
        <v>-0.00951481964133851</v>
      </c>
      <c r="AY122" s="4">
        <v>0.0127997433928052</v>
      </c>
    </row>
    <row r="123" s="4" customFormat="1" spans="1:51">
      <c r="A123" s="4">
        <v>122</v>
      </c>
      <c r="B123" s="18">
        <v>19</v>
      </c>
      <c r="C123" s="19" t="s">
        <v>149</v>
      </c>
      <c r="D123" s="5" t="s">
        <v>148</v>
      </c>
      <c r="E123" s="9">
        <v>26.3319444444444</v>
      </c>
      <c r="F123" s="9">
        <v>117.614722222222</v>
      </c>
      <c r="G123" s="20">
        <v>19.1</v>
      </c>
      <c r="H123" s="21">
        <v>1750</v>
      </c>
      <c r="I123" s="4">
        <v>300</v>
      </c>
      <c r="J123" s="5" t="s">
        <v>94</v>
      </c>
      <c r="K123" s="5" t="s">
        <v>78</v>
      </c>
      <c r="L123" s="4">
        <v>2015</v>
      </c>
      <c r="M123" s="4">
        <v>4</v>
      </c>
      <c r="N123" s="5" t="s">
        <v>113</v>
      </c>
      <c r="O123" s="28" t="s">
        <v>80</v>
      </c>
      <c r="P123" s="20">
        <v>4.73</v>
      </c>
      <c r="Q123" s="5">
        <v>14.29</v>
      </c>
      <c r="R123" s="5">
        <v>1.3532196969697</v>
      </c>
      <c r="S123" s="13">
        <v>10.56</v>
      </c>
      <c r="T123" s="21">
        <v>19</v>
      </c>
      <c r="U123" s="21">
        <v>28</v>
      </c>
      <c r="V123" s="21">
        <v>53</v>
      </c>
      <c r="W123" s="18">
        <v>2</v>
      </c>
      <c r="X123" s="5" t="s">
        <v>81</v>
      </c>
      <c r="Y123" s="5" t="s">
        <v>82</v>
      </c>
      <c r="Z123" s="4">
        <v>5</v>
      </c>
      <c r="AA123" s="4">
        <v>5</v>
      </c>
      <c r="AB123" s="9">
        <v>0.0362211981522304</v>
      </c>
      <c r="AC123" s="9">
        <v>0.000945764892108985</v>
      </c>
      <c r="AD123" s="9">
        <v>0.179507773512567</v>
      </c>
      <c r="AE123" s="9">
        <v>0.00137618757355135</v>
      </c>
      <c r="AF123" s="9">
        <v>0.143286575360335</v>
      </c>
      <c r="AG123" s="9">
        <v>0.00232195246566033</v>
      </c>
      <c r="AH123" s="9">
        <v>-0.0524357094295265</v>
      </c>
      <c r="AI123" s="9">
        <v>0.00757226246559409</v>
      </c>
      <c r="AJ123" s="4">
        <v>0.0886569075817584</v>
      </c>
      <c r="AK123" s="4">
        <v>0.00851802735770306</v>
      </c>
      <c r="AL123" s="4">
        <v>0.231943482942094</v>
      </c>
      <c r="AM123" s="4">
        <v>0.00894845003914546</v>
      </c>
      <c r="AN123" s="4">
        <v>-0.0256973454952845</v>
      </c>
      <c r="AO123" s="4">
        <v>0.000730264455804276</v>
      </c>
      <c r="AP123" s="4">
        <v>0.0141250570888102</v>
      </c>
      <c r="AQ123" s="4">
        <v>0.00861375184928068</v>
      </c>
      <c r="AR123" s="4">
        <v>0.0440562707881001</v>
      </c>
      <c r="AS123" s="4">
        <v>0.0024542617953007</v>
      </c>
      <c r="AT123" s="4"/>
      <c r="AU123" s="4"/>
      <c r="AV123" s="4"/>
      <c r="AW123" s="4"/>
      <c r="AX123" s="4">
        <v>-0.0665607665183389</v>
      </c>
      <c r="AY123" s="4">
        <v>0.0161860143148747</v>
      </c>
    </row>
    <row r="124" s="4" customFormat="1" spans="1:51">
      <c r="A124" s="4">
        <v>123</v>
      </c>
      <c r="B124" s="18">
        <v>19</v>
      </c>
      <c r="C124" s="19" t="s">
        <v>150</v>
      </c>
      <c r="D124" s="5" t="s">
        <v>148</v>
      </c>
      <c r="E124" s="9">
        <v>26.3319444444444</v>
      </c>
      <c r="F124" s="9">
        <v>117.614722222222</v>
      </c>
      <c r="G124" s="20">
        <v>19.1</v>
      </c>
      <c r="H124" s="21">
        <v>1750</v>
      </c>
      <c r="I124" s="4">
        <v>300</v>
      </c>
      <c r="J124" s="5" t="s">
        <v>94</v>
      </c>
      <c r="K124" s="5" t="s">
        <v>78</v>
      </c>
      <c r="L124" s="4">
        <v>2016</v>
      </c>
      <c r="M124" s="4">
        <v>4</v>
      </c>
      <c r="N124" s="5" t="s">
        <v>113</v>
      </c>
      <c r="O124" s="28" t="s">
        <v>80</v>
      </c>
      <c r="P124" s="20">
        <v>4.73</v>
      </c>
      <c r="Q124" s="5">
        <v>14.29</v>
      </c>
      <c r="R124" s="5">
        <v>1.3532196969697</v>
      </c>
      <c r="S124" s="13">
        <v>10.56</v>
      </c>
      <c r="T124" s="21">
        <v>19</v>
      </c>
      <c r="U124" s="21">
        <v>28</v>
      </c>
      <c r="V124" s="21">
        <v>53</v>
      </c>
      <c r="W124" s="18">
        <v>3</v>
      </c>
      <c r="X124" s="5" t="s">
        <v>81</v>
      </c>
      <c r="Y124" s="5" t="s">
        <v>82</v>
      </c>
      <c r="Z124" s="4">
        <v>5</v>
      </c>
      <c r="AA124" s="4">
        <v>5</v>
      </c>
      <c r="AB124" s="9">
        <v>0.0354243975987835</v>
      </c>
      <c r="AC124" s="9">
        <v>0.00158537974685574</v>
      </c>
      <c r="AD124" s="9">
        <v>-0.150152025686932</v>
      </c>
      <c r="AE124" s="9">
        <v>0.00179527659121995</v>
      </c>
      <c r="AF124" s="9">
        <v>-0.185576423285712</v>
      </c>
      <c r="AG124" s="9">
        <v>0.00338065633807568</v>
      </c>
      <c r="AH124" s="9">
        <v>-0.0546320580257505</v>
      </c>
      <c r="AI124" s="9">
        <v>0.0046384705274363</v>
      </c>
      <c r="AJ124" s="4">
        <v>0.0900564556245325</v>
      </c>
      <c r="AK124" s="4">
        <v>0.00622385027429203</v>
      </c>
      <c r="AL124" s="4">
        <v>-0.0955199676611828</v>
      </c>
      <c r="AM124" s="4">
        <v>0.00643374711865626</v>
      </c>
      <c r="AN124" s="4">
        <v>-0.0116687438343774</v>
      </c>
      <c r="AO124" s="4">
        <v>0.000462153141703589</v>
      </c>
      <c r="AP124" s="4">
        <v>-0.0328738774970327</v>
      </c>
      <c r="AQ124" s="4">
        <v>0.00861375184928066</v>
      </c>
      <c r="AR124" s="4">
        <v>-0.0028611336059942</v>
      </c>
      <c r="AS124" s="4">
        <v>0.00245426179530071</v>
      </c>
      <c r="AT124" s="4"/>
      <c r="AU124" s="4"/>
      <c r="AV124" s="4"/>
      <c r="AW124" s="4"/>
      <c r="AX124" s="4">
        <v>-0.0217581805287252</v>
      </c>
      <c r="AY124" s="4">
        <v>0.0132522223767169</v>
      </c>
    </row>
    <row r="125" s="4" customFormat="1" spans="1:51">
      <c r="A125" s="4">
        <v>124</v>
      </c>
      <c r="B125" s="18">
        <v>19</v>
      </c>
      <c r="C125" s="19" t="s">
        <v>151</v>
      </c>
      <c r="D125" s="5" t="s">
        <v>148</v>
      </c>
      <c r="E125" s="9">
        <v>26.3319444444444</v>
      </c>
      <c r="F125" s="9">
        <v>117.614722222222</v>
      </c>
      <c r="G125" s="20">
        <v>19.1</v>
      </c>
      <c r="H125" s="21">
        <v>1750</v>
      </c>
      <c r="I125" s="4">
        <v>300</v>
      </c>
      <c r="J125" s="5" t="s">
        <v>94</v>
      </c>
      <c r="K125" s="5" t="s">
        <v>78</v>
      </c>
      <c r="L125" s="4">
        <v>2016</v>
      </c>
      <c r="M125" s="4">
        <v>4</v>
      </c>
      <c r="N125" s="5" t="s">
        <v>113</v>
      </c>
      <c r="O125" s="28" t="s">
        <v>80</v>
      </c>
      <c r="P125" s="20">
        <v>4.73</v>
      </c>
      <c r="Q125" s="5">
        <v>14.29</v>
      </c>
      <c r="R125" s="5">
        <v>1.3532196969697</v>
      </c>
      <c r="S125" s="13">
        <v>10.56</v>
      </c>
      <c r="T125" s="21">
        <v>19</v>
      </c>
      <c r="U125" s="21">
        <v>28</v>
      </c>
      <c r="V125" s="21">
        <v>53</v>
      </c>
      <c r="W125" s="18">
        <v>3</v>
      </c>
      <c r="X125" s="5" t="s">
        <v>81</v>
      </c>
      <c r="Y125" s="5" t="s">
        <v>82</v>
      </c>
      <c r="Z125" s="4">
        <v>5</v>
      </c>
      <c r="AA125" s="4">
        <v>5</v>
      </c>
      <c r="AB125" s="9">
        <v>-0.190043659210572</v>
      </c>
      <c r="AC125" s="9">
        <v>0.00192860132439441</v>
      </c>
      <c r="AD125" s="9">
        <v>-0.158567391154199</v>
      </c>
      <c r="AE125" s="9">
        <v>0.00130818722024066</v>
      </c>
      <c r="AF125" s="9">
        <v>0.0314762680563723</v>
      </c>
      <c r="AG125" s="9">
        <v>0.00323678854463507</v>
      </c>
      <c r="AH125" s="9">
        <v>-0.0967968198809512</v>
      </c>
      <c r="AI125" s="9">
        <v>0.00833584235300408</v>
      </c>
      <c r="AJ125" s="4">
        <v>-0.093246839329621</v>
      </c>
      <c r="AK125" s="4">
        <v>0.0102644436773985</v>
      </c>
      <c r="AL125" s="4">
        <v>-0.0617705712732483</v>
      </c>
      <c r="AM125" s="4">
        <v>0.00964402957324476</v>
      </c>
      <c r="AN125" s="4">
        <v>-0.00232288141613964</v>
      </c>
      <c r="AO125" s="4">
        <v>0.000312454762517835</v>
      </c>
      <c r="AP125" s="4">
        <v>-0.0665424115231523</v>
      </c>
      <c r="AQ125" s="4">
        <v>0.00861375184928066</v>
      </c>
      <c r="AR125" s="4">
        <v>-0.012818517759221</v>
      </c>
      <c r="AS125" s="4">
        <v>0.00245426179530071</v>
      </c>
      <c r="AT125" s="4"/>
      <c r="AU125" s="4"/>
      <c r="AV125" s="4"/>
      <c r="AW125" s="4"/>
      <c r="AX125" s="4">
        <v>-0.0302544083578023</v>
      </c>
      <c r="AY125" s="4">
        <v>0.0169495942022847</v>
      </c>
    </row>
    <row r="126" s="3" customFormat="1" spans="1:73">
      <c r="A126" s="4">
        <v>125</v>
      </c>
      <c r="B126" s="6">
        <v>20</v>
      </c>
      <c r="C126" s="24" t="s">
        <v>152</v>
      </c>
      <c r="D126" s="13" t="s">
        <v>153</v>
      </c>
      <c r="E126" s="25">
        <v>-28.2</v>
      </c>
      <c r="F126" s="25">
        <v>152.1</v>
      </c>
      <c r="G126" s="26">
        <v>17.5</v>
      </c>
      <c r="H126" s="27">
        <v>685</v>
      </c>
      <c r="I126" s="3"/>
      <c r="J126" s="13" t="s">
        <v>94</v>
      </c>
      <c r="K126" s="5" t="s">
        <v>78</v>
      </c>
      <c r="L126" s="3">
        <v>2018</v>
      </c>
      <c r="M126" s="3">
        <v>5</v>
      </c>
      <c r="N126" s="13" t="s">
        <v>108</v>
      </c>
      <c r="O126" s="28" t="s">
        <v>80</v>
      </c>
      <c r="P126" s="20"/>
      <c r="Q126" s="5"/>
      <c r="R126" s="5"/>
      <c r="S126" s="13"/>
      <c r="T126" s="21">
        <v>20</v>
      </c>
      <c r="U126" s="21">
        <v>31</v>
      </c>
      <c r="V126" s="21">
        <v>49</v>
      </c>
      <c r="W126" s="6">
        <v>50</v>
      </c>
      <c r="X126" s="13" t="s">
        <v>141</v>
      </c>
      <c r="Y126" s="13" t="s">
        <v>82</v>
      </c>
      <c r="Z126" s="3">
        <v>3</v>
      </c>
      <c r="AA126" s="3">
        <v>3</v>
      </c>
      <c r="AB126" s="9"/>
      <c r="AC126" s="9"/>
      <c r="AD126" s="25">
        <v>0.571375903998647</v>
      </c>
      <c r="AE126" s="25">
        <v>0.0605630780953321</v>
      </c>
      <c r="AF126" s="23">
        <v>-0.04228097562</v>
      </c>
      <c r="AG126" s="23">
        <v>0.3193261</v>
      </c>
      <c r="AH126" s="25"/>
      <c r="AI126" s="25"/>
      <c r="AJ126" s="4"/>
      <c r="AK126" s="4"/>
      <c r="AL126" s="3"/>
      <c r="AM126" s="3"/>
      <c r="AN126" s="4"/>
      <c r="AO126" s="4"/>
      <c r="AP126" s="3"/>
      <c r="AQ126" s="3"/>
      <c r="AR126" s="4"/>
      <c r="AS126" s="4"/>
      <c r="AT126" s="3"/>
      <c r="AU126" s="3"/>
      <c r="AV126" s="4"/>
      <c r="AW126" s="4"/>
      <c r="AX126" s="3"/>
      <c r="AY126" s="3"/>
      <c r="BP126" s="3">
        <v>0.011560822401076</v>
      </c>
      <c r="BQ126" s="3">
        <v>0.00057663117491067</v>
      </c>
      <c r="BT126" s="3">
        <v>-1.02715332468596</v>
      </c>
      <c r="BU126" s="3">
        <v>0.0621485503615178</v>
      </c>
    </row>
    <row r="127" s="3" customFormat="1" spans="1:73">
      <c r="A127" s="4">
        <v>126</v>
      </c>
      <c r="B127" s="6">
        <v>20</v>
      </c>
      <c r="C127" s="24" t="s">
        <v>152</v>
      </c>
      <c r="D127" s="13" t="s">
        <v>153</v>
      </c>
      <c r="E127" s="25">
        <v>-28.2</v>
      </c>
      <c r="F127" s="25">
        <v>152.1</v>
      </c>
      <c r="G127" s="26">
        <v>17.5</v>
      </c>
      <c r="H127" s="27">
        <v>685</v>
      </c>
      <c r="I127" s="3"/>
      <c r="J127" s="13" t="s">
        <v>94</v>
      </c>
      <c r="K127" s="5" t="s">
        <v>78</v>
      </c>
      <c r="L127" s="3">
        <v>2018</v>
      </c>
      <c r="M127" s="3">
        <v>5</v>
      </c>
      <c r="N127" s="13" t="s">
        <v>108</v>
      </c>
      <c r="O127" s="28" t="s">
        <v>80</v>
      </c>
      <c r="P127" s="20"/>
      <c r="Q127" s="5"/>
      <c r="R127" s="5"/>
      <c r="S127" s="13"/>
      <c r="T127" s="21">
        <v>20</v>
      </c>
      <c r="U127" s="21">
        <v>31</v>
      </c>
      <c r="V127" s="21">
        <v>49</v>
      </c>
      <c r="W127" s="6">
        <v>50</v>
      </c>
      <c r="X127" s="13" t="s">
        <v>141</v>
      </c>
      <c r="Y127" s="13" t="s">
        <v>82</v>
      </c>
      <c r="Z127" s="3">
        <v>3</v>
      </c>
      <c r="AA127" s="3">
        <v>3</v>
      </c>
      <c r="AB127" s="9"/>
      <c r="AC127" s="9"/>
      <c r="AD127" s="25">
        <v>1.48622423115973</v>
      </c>
      <c r="AE127" s="25">
        <v>0.0518694779328432</v>
      </c>
      <c r="AF127" s="23">
        <v>-0.46120247102</v>
      </c>
      <c r="AG127" s="23">
        <v>0.2351499</v>
      </c>
      <c r="AH127" s="25"/>
      <c r="AI127" s="25"/>
      <c r="AJ127" s="4"/>
      <c r="AK127" s="4"/>
      <c r="AL127" s="3"/>
      <c r="AM127" s="3"/>
      <c r="AN127" s="4"/>
      <c r="AO127" s="4"/>
      <c r="AP127" s="3"/>
      <c r="AQ127" s="3"/>
      <c r="AR127" s="4"/>
      <c r="AS127" s="4"/>
      <c r="AT127" s="3"/>
      <c r="AU127" s="3"/>
      <c r="AV127" s="4"/>
      <c r="AW127" s="4"/>
      <c r="AX127" s="3"/>
      <c r="AY127" s="3"/>
      <c r="BP127" s="3">
        <v>0.0229895182246988</v>
      </c>
      <c r="BQ127" s="3">
        <v>0.000868982861706201</v>
      </c>
      <c r="BT127" s="3">
        <v>-0.908093964669976</v>
      </c>
      <c r="BU127" s="3">
        <v>0.0661896727436406</v>
      </c>
    </row>
    <row r="128" s="4" customFormat="1" spans="1:53">
      <c r="A128" s="4">
        <v>127</v>
      </c>
      <c r="B128" s="18">
        <v>21</v>
      </c>
      <c r="C128" s="19" t="s">
        <v>154</v>
      </c>
      <c r="D128" s="5" t="s">
        <v>155</v>
      </c>
      <c r="E128" s="9">
        <v>42.4</v>
      </c>
      <c r="F128" s="9">
        <v>128.466666666667</v>
      </c>
      <c r="G128" s="20">
        <v>3.6</v>
      </c>
      <c r="H128" s="21">
        <v>790</v>
      </c>
      <c r="I128" s="4"/>
      <c r="J128" s="5" t="s">
        <v>94</v>
      </c>
      <c r="K128" s="5" t="s">
        <v>78</v>
      </c>
      <c r="L128" s="4">
        <v>2018</v>
      </c>
      <c r="M128" s="4">
        <v>5</v>
      </c>
      <c r="N128" s="5" t="s">
        <v>113</v>
      </c>
      <c r="O128" s="30"/>
      <c r="P128" s="20">
        <v>5.16</v>
      </c>
      <c r="Q128" s="5">
        <v>41.35</v>
      </c>
      <c r="R128" s="4">
        <v>2.24484256243214</v>
      </c>
      <c r="S128" s="13">
        <v>18.42</v>
      </c>
      <c r="T128" s="21">
        <v>26</v>
      </c>
      <c r="U128" s="21">
        <v>46</v>
      </c>
      <c r="V128" s="21">
        <v>28</v>
      </c>
      <c r="W128" s="18">
        <v>10</v>
      </c>
      <c r="X128" s="5" t="s">
        <v>91</v>
      </c>
      <c r="Y128" s="5" t="s">
        <v>82</v>
      </c>
      <c r="Z128" s="4">
        <v>3</v>
      </c>
      <c r="AA128" s="4">
        <v>3</v>
      </c>
      <c r="AB128" s="9">
        <v>-0.0862031723635579</v>
      </c>
      <c r="AC128" s="9">
        <v>0.0044422522221159</v>
      </c>
      <c r="AD128" s="9">
        <v>-0.0791369239103685</v>
      </c>
      <c r="AE128" s="9">
        <v>0.00347960936739132</v>
      </c>
      <c r="AF128" s="9">
        <v>0.00706624845319326</v>
      </c>
      <c r="AG128" s="9">
        <v>0.00792186158950719</v>
      </c>
      <c r="AH128" s="9">
        <v>-0.0133903400595844</v>
      </c>
      <c r="AI128" s="9">
        <v>0.000113045616099055</v>
      </c>
      <c r="AJ128" s="4">
        <v>-0.072812832303973</v>
      </c>
      <c r="AK128" s="4">
        <v>0.00455529783821495</v>
      </c>
      <c r="AL128" s="4">
        <v>-0.0657465838507834</v>
      </c>
      <c r="AM128" s="4">
        <v>0.00359265498349037</v>
      </c>
      <c r="AN128" s="4">
        <v>-0.0619578745440797</v>
      </c>
      <c r="AO128" s="4">
        <v>0.000100735263030968</v>
      </c>
      <c r="AP128" s="4">
        <v>0.0310120702595421</v>
      </c>
      <c r="AQ128" s="4">
        <v>0.00866214892849814</v>
      </c>
      <c r="AR128" s="4"/>
      <c r="AS128" s="4"/>
      <c r="AT128" s="4"/>
      <c r="AU128" s="4"/>
      <c r="AV128" s="4">
        <v>-0.215456068538609</v>
      </c>
      <c r="AW128" s="4">
        <v>0.000741427200795666</v>
      </c>
      <c r="AX128" s="4">
        <v>-0.0444024103191274</v>
      </c>
      <c r="AY128" s="4">
        <v>0.00877519454459721</v>
      </c>
      <c r="AZ128" s="4">
        <v>-0.0384730964230677</v>
      </c>
      <c r="BA128" s="4">
        <v>0.0041757577659659</v>
      </c>
    </row>
    <row r="129" s="4" customFormat="1" spans="1:53">
      <c r="A129" s="4">
        <v>128</v>
      </c>
      <c r="B129" s="18">
        <v>21</v>
      </c>
      <c r="C129" s="19" t="s">
        <v>154</v>
      </c>
      <c r="D129" s="5" t="s">
        <v>155</v>
      </c>
      <c r="E129" s="9">
        <v>42.4</v>
      </c>
      <c r="F129" s="9">
        <v>128.466666666667</v>
      </c>
      <c r="G129" s="20">
        <v>3.6</v>
      </c>
      <c r="H129" s="21">
        <v>790</v>
      </c>
      <c r="I129" s="4"/>
      <c r="J129" s="5" t="s">
        <v>94</v>
      </c>
      <c r="K129" s="5" t="s">
        <v>78</v>
      </c>
      <c r="L129" s="4">
        <v>2018</v>
      </c>
      <c r="M129" s="4">
        <v>7</v>
      </c>
      <c r="N129" s="5" t="s">
        <v>96</v>
      </c>
      <c r="O129" s="30"/>
      <c r="P129" s="20">
        <v>5.16</v>
      </c>
      <c r="Q129" s="5">
        <v>42.68</v>
      </c>
      <c r="R129" s="4">
        <v>2.31704668838219</v>
      </c>
      <c r="S129" s="13">
        <v>18.42</v>
      </c>
      <c r="T129" s="21">
        <v>26</v>
      </c>
      <c r="U129" s="21">
        <v>46</v>
      </c>
      <c r="V129" s="21">
        <v>28</v>
      </c>
      <c r="W129" s="18">
        <v>10</v>
      </c>
      <c r="X129" s="5" t="s">
        <v>91</v>
      </c>
      <c r="Y129" s="5" t="s">
        <v>82</v>
      </c>
      <c r="Z129" s="4">
        <v>3</v>
      </c>
      <c r="AA129" s="4">
        <v>3</v>
      </c>
      <c r="AB129" s="9">
        <v>-0.0460253430981966</v>
      </c>
      <c r="AC129" s="9">
        <v>0.00260624241467079</v>
      </c>
      <c r="AD129" s="9">
        <v>-0.102585885530082</v>
      </c>
      <c r="AE129" s="9">
        <v>0.00399610288669041</v>
      </c>
      <c r="AF129" s="9">
        <v>-0.056560542431886</v>
      </c>
      <c r="AG129" s="9">
        <v>0.00660234530136121</v>
      </c>
      <c r="AH129" s="9">
        <v>0.00304129372330227</v>
      </c>
      <c r="AI129" s="9">
        <v>9.44380139355008e-5</v>
      </c>
      <c r="AJ129" s="4">
        <v>-0.0490666368214994</v>
      </c>
      <c r="AK129" s="4">
        <v>0.00270068042860628</v>
      </c>
      <c r="AL129" s="4">
        <v>-0.105627179253386</v>
      </c>
      <c r="AM129" s="4">
        <v>0.00409054090062594</v>
      </c>
      <c r="AN129" s="4">
        <v>0.0267702410646048</v>
      </c>
      <c r="AO129" s="4">
        <v>3.60448469068852e-5</v>
      </c>
      <c r="AP129" s="4">
        <v>0.042348872755721</v>
      </c>
      <c r="AQ129" s="4">
        <v>0.00526098385823366</v>
      </c>
      <c r="AR129" s="4"/>
      <c r="AS129" s="4"/>
      <c r="AT129" s="4"/>
      <c r="AU129" s="4"/>
      <c r="AV129" s="4">
        <v>-0.0715557284461917</v>
      </c>
      <c r="AW129" s="4">
        <v>0.000401078365764742</v>
      </c>
      <c r="AX129" s="4">
        <v>-0.0393075790324186</v>
      </c>
      <c r="AY129" s="4">
        <v>0.00535542187216917</v>
      </c>
      <c r="AZ129" s="4">
        <v>-0.121575042802651</v>
      </c>
      <c r="BA129" s="4">
        <v>0.0041757577659659</v>
      </c>
    </row>
    <row r="130" s="4" customFormat="1" spans="1:53">
      <c r="A130" s="4">
        <v>129</v>
      </c>
      <c r="B130" s="18">
        <v>21</v>
      </c>
      <c r="C130" s="19" t="s">
        <v>154</v>
      </c>
      <c r="D130" s="5" t="s">
        <v>155</v>
      </c>
      <c r="E130" s="9">
        <v>42.4</v>
      </c>
      <c r="F130" s="9">
        <v>128.466666666667</v>
      </c>
      <c r="G130" s="20">
        <v>3.6</v>
      </c>
      <c r="H130" s="21">
        <v>790</v>
      </c>
      <c r="I130" s="4"/>
      <c r="J130" s="5" t="s">
        <v>94</v>
      </c>
      <c r="K130" s="5" t="s">
        <v>78</v>
      </c>
      <c r="L130" s="4">
        <v>2018</v>
      </c>
      <c r="M130" s="4">
        <v>9</v>
      </c>
      <c r="N130" s="5" t="s">
        <v>108</v>
      </c>
      <c r="O130" s="30"/>
      <c r="P130" s="20">
        <v>5.16</v>
      </c>
      <c r="Q130" s="5">
        <v>47.36</v>
      </c>
      <c r="R130" s="4">
        <v>2.57111834961998</v>
      </c>
      <c r="S130" s="13">
        <v>18.42</v>
      </c>
      <c r="T130" s="21">
        <v>26</v>
      </c>
      <c r="U130" s="21">
        <v>46</v>
      </c>
      <c r="V130" s="21">
        <v>28</v>
      </c>
      <c r="W130" s="18">
        <v>10</v>
      </c>
      <c r="X130" s="5" t="s">
        <v>91</v>
      </c>
      <c r="Y130" s="5" t="s">
        <v>82</v>
      </c>
      <c r="Z130" s="4">
        <v>3</v>
      </c>
      <c r="AA130" s="4">
        <v>3</v>
      </c>
      <c r="AB130" s="9">
        <v>-0.022222789433196</v>
      </c>
      <c r="AC130" s="9">
        <v>0.00191750236332127</v>
      </c>
      <c r="AD130" s="9">
        <v>-0.0710506394720485</v>
      </c>
      <c r="AE130" s="9">
        <v>0.0183394467373551</v>
      </c>
      <c r="AF130" s="9">
        <v>-0.0488278500388566</v>
      </c>
      <c r="AG130" s="9">
        <v>0.0202569491006764</v>
      </c>
      <c r="AH130" s="9">
        <v>-0.0717718257310912</v>
      </c>
      <c r="AI130" s="9">
        <v>0.000337279271408644</v>
      </c>
      <c r="AJ130" s="4">
        <v>0.0495490362978946</v>
      </c>
      <c r="AK130" s="4">
        <v>0.00225478163472992</v>
      </c>
      <c r="AL130" s="4">
        <v>0.000721186259040682</v>
      </c>
      <c r="AM130" s="4">
        <v>0.0186767260087638</v>
      </c>
      <c r="AN130" s="4">
        <v>-0.0997775078126655</v>
      </c>
      <c r="AO130" s="4">
        <v>0.000330870086544984</v>
      </c>
      <c r="AP130" s="4">
        <v>-0.0364090249896876</v>
      </c>
      <c r="AQ130" s="4">
        <v>0.0210794973648505</v>
      </c>
      <c r="AR130" s="4"/>
      <c r="AS130" s="4"/>
      <c r="AT130" s="4"/>
      <c r="AU130" s="4"/>
      <c r="AV130" s="4">
        <v>-0.0863933908805427</v>
      </c>
      <c r="AW130" s="4">
        <v>0.00115078260726698</v>
      </c>
      <c r="AX130" s="4">
        <v>-0.0353628007414023</v>
      </c>
      <c r="AY130" s="4">
        <v>0.0214167766362591</v>
      </c>
      <c r="AZ130" s="4">
        <v>-0.152814388806476</v>
      </c>
      <c r="BA130" s="4">
        <v>0.00417575776596591</v>
      </c>
    </row>
    <row r="131" s="4" customFormat="1" spans="1:53">
      <c r="A131" s="4">
        <v>130</v>
      </c>
      <c r="B131" s="18">
        <v>21</v>
      </c>
      <c r="C131" s="19" t="s">
        <v>154</v>
      </c>
      <c r="D131" s="5" t="s">
        <v>155</v>
      </c>
      <c r="E131" s="9">
        <v>42.4</v>
      </c>
      <c r="F131" s="9">
        <v>128.466666666667</v>
      </c>
      <c r="G131" s="20">
        <v>3.6</v>
      </c>
      <c r="H131" s="21">
        <v>790</v>
      </c>
      <c r="I131" s="4"/>
      <c r="J131" s="5" t="s">
        <v>83</v>
      </c>
      <c r="K131" s="5" t="s">
        <v>78</v>
      </c>
      <c r="L131" s="4">
        <v>2018</v>
      </c>
      <c r="M131" s="4">
        <v>5</v>
      </c>
      <c r="N131" s="5" t="s">
        <v>113</v>
      </c>
      <c r="O131" s="30"/>
      <c r="P131" s="20">
        <v>5.09</v>
      </c>
      <c r="Q131" s="5">
        <v>41.35</v>
      </c>
      <c r="R131" s="5">
        <v>1.7993907745866</v>
      </c>
      <c r="S131" s="13">
        <v>22.98</v>
      </c>
      <c r="T131" s="21">
        <v>26</v>
      </c>
      <c r="U131" s="21">
        <v>46</v>
      </c>
      <c r="V131" s="21">
        <v>28</v>
      </c>
      <c r="W131" s="18">
        <v>10</v>
      </c>
      <c r="X131" s="5" t="s">
        <v>91</v>
      </c>
      <c r="Y131" s="5" t="s">
        <v>82</v>
      </c>
      <c r="Z131" s="4">
        <v>3</v>
      </c>
      <c r="AA131" s="4">
        <v>3</v>
      </c>
      <c r="AB131" s="9">
        <v>-0.175068691009782</v>
      </c>
      <c r="AC131" s="9">
        <v>0.00227770427119359</v>
      </c>
      <c r="AD131" s="9">
        <v>-0.284809179854084</v>
      </c>
      <c r="AE131" s="9">
        <v>0.00175538095922797</v>
      </c>
      <c r="AF131" s="9">
        <v>-0.109740488844299</v>
      </c>
      <c r="AG131" s="9">
        <v>0.00403308523042154</v>
      </c>
      <c r="AH131" s="9">
        <v>-0.046784920875231</v>
      </c>
      <c r="AI131" s="9">
        <v>0.000246047927036877</v>
      </c>
      <c r="AJ131" s="4">
        <v>-0.128283770134551</v>
      </c>
      <c r="AK131" s="4">
        <v>0.00252375219823046</v>
      </c>
      <c r="AL131" s="4">
        <v>-0.238024258978855</v>
      </c>
      <c r="AM131" s="4">
        <v>0.00200142888626485</v>
      </c>
      <c r="AN131" s="4">
        <v>-0.083979720632876</v>
      </c>
      <c r="AO131" s="4">
        <v>7.02125536418194e-5</v>
      </c>
      <c r="AP131" s="4">
        <v>0.0901090753287155</v>
      </c>
      <c r="AQ131" s="4">
        <v>0.0126592476149585</v>
      </c>
      <c r="AR131" s="4"/>
      <c r="AS131" s="4"/>
      <c r="AT131" s="4"/>
      <c r="AU131" s="4"/>
      <c r="AV131" s="4">
        <v>-0.4001368007452</v>
      </c>
      <c r="AW131" s="4">
        <v>0.000260539472953262</v>
      </c>
      <c r="AX131" s="4">
        <v>-0.136893996203951</v>
      </c>
      <c r="AY131" s="4">
        <v>0.0129052955419955</v>
      </c>
      <c r="AZ131" s="4">
        <v>-0.0544628223164576</v>
      </c>
      <c r="BA131" s="4">
        <v>0.00417575776596591</v>
      </c>
    </row>
    <row r="132" s="4" customFormat="1" spans="1:53">
      <c r="A132" s="4">
        <v>131</v>
      </c>
      <c r="B132" s="18">
        <v>21</v>
      </c>
      <c r="C132" s="19" t="s">
        <v>154</v>
      </c>
      <c r="D132" s="5" t="s">
        <v>155</v>
      </c>
      <c r="E132" s="9">
        <v>42.4</v>
      </c>
      <c r="F132" s="9">
        <v>128.466666666667</v>
      </c>
      <c r="G132" s="20">
        <v>3.6</v>
      </c>
      <c r="H132" s="21">
        <v>790</v>
      </c>
      <c r="I132" s="4"/>
      <c r="J132" s="5" t="s">
        <v>83</v>
      </c>
      <c r="K132" s="5" t="s">
        <v>78</v>
      </c>
      <c r="L132" s="4">
        <v>2018</v>
      </c>
      <c r="M132" s="4">
        <v>7</v>
      </c>
      <c r="N132" s="5" t="s">
        <v>96</v>
      </c>
      <c r="O132" s="30"/>
      <c r="P132" s="20">
        <v>5.09</v>
      </c>
      <c r="Q132" s="5">
        <v>42.68</v>
      </c>
      <c r="R132" s="5">
        <v>1.85726718885988</v>
      </c>
      <c r="S132" s="13">
        <v>22.98</v>
      </c>
      <c r="T132" s="21">
        <v>26</v>
      </c>
      <c r="U132" s="21">
        <v>46</v>
      </c>
      <c r="V132" s="21">
        <v>28</v>
      </c>
      <c r="W132" s="18">
        <v>10</v>
      </c>
      <c r="X132" s="5" t="s">
        <v>91</v>
      </c>
      <c r="Y132" s="5" t="s">
        <v>82</v>
      </c>
      <c r="Z132" s="4">
        <v>3</v>
      </c>
      <c r="AA132" s="4">
        <v>3</v>
      </c>
      <c r="AB132" s="9">
        <v>-0.110162333186405</v>
      </c>
      <c r="AC132" s="9">
        <v>0.00181229133404125</v>
      </c>
      <c r="AD132" s="9">
        <v>-0.157932207111838</v>
      </c>
      <c r="AE132" s="9">
        <v>0.0115280062307176</v>
      </c>
      <c r="AF132" s="9">
        <v>-0.0477698739254291</v>
      </c>
      <c r="AG132" s="9">
        <v>0.0133402975647588</v>
      </c>
      <c r="AH132" s="9">
        <v>-0.0450483450234366</v>
      </c>
      <c r="AI132" s="9">
        <v>0.000134932989378518</v>
      </c>
      <c r="AJ132" s="4">
        <v>-0.0651139881629693</v>
      </c>
      <c r="AK132" s="4">
        <v>0.00194722432341977</v>
      </c>
      <c r="AL132" s="4">
        <v>-0.112883862088401</v>
      </c>
      <c r="AM132" s="4">
        <v>0.0116629392200961</v>
      </c>
      <c r="AN132" s="4">
        <v>-0.00987174847915412</v>
      </c>
      <c r="AO132" s="4">
        <v>4.39752525266184e-5</v>
      </c>
      <c r="AP132" s="4">
        <v>0.192007902630413</v>
      </c>
      <c r="AQ132" s="4">
        <v>0.00578262151739918</v>
      </c>
      <c r="AR132" s="4"/>
      <c r="AS132" s="4"/>
      <c r="AT132" s="4"/>
      <c r="AU132" s="4"/>
      <c r="AV132" s="4">
        <v>-0.409793954814814</v>
      </c>
      <c r="AW132" s="4">
        <v>0.00406990825627965</v>
      </c>
      <c r="AX132" s="4">
        <v>-0.23705624765385</v>
      </c>
      <c r="AY132" s="4">
        <v>0.00591755450677768</v>
      </c>
      <c r="AZ132" s="4">
        <v>-0.0517107047671933</v>
      </c>
      <c r="BA132" s="4">
        <v>0.00417575776596591</v>
      </c>
    </row>
    <row r="133" s="4" customFormat="1" spans="1:53">
      <c r="A133" s="4">
        <v>132</v>
      </c>
      <c r="B133" s="18">
        <v>21</v>
      </c>
      <c r="C133" s="19" t="s">
        <v>154</v>
      </c>
      <c r="D133" s="5" t="s">
        <v>155</v>
      </c>
      <c r="E133" s="9">
        <v>42.4</v>
      </c>
      <c r="F133" s="9">
        <v>128.466666666667</v>
      </c>
      <c r="G133" s="20">
        <v>3.6</v>
      </c>
      <c r="H133" s="21">
        <v>790</v>
      </c>
      <c r="I133" s="4"/>
      <c r="J133" s="5" t="s">
        <v>83</v>
      </c>
      <c r="K133" s="5" t="s">
        <v>78</v>
      </c>
      <c r="L133" s="4">
        <v>2018</v>
      </c>
      <c r="M133" s="4">
        <v>9</v>
      </c>
      <c r="N133" s="5" t="s">
        <v>108</v>
      </c>
      <c r="O133" s="30"/>
      <c r="P133" s="20">
        <v>5.09</v>
      </c>
      <c r="Q133" s="5">
        <v>47.36</v>
      </c>
      <c r="R133" s="5">
        <v>2.0609225413403</v>
      </c>
      <c r="S133" s="13">
        <v>22.98</v>
      </c>
      <c r="T133" s="21">
        <v>26</v>
      </c>
      <c r="U133" s="21">
        <v>46</v>
      </c>
      <c r="V133" s="21">
        <v>28</v>
      </c>
      <c r="W133" s="18">
        <v>10</v>
      </c>
      <c r="X133" s="5" t="s">
        <v>91</v>
      </c>
      <c r="Y133" s="5" t="s">
        <v>82</v>
      </c>
      <c r="Z133" s="4">
        <v>3</v>
      </c>
      <c r="AA133" s="4">
        <v>3</v>
      </c>
      <c r="AB133" s="9">
        <v>-0.0842158154879292</v>
      </c>
      <c r="AC133" s="9">
        <v>0.00739264074755067</v>
      </c>
      <c r="AD133" s="9">
        <v>-0.188168692677061</v>
      </c>
      <c r="AE133" s="9">
        <v>0.00940840009537788</v>
      </c>
      <c r="AF133" s="9">
        <v>-0.103952877189132</v>
      </c>
      <c r="AG133" s="9">
        <v>0.0168010408429286</v>
      </c>
      <c r="AH133" s="9">
        <v>-0.0799723272674124</v>
      </c>
      <c r="AI133" s="9">
        <v>0.000959176050941733</v>
      </c>
      <c r="AJ133" s="4">
        <v>-0.00424348822051488</v>
      </c>
      <c r="AK133" s="4">
        <v>0.00835181679849243</v>
      </c>
      <c r="AL133" s="4">
        <v>-0.108196365409651</v>
      </c>
      <c r="AM133" s="4">
        <v>0.0103675761463196</v>
      </c>
      <c r="AN133" s="4">
        <v>-0.0258720898255953</v>
      </c>
      <c r="AO133" s="4">
        <v>5.38437796576697e-5</v>
      </c>
      <c r="AP133" s="4">
        <v>0.0435385695609026</v>
      </c>
      <c r="AQ133" s="4">
        <v>0.985027920351501</v>
      </c>
      <c r="AR133" s="4"/>
      <c r="AS133" s="4"/>
      <c r="AT133" s="4"/>
      <c r="AU133" s="4"/>
      <c r="AV133" s="4">
        <v>-0.195549000535478</v>
      </c>
      <c r="AW133" s="4">
        <v>0.000522154671009473</v>
      </c>
      <c r="AX133" s="4">
        <v>-0.123510896828316</v>
      </c>
      <c r="AY133" s="4">
        <v>0.98598709640244</v>
      </c>
      <c r="AZ133" s="4">
        <v>-0.120715992091459</v>
      </c>
      <c r="BA133" s="4">
        <v>0.0041757577659659</v>
      </c>
    </row>
    <row r="134" s="4" customFormat="1" spans="1:53">
      <c r="A134" s="4">
        <v>133</v>
      </c>
      <c r="B134" s="18">
        <v>21</v>
      </c>
      <c r="C134" s="19" t="s">
        <v>154</v>
      </c>
      <c r="D134" s="5" t="s">
        <v>155</v>
      </c>
      <c r="E134" s="9">
        <v>42.4</v>
      </c>
      <c r="F134" s="9">
        <v>128.466666666667</v>
      </c>
      <c r="G134" s="20">
        <v>3.6</v>
      </c>
      <c r="H134" s="21">
        <v>790</v>
      </c>
      <c r="I134" s="4"/>
      <c r="J134" s="5" t="s">
        <v>94</v>
      </c>
      <c r="K134" s="5" t="s">
        <v>78</v>
      </c>
      <c r="L134" s="4">
        <v>2018</v>
      </c>
      <c r="M134" s="4">
        <v>5</v>
      </c>
      <c r="N134" s="5" t="s">
        <v>113</v>
      </c>
      <c r="O134" s="30"/>
      <c r="P134" s="20">
        <v>5.17</v>
      </c>
      <c r="Q134" s="5">
        <v>41.35</v>
      </c>
      <c r="R134" s="5">
        <v>2.54618226600985</v>
      </c>
      <c r="S134" s="13">
        <v>16.24</v>
      </c>
      <c r="T134" s="21">
        <v>26</v>
      </c>
      <c r="U134" s="21">
        <v>46</v>
      </c>
      <c r="V134" s="21">
        <v>28</v>
      </c>
      <c r="W134" s="18">
        <v>10</v>
      </c>
      <c r="X134" s="5" t="s">
        <v>91</v>
      </c>
      <c r="Y134" s="5" t="s">
        <v>82</v>
      </c>
      <c r="Z134" s="4">
        <v>3</v>
      </c>
      <c r="AA134" s="4">
        <v>3</v>
      </c>
      <c r="AB134" s="9">
        <v>-0.109148952911362</v>
      </c>
      <c r="AC134" s="9">
        <v>0.00585126296187938</v>
      </c>
      <c r="AD134" s="9">
        <v>-0.328081646921589</v>
      </c>
      <c r="AE134" s="9">
        <v>0.00346746864653993</v>
      </c>
      <c r="AF134" s="9">
        <v>-0.218932694010228</v>
      </c>
      <c r="AG134" s="9">
        <v>0.00931873160841931</v>
      </c>
      <c r="AH134" s="9">
        <v>-0.0404693763265402</v>
      </c>
      <c r="AI134" s="9">
        <v>0.000258775662154627</v>
      </c>
      <c r="AJ134" s="4">
        <v>-0.0686795765848248</v>
      </c>
      <c r="AK134" s="4">
        <v>0.00611003862403404</v>
      </c>
      <c r="AL134" s="4">
        <v>-0.287612270595046</v>
      </c>
      <c r="AM134" s="4">
        <v>0.00372624430869452</v>
      </c>
      <c r="AN134" s="4">
        <v>-0.0334347760862373</v>
      </c>
      <c r="AO134" s="4">
        <v>0.0001849142364008</v>
      </c>
      <c r="AP134" s="4">
        <v>0.0443053636313784</v>
      </c>
      <c r="AQ134" s="4">
        <v>0.133647724162451</v>
      </c>
      <c r="AR134" s="4"/>
      <c r="AS134" s="4"/>
      <c r="AT134" s="4"/>
      <c r="AU134" s="4"/>
      <c r="AV134" s="4">
        <v>-0.0765340363253807</v>
      </c>
      <c r="AW134" s="4">
        <v>0.000886145198824142</v>
      </c>
      <c r="AX134" s="4">
        <v>-0.0847747399579171</v>
      </c>
      <c r="AY134" s="4">
        <v>0.133906499824605</v>
      </c>
      <c r="AZ134" s="4">
        <v>-0.0436222174056725</v>
      </c>
      <c r="BA134" s="4">
        <v>0.00417575776596591</v>
      </c>
    </row>
    <row r="135" s="4" customFormat="1" spans="1:53">
      <c r="A135" s="4">
        <v>134</v>
      </c>
      <c r="B135" s="18">
        <v>21</v>
      </c>
      <c r="C135" s="19" t="s">
        <v>154</v>
      </c>
      <c r="D135" s="5" t="s">
        <v>155</v>
      </c>
      <c r="E135" s="9">
        <v>42.4</v>
      </c>
      <c r="F135" s="9">
        <v>128.466666666667</v>
      </c>
      <c r="G135" s="20">
        <v>3.6</v>
      </c>
      <c r="H135" s="21">
        <v>790</v>
      </c>
      <c r="I135" s="4"/>
      <c r="J135" s="5" t="s">
        <v>94</v>
      </c>
      <c r="K135" s="5" t="s">
        <v>78</v>
      </c>
      <c r="L135" s="4">
        <v>2018</v>
      </c>
      <c r="M135" s="4">
        <v>7</v>
      </c>
      <c r="N135" s="5" t="s">
        <v>96</v>
      </c>
      <c r="O135" s="30"/>
      <c r="P135" s="20">
        <v>5.17</v>
      </c>
      <c r="Q135" s="5">
        <v>42.68</v>
      </c>
      <c r="R135" s="5">
        <v>2.62807881773399</v>
      </c>
      <c r="S135" s="13">
        <v>16.24</v>
      </c>
      <c r="T135" s="21">
        <v>26</v>
      </c>
      <c r="U135" s="21">
        <v>46</v>
      </c>
      <c r="V135" s="21">
        <v>28</v>
      </c>
      <c r="W135" s="18">
        <v>10</v>
      </c>
      <c r="X135" s="5" t="s">
        <v>91</v>
      </c>
      <c r="Y135" s="5" t="s">
        <v>82</v>
      </c>
      <c r="Z135" s="4">
        <v>3</v>
      </c>
      <c r="AA135" s="4">
        <v>3</v>
      </c>
      <c r="AB135" s="9">
        <v>-0.0880159391480426</v>
      </c>
      <c r="AC135" s="9">
        <v>0.00119737210055113</v>
      </c>
      <c r="AD135" s="9">
        <v>-0.176935653311744</v>
      </c>
      <c r="AE135" s="9">
        <v>0.00298967965156927</v>
      </c>
      <c r="AF135" s="9">
        <v>-0.0889197141636973</v>
      </c>
      <c r="AG135" s="9">
        <v>0.00418705175212039</v>
      </c>
      <c r="AH135" s="9">
        <v>-0.0331100865355538</v>
      </c>
      <c r="AI135" s="9">
        <v>0.000147899157585417</v>
      </c>
      <c r="AJ135" s="4">
        <v>-0.054905852612486</v>
      </c>
      <c r="AK135" s="4">
        <v>0.00134527125813653</v>
      </c>
      <c r="AL135" s="4">
        <v>-0.14382556677619</v>
      </c>
      <c r="AM135" s="4">
        <v>0.00313757880915469</v>
      </c>
      <c r="AN135" s="4">
        <v>0.00962471337420947</v>
      </c>
      <c r="AO135" s="4">
        <v>0.000190590723827584</v>
      </c>
      <c r="AP135" s="4">
        <v>0.0154645836130019</v>
      </c>
      <c r="AQ135" s="4">
        <v>0.0480429701459597</v>
      </c>
      <c r="AR135" s="4"/>
      <c r="AS135" s="4"/>
      <c r="AT135" s="4"/>
      <c r="AU135" s="4"/>
      <c r="AV135" s="4">
        <v>-0.202790870431623</v>
      </c>
      <c r="AW135" s="4">
        <v>0.00341574051192401</v>
      </c>
      <c r="AX135" s="4">
        <v>-0.048574670148557</v>
      </c>
      <c r="AY135" s="4">
        <v>0.0481908693035452</v>
      </c>
      <c r="AZ135" s="4">
        <v>-0.0541334761308375</v>
      </c>
      <c r="BA135" s="4">
        <v>0.0041757577659659</v>
      </c>
    </row>
    <row r="136" s="4" customFormat="1" spans="1:53">
      <c r="A136" s="4">
        <v>135</v>
      </c>
      <c r="B136" s="18">
        <v>21</v>
      </c>
      <c r="C136" s="19" t="s">
        <v>154</v>
      </c>
      <c r="D136" s="5" t="s">
        <v>155</v>
      </c>
      <c r="E136" s="9">
        <v>42.4</v>
      </c>
      <c r="F136" s="9">
        <v>128.466666666667</v>
      </c>
      <c r="G136" s="20">
        <v>3.6</v>
      </c>
      <c r="H136" s="21">
        <v>790</v>
      </c>
      <c r="I136" s="4"/>
      <c r="J136" s="5" t="s">
        <v>94</v>
      </c>
      <c r="K136" s="5" t="s">
        <v>78</v>
      </c>
      <c r="L136" s="4">
        <v>2018</v>
      </c>
      <c r="M136" s="4">
        <v>9</v>
      </c>
      <c r="N136" s="5" t="s">
        <v>108</v>
      </c>
      <c r="O136" s="30"/>
      <c r="P136" s="20">
        <v>5.17</v>
      </c>
      <c r="Q136" s="5">
        <v>47.36</v>
      </c>
      <c r="R136" s="5">
        <v>2.91625615763547</v>
      </c>
      <c r="S136" s="13">
        <v>16.24</v>
      </c>
      <c r="T136" s="21">
        <v>26</v>
      </c>
      <c r="U136" s="21">
        <v>46</v>
      </c>
      <c r="V136" s="21">
        <v>28</v>
      </c>
      <c r="W136" s="18">
        <v>10</v>
      </c>
      <c r="X136" s="5" t="s">
        <v>91</v>
      </c>
      <c r="Y136" s="5" t="s">
        <v>82</v>
      </c>
      <c r="Z136" s="4">
        <v>3</v>
      </c>
      <c r="AA136" s="4">
        <v>3</v>
      </c>
      <c r="AB136" s="9">
        <v>-0.0400489407287684</v>
      </c>
      <c r="AC136" s="9">
        <v>0.00192163993473564</v>
      </c>
      <c r="AD136" s="9">
        <v>-0.101621594679677</v>
      </c>
      <c r="AE136" s="9">
        <v>0.00926678659405173</v>
      </c>
      <c r="AF136" s="9">
        <v>-0.0615726539509084</v>
      </c>
      <c r="AG136" s="9">
        <v>0.0111884265287873</v>
      </c>
      <c r="AH136" s="9">
        <v>-0.094254993466048</v>
      </c>
      <c r="AI136" s="9">
        <v>0.000703523580896583</v>
      </c>
      <c r="AJ136" s="4">
        <v>0.0542060527372803</v>
      </c>
      <c r="AK136" s="4">
        <v>0.00262516351563223</v>
      </c>
      <c r="AL136" s="4">
        <v>-0.00736660121362676</v>
      </c>
      <c r="AM136" s="4">
        <v>0.00997031017494833</v>
      </c>
      <c r="AN136" s="4">
        <v>-0.00387597384469285</v>
      </c>
      <c r="AO136" s="4">
        <v>0.000190892053977071</v>
      </c>
      <c r="AP136" s="4">
        <v>-0.0300448256395871</v>
      </c>
      <c r="AQ136" s="4">
        <v>0.0790514382275439</v>
      </c>
      <c r="AR136" s="4"/>
      <c r="AS136" s="4"/>
      <c r="AT136" s="4"/>
      <c r="AU136" s="4"/>
      <c r="AV136" s="4">
        <v>-0.194399057339225</v>
      </c>
      <c r="AW136" s="4">
        <v>0.00138906831559056</v>
      </c>
      <c r="AX136" s="4">
        <v>-0.0642101678264613</v>
      </c>
      <c r="AY136" s="4">
        <v>0.0797549618084404</v>
      </c>
      <c r="AZ136" s="4">
        <v>-0.0680846760337971</v>
      </c>
      <c r="BA136" s="4">
        <v>0.00417575776596591</v>
      </c>
    </row>
    <row r="137" s="3" customFormat="1" spans="1:51">
      <c r="A137" s="4">
        <v>136</v>
      </c>
      <c r="B137" s="6">
        <v>22</v>
      </c>
      <c r="C137" s="24" t="s">
        <v>156</v>
      </c>
      <c r="D137" s="13" t="s">
        <v>157</v>
      </c>
      <c r="E137" s="25">
        <v>50.0727777777778</v>
      </c>
      <c r="F137" s="25">
        <v>14.1719444444444</v>
      </c>
      <c r="G137" s="26">
        <v>7.7</v>
      </c>
      <c r="H137" s="27">
        <v>493</v>
      </c>
      <c r="I137" s="3">
        <v>410</v>
      </c>
      <c r="J137" s="13" t="s">
        <v>94</v>
      </c>
      <c r="K137" s="5" t="s">
        <v>78</v>
      </c>
      <c r="L137" s="3">
        <v>2019</v>
      </c>
      <c r="M137" s="3">
        <v>9</v>
      </c>
      <c r="N137" s="13" t="s">
        <v>108</v>
      </c>
      <c r="O137" s="28" t="s">
        <v>80</v>
      </c>
      <c r="P137" s="7">
        <v>6.5</v>
      </c>
      <c r="Q137" s="3">
        <f>12.6*0.58</f>
        <v>7.308</v>
      </c>
      <c r="R137" s="5"/>
      <c r="S137" s="13"/>
      <c r="T137" s="8">
        <v>5.4</v>
      </c>
      <c r="U137" s="8">
        <v>68.1</v>
      </c>
      <c r="V137" s="8">
        <v>26.5</v>
      </c>
      <c r="W137" s="6">
        <v>27</v>
      </c>
      <c r="X137" s="5" t="s">
        <v>91</v>
      </c>
      <c r="Y137" s="13" t="s">
        <v>82</v>
      </c>
      <c r="Z137" s="3">
        <v>4</v>
      </c>
      <c r="AA137" s="3">
        <v>4</v>
      </c>
      <c r="AB137" s="9">
        <v>0.0882926071456782</v>
      </c>
      <c r="AC137" s="9">
        <v>0.000192271262992729</v>
      </c>
      <c r="AD137" s="25">
        <v>0.0103271141558495</v>
      </c>
      <c r="AE137" s="25">
        <v>0.00400086710213743</v>
      </c>
      <c r="AF137" s="9">
        <v>-0.0779654929898256</v>
      </c>
      <c r="AG137" s="9">
        <v>0.00419313836513016</v>
      </c>
      <c r="AH137" s="25">
        <v>-0.0311785494222011</v>
      </c>
      <c r="AI137" s="25">
        <v>0.00520616409829238</v>
      </c>
      <c r="AJ137" s="4">
        <v>0.11947115656788</v>
      </c>
      <c r="AK137" s="4">
        <v>0.0053984353612851</v>
      </c>
      <c r="AL137" s="3">
        <v>0.0415056635780477</v>
      </c>
      <c r="AM137" s="3">
        <v>0.00920703120042977</v>
      </c>
      <c r="AN137" s="4">
        <v>-0.073382545934024</v>
      </c>
      <c r="AO137" s="4">
        <v>0.000282163044034908</v>
      </c>
      <c r="AP137" s="3">
        <v>0.0606246218164348</v>
      </c>
      <c r="AQ137" s="3">
        <v>0.0107671898116008</v>
      </c>
      <c r="AR137" s="4"/>
      <c r="AS137" s="4"/>
      <c r="AT137" s="3"/>
      <c r="AU137" s="3"/>
      <c r="AV137" s="4"/>
      <c r="AW137" s="4"/>
      <c r="AX137" s="3">
        <v>-0.0918031712386376</v>
      </c>
      <c r="AY137" s="3">
        <v>0.0159733539098932</v>
      </c>
    </row>
    <row r="138" s="4" customFormat="1" spans="1:35">
      <c r="A138" s="4">
        <v>137</v>
      </c>
      <c r="B138" s="18">
        <v>23</v>
      </c>
      <c r="C138" s="19" t="s">
        <v>158</v>
      </c>
      <c r="D138" s="5" t="s">
        <v>159</v>
      </c>
      <c r="E138" s="9">
        <v>47.58</v>
      </c>
      <c r="F138" s="9">
        <v>133.52</v>
      </c>
      <c r="G138" s="20">
        <v>3.3</v>
      </c>
      <c r="H138" s="21">
        <v>579.9</v>
      </c>
      <c r="I138" s="4">
        <v>66.4</v>
      </c>
      <c r="J138" s="5" t="s">
        <v>86</v>
      </c>
      <c r="K138" s="5" t="s">
        <v>78</v>
      </c>
      <c r="L138" s="4">
        <v>2018</v>
      </c>
      <c r="M138" s="4">
        <v>7</v>
      </c>
      <c r="N138" s="5" t="s">
        <v>96</v>
      </c>
      <c r="O138" s="28" t="s">
        <v>80</v>
      </c>
      <c r="P138" s="20"/>
      <c r="Q138" s="5"/>
      <c r="R138" s="5"/>
      <c r="S138" s="13"/>
      <c r="T138" s="21">
        <v>28</v>
      </c>
      <c r="U138" s="21">
        <v>41</v>
      </c>
      <c r="V138" s="21">
        <v>31</v>
      </c>
      <c r="W138" s="18">
        <v>8</v>
      </c>
      <c r="X138" s="5" t="s">
        <v>91</v>
      </c>
      <c r="Y138" s="5" t="s">
        <v>82</v>
      </c>
      <c r="Z138" s="4">
        <v>10</v>
      </c>
      <c r="AA138" s="4">
        <v>10</v>
      </c>
      <c r="AB138" s="9">
        <v>0.274623188779401</v>
      </c>
      <c r="AC138" s="9">
        <v>0.00421321142524628</v>
      </c>
      <c r="AD138" s="9">
        <v>0.128740409663108</v>
      </c>
      <c r="AE138" s="9">
        <v>0.00320479665707522</v>
      </c>
      <c r="AF138" s="9">
        <v>-0.145882779116289</v>
      </c>
      <c r="AG138" s="9">
        <v>0.0074180080823215</v>
      </c>
      <c r="AH138" s="9"/>
      <c r="AI138" s="9"/>
    </row>
    <row r="139" s="4" customFormat="1" spans="1:35">
      <c r="A139" s="4">
        <v>138</v>
      </c>
      <c r="B139" s="18">
        <v>23</v>
      </c>
      <c r="C139" s="19" t="s">
        <v>158</v>
      </c>
      <c r="D139" s="5" t="s">
        <v>159</v>
      </c>
      <c r="E139" s="9">
        <v>47.58</v>
      </c>
      <c r="F139" s="9">
        <v>133.52</v>
      </c>
      <c r="G139" s="20">
        <v>3.3</v>
      </c>
      <c r="H139" s="21">
        <v>579.9</v>
      </c>
      <c r="I139" s="4">
        <v>66.4</v>
      </c>
      <c r="J139" s="5" t="s">
        <v>86</v>
      </c>
      <c r="K139" s="5" t="s">
        <v>78</v>
      </c>
      <c r="L139" s="4">
        <v>2018</v>
      </c>
      <c r="M139" s="4">
        <v>7</v>
      </c>
      <c r="N139" s="5" t="s">
        <v>96</v>
      </c>
      <c r="O139" s="28" t="s">
        <v>80</v>
      </c>
      <c r="P139" s="20"/>
      <c r="Q139" s="5"/>
      <c r="R139" s="5"/>
      <c r="S139" s="13"/>
      <c r="T139" s="21">
        <v>28</v>
      </c>
      <c r="U139" s="21">
        <v>41</v>
      </c>
      <c r="V139" s="21">
        <v>31</v>
      </c>
      <c r="W139" s="18">
        <v>8</v>
      </c>
      <c r="X139" s="5" t="s">
        <v>91</v>
      </c>
      <c r="Y139" s="5" t="s">
        <v>82</v>
      </c>
      <c r="Z139" s="4">
        <v>10</v>
      </c>
      <c r="AA139" s="4">
        <v>10</v>
      </c>
      <c r="AB139" s="9">
        <v>-0.125049466603227</v>
      </c>
      <c r="AC139" s="9">
        <v>0.00354579789838588</v>
      </c>
      <c r="AD139" s="9">
        <v>-0.135923912546658</v>
      </c>
      <c r="AE139" s="9">
        <v>0.000783457272680967</v>
      </c>
      <c r="AF139" s="9">
        <v>-0.0108744459434309</v>
      </c>
      <c r="AG139" s="9">
        <v>0.00432925517106684</v>
      </c>
      <c r="AH139" s="9"/>
      <c r="AI139" s="9"/>
    </row>
    <row r="140" s="4" customFormat="1" spans="1:35">
      <c r="A140" s="4">
        <v>139</v>
      </c>
      <c r="B140" s="18">
        <v>23</v>
      </c>
      <c r="C140" s="19" t="s">
        <v>158</v>
      </c>
      <c r="D140" s="5" t="s">
        <v>159</v>
      </c>
      <c r="E140" s="9">
        <v>47.58</v>
      </c>
      <c r="F140" s="9">
        <v>133.52</v>
      </c>
      <c r="G140" s="20">
        <v>3.3</v>
      </c>
      <c r="H140" s="21">
        <v>579.9</v>
      </c>
      <c r="I140" s="4">
        <v>66.4</v>
      </c>
      <c r="J140" s="5" t="s">
        <v>86</v>
      </c>
      <c r="K140" s="5" t="s">
        <v>78</v>
      </c>
      <c r="L140" s="4">
        <v>2018</v>
      </c>
      <c r="M140" s="4">
        <v>7</v>
      </c>
      <c r="N140" s="5" t="s">
        <v>96</v>
      </c>
      <c r="O140" s="28" t="s">
        <v>80</v>
      </c>
      <c r="P140" s="20"/>
      <c r="Q140" s="5"/>
      <c r="R140" s="5"/>
      <c r="S140" s="13"/>
      <c r="T140" s="21">
        <v>28</v>
      </c>
      <c r="U140" s="21">
        <v>41</v>
      </c>
      <c r="V140" s="21">
        <v>31</v>
      </c>
      <c r="W140" s="18">
        <v>8</v>
      </c>
      <c r="X140" s="5" t="s">
        <v>91</v>
      </c>
      <c r="Y140" s="5" t="s">
        <v>82</v>
      </c>
      <c r="Z140" s="4">
        <v>10</v>
      </c>
      <c r="AA140" s="4">
        <v>10</v>
      </c>
      <c r="AB140" s="9">
        <v>0.504423170325834</v>
      </c>
      <c r="AC140" s="9">
        <v>0.00176135355198979</v>
      </c>
      <c r="AD140" s="9">
        <v>0.259110178691959</v>
      </c>
      <c r="AE140" s="9">
        <v>0.00222154549436708</v>
      </c>
      <c r="AF140" s="9">
        <v>-0.245312991633868</v>
      </c>
      <c r="AG140" s="9">
        <v>0.00398289904635687</v>
      </c>
      <c r="AH140" s="9"/>
      <c r="AI140" s="9"/>
    </row>
    <row r="141" s="4" customFormat="1" spans="1:35">
      <c r="A141" s="4">
        <v>140</v>
      </c>
      <c r="B141" s="18">
        <v>23</v>
      </c>
      <c r="C141" s="19" t="s">
        <v>158</v>
      </c>
      <c r="D141" s="5" t="s">
        <v>159</v>
      </c>
      <c r="E141" s="9">
        <v>47.58</v>
      </c>
      <c r="F141" s="9">
        <v>133.52</v>
      </c>
      <c r="G141" s="20">
        <v>3.3</v>
      </c>
      <c r="H141" s="21">
        <v>579.9</v>
      </c>
      <c r="I141" s="4">
        <v>66.4</v>
      </c>
      <c r="J141" s="5" t="s">
        <v>86</v>
      </c>
      <c r="K141" s="5" t="s">
        <v>78</v>
      </c>
      <c r="L141" s="4">
        <v>2018</v>
      </c>
      <c r="M141" s="4">
        <v>7</v>
      </c>
      <c r="N141" s="5" t="s">
        <v>96</v>
      </c>
      <c r="O141" s="28" t="s">
        <v>80</v>
      </c>
      <c r="P141" s="20"/>
      <c r="Q141" s="5"/>
      <c r="R141" s="5"/>
      <c r="S141" s="13"/>
      <c r="T141" s="21">
        <v>28</v>
      </c>
      <c r="U141" s="21">
        <v>41</v>
      </c>
      <c r="V141" s="21">
        <v>31</v>
      </c>
      <c r="W141" s="18">
        <v>8</v>
      </c>
      <c r="X141" s="5" t="s">
        <v>91</v>
      </c>
      <c r="Y141" s="5" t="s">
        <v>82</v>
      </c>
      <c r="Z141" s="4">
        <v>10</v>
      </c>
      <c r="AA141" s="4">
        <v>10</v>
      </c>
      <c r="AB141" s="9">
        <v>0.34166546510124</v>
      </c>
      <c r="AC141" s="9">
        <v>0.00221999618315648</v>
      </c>
      <c r="AD141" s="9">
        <v>0.211208713184446</v>
      </c>
      <c r="AE141" s="9">
        <v>0.00110880778544714</v>
      </c>
      <c r="AF141" s="9">
        <v>-0.130456751916792</v>
      </c>
      <c r="AG141" s="9">
        <v>0.00332880396860362</v>
      </c>
      <c r="AH141" s="9"/>
      <c r="AI141" s="9"/>
    </row>
    <row r="142" s="3" customFormat="1" spans="1:49">
      <c r="A142" s="4">
        <v>141</v>
      </c>
      <c r="B142" s="6">
        <v>24</v>
      </c>
      <c r="C142" s="24" t="s">
        <v>160</v>
      </c>
      <c r="D142" s="13" t="s">
        <v>161</v>
      </c>
      <c r="E142" s="25">
        <v>-15.9458333333333</v>
      </c>
      <c r="F142" s="25">
        <v>-47.9286111111111</v>
      </c>
      <c r="G142" s="26">
        <v>27.7</v>
      </c>
      <c r="H142" s="27">
        <v>1318</v>
      </c>
      <c r="I142" s="3"/>
      <c r="J142" s="13" t="s">
        <v>90</v>
      </c>
      <c r="K142" s="5" t="s">
        <v>78</v>
      </c>
      <c r="L142" s="3"/>
      <c r="M142" s="3">
        <v>8</v>
      </c>
      <c r="N142" s="13" t="s">
        <v>79</v>
      </c>
      <c r="O142" s="28" t="s">
        <v>80</v>
      </c>
      <c r="P142" s="7">
        <v>5.2</v>
      </c>
      <c r="Q142" s="3">
        <v>10</v>
      </c>
      <c r="R142" s="3">
        <v>1.1</v>
      </c>
      <c r="S142" s="13">
        <v>9.09090909090909</v>
      </c>
      <c r="T142" s="21">
        <v>51</v>
      </c>
      <c r="U142" s="21">
        <v>18</v>
      </c>
      <c r="V142" s="21">
        <v>31</v>
      </c>
      <c r="W142" s="6">
        <v>3</v>
      </c>
      <c r="X142" s="5" t="s">
        <v>81</v>
      </c>
      <c r="Y142" s="13" t="s">
        <v>82</v>
      </c>
      <c r="Z142" s="13">
        <v>4</v>
      </c>
      <c r="AA142" s="13">
        <v>4</v>
      </c>
      <c r="AB142" s="9"/>
      <c r="AC142" s="9"/>
      <c r="AD142" s="25">
        <v>0.201925225081377</v>
      </c>
      <c r="AE142" s="25">
        <v>0.00493880457211986</v>
      </c>
      <c r="AF142" s="9"/>
      <c r="AG142" s="9"/>
      <c r="AH142" s="25"/>
      <c r="AI142" s="25"/>
      <c r="AJ142" s="4"/>
      <c r="AK142" s="4"/>
      <c r="AL142" s="3"/>
      <c r="AM142" s="3"/>
      <c r="AN142" s="4">
        <v>-0.0251220941173377</v>
      </c>
      <c r="AO142" s="4">
        <v>0.00327778101509236</v>
      </c>
      <c r="AP142" s="3"/>
      <c r="AQ142" s="3"/>
      <c r="AR142" s="4"/>
      <c r="AS142" s="4"/>
      <c r="AT142" s="3"/>
      <c r="AU142" s="3"/>
      <c r="AV142" s="4">
        <v>0.77070541490582</v>
      </c>
      <c r="AW142" s="4">
        <v>0.0405442752998485</v>
      </c>
    </row>
    <row r="143" s="4" customFormat="1" spans="1:57">
      <c r="A143" s="4">
        <v>142</v>
      </c>
      <c r="B143" s="18">
        <v>25</v>
      </c>
      <c r="C143" s="19" t="s">
        <v>162</v>
      </c>
      <c r="D143" s="5" t="s">
        <v>163</v>
      </c>
      <c r="E143" s="9">
        <v>50.1277777777778</v>
      </c>
      <c r="F143" s="9">
        <v>14.3758333333333</v>
      </c>
      <c r="G143" s="20">
        <v>9.1</v>
      </c>
      <c r="H143" s="21">
        <v>495</v>
      </c>
      <c r="I143" s="4">
        <v>289</v>
      </c>
      <c r="J143" s="5" t="s">
        <v>94</v>
      </c>
      <c r="K143" s="5" t="s">
        <v>78</v>
      </c>
      <c r="L143" s="4">
        <v>2020</v>
      </c>
      <c r="M143" s="4">
        <v>6</v>
      </c>
      <c r="N143" s="5" t="s">
        <v>96</v>
      </c>
      <c r="O143" s="28" t="s">
        <v>80</v>
      </c>
      <c r="P143" s="29">
        <v>7.5</v>
      </c>
      <c r="Q143" s="4">
        <v>10.904</v>
      </c>
      <c r="R143" s="5"/>
      <c r="S143" s="13"/>
      <c r="T143" s="34">
        <v>2.2</v>
      </c>
      <c r="U143" s="34">
        <v>71.8</v>
      </c>
      <c r="V143" s="34">
        <v>26</v>
      </c>
      <c r="W143" s="18">
        <v>28</v>
      </c>
      <c r="X143" s="5" t="s">
        <v>91</v>
      </c>
      <c r="Y143" s="5" t="s">
        <v>82</v>
      </c>
      <c r="Z143" s="4">
        <v>4</v>
      </c>
      <c r="AA143" s="4">
        <v>4</v>
      </c>
      <c r="AB143" s="9">
        <v>-0.0310855529766336</v>
      </c>
      <c r="AC143" s="9">
        <v>0.000192271262992729</v>
      </c>
      <c r="AD143" s="9">
        <v>-0.0320440853558013</v>
      </c>
      <c r="AE143" s="9">
        <v>0.00400086710213743</v>
      </c>
      <c r="AF143" s="9">
        <v>-0.000958532379166771</v>
      </c>
      <c r="AG143" s="9">
        <v>0.00419313836513016</v>
      </c>
      <c r="AH143" s="9">
        <v>-0.006191970247921</v>
      </c>
      <c r="AI143" s="9">
        <v>0.00520616409829238</v>
      </c>
      <c r="AJ143" s="4">
        <v>-0.0248935827287152</v>
      </c>
      <c r="AK143" s="4">
        <v>0.00539843536128515</v>
      </c>
      <c r="AL143" s="4">
        <v>-0.0258521151078798</v>
      </c>
      <c r="AM143" s="4">
        <v>0.00920703120042982</v>
      </c>
      <c r="AN143" s="4"/>
      <c r="AO143" s="4"/>
      <c r="AP143" s="4"/>
      <c r="AQ143" s="4"/>
      <c r="AR143" s="4"/>
      <c r="AS143" s="4"/>
      <c r="AT143" s="4"/>
      <c r="AU143" s="4"/>
      <c r="AV143" s="4"/>
      <c r="AW143" s="4"/>
      <c r="AX143" s="4"/>
      <c r="AY143" s="4"/>
      <c r="BD143" s="4">
        <v>-0.248511735863332</v>
      </c>
      <c r="BE143" s="4">
        <v>0.00520616409829239</v>
      </c>
    </row>
    <row r="144" s="4" customFormat="1" spans="1:57">
      <c r="A144" s="4">
        <v>143</v>
      </c>
      <c r="B144" s="18">
        <v>25</v>
      </c>
      <c r="C144" s="19" t="s">
        <v>162</v>
      </c>
      <c r="D144" s="5" t="s">
        <v>163</v>
      </c>
      <c r="E144" s="9">
        <v>50.1277777777778</v>
      </c>
      <c r="F144" s="9">
        <v>14.3758333333333</v>
      </c>
      <c r="G144" s="20">
        <v>9.1</v>
      </c>
      <c r="H144" s="21">
        <v>495</v>
      </c>
      <c r="I144" s="4">
        <v>289</v>
      </c>
      <c r="J144" s="5" t="s">
        <v>94</v>
      </c>
      <c r="K144" s="5" t="s">
        <v>78</v>
      </c>
      <c r="L144" s="4">
        <v>2020</v>
      </c>
      <c r="M144" s="4">
        <v>6</v>
      </c>
      <c r="N144" s="5" t="s">
        <v>96</v>
      </c>
      <c r="O144" s="28" t="s">
        <v>80</v>
      </c>
      <c r="P144" s="29">
        <v>7.5</v>
      </c>
      <c r="Q144" s="4">
        <v>10.904</v>
      </c>
      <c r="R144" s="5"/>
      <c r="S144" s="13"/>
      <c r="T144" s="34">
        <v>2.2</v>
      </c>
      <c r="U144" s="34">
        <v>71.8</v>
      </c>
      <c r="V144" s="34">
        <v>26</v>
      </c>
      <c r="W144" s="18">
        <v>28</v>
      </c>
      <c r="X144" s="5" t="s">
        <v>91</v>
      </c>
      <c r="Y144" s="5" t="s">
        <v>82</v>
      </c>
      <c r="Z144" s="4">
        <v>4</v>
      </c>
      <c r="AA144" s="4">
        <v>4</v>
      </c>
      <c r="AB144" s="9">
        <v>-0.0380162737888423</v>
      </c>
      <c r="AC144" s="9">
        <v>0.000192271262992729</v>
      </c>
      <c r="AD144" s="9">
        <v>0.0161456585013869</v>
      </c>
      <c r="AE144" s="9">
        <v>0.00400086710213744</v>
      </c>
      <c r="AF144" s="9">
        <v>0.0541619322902295</v>
      </c>
      <c r="AG144" s="9">
        <v>0.00419313836513017</v>
      </c>
      <c r="AH144" s="9">
        <v>-0.006191970247921</v>
      </c>
      <c r="AI144" s="9">
        <v>0.00520616409829238</v>
      </c>
      <c r="AJ144" s="4">
        <v>-0.0318243035409215</v>
      </c>
      <c r="AK144" s="4">
        <v>0.00539843536128514</v>
      </c>
      <c r="AL144" s="4">
        <v>0.0223376287493086</v>
      </c>
      <c r="AM144" s="4">
        <v>0.00920703120042982</v>
      </c>
      <c r="AN144" s="4"/>
      <c r="AO144" s="4"/>
      <c r="AP144" s="4"/>
      <c r="AQ144" s="4"/>
      <c r="AR144" s="4"/>
      <c r="AS144" s="4"/>
      <c r="AT144" s="4"/>
      <c r="AU144" s="4"/>
      <c r="AV144" s="4"/>
      <c r="AW144" s="4"/>
      <c r="AX144" s="4"/>
      <c r="AY144" s="4"/>
      <c r="BD144" s="4">
        <v>-0.274023323520741</v>
      </c>
      <c r="BE144" s="4">
        <v>0.00520616409829237</v>
      </c>
    </row>
    <row r="145" s="3" customFormat="1" spans="1:67">
      <c r="A145" s="4">
        <v>144</v>
      </c>
      <c r="B145" s="35">
        <v>26</v>
      </c>
      <c r="C145" s="24" t="s">
        <v>164</v>
      </c>
      <c r="D145" s="13" t="s">
        <v>165</v>
      </c>
      <c r="E145" s="33">
        <v>21.45</v>
      </c>
      <c r="F145" s="33">
        <v>110.9</v>
      </c>
      <c r="G145" s="20">
        <v>23.2916660308838</v>
      </c>
      <c r="H145" s="21">
        <v>1871</v>
      </c>
      <c r="I145" s="13"/>
      <c r="J145" s="13" t="s">
        <v>94</v>
      </c>
      <c r="K145" s="5" t="s">
        <v>78</v>
      </c>
      <c r="L145" s="13">
        <v>2019</v>
      </c>
      <c r="M145" s="13">
        <v>12</v>
      </c>
      <c r="N145" s="13" t="s">
        <v>79</v>
      </c>
      <c r="O145" s="28" t="s">
        <v>80</v>
      </c>
      <c r="P145" s="26">
        <v>3.8</v>
      </c>
      <c r="Q145" s="13">
        <v>24</v>
      </c>
      <c r="R145" s="13">
        <v>2.1</v>
      </c>
      <c r="S145" s="13">
        <v>11.4285714285714</v>
      </c>
      <c r="T145" s="21">
        <v>43</v>
      </c>
      <c r="U145" s="21">
        <v>17</v>
      </c>
      <c r="V145" s="21">
        <v>40</v>
      </c>
      <c r="W145" s="35">
        <v>11</v>
      </c>
      <c r="X145" s="5" t="s">
        <v>91</v>
      </c>
      <c r="Y145" s="13" t="s">
        <v>82</v>
      </c>
      <c r="Z145" s="13">
        <v>5</v>
      </c>
      <c r="AA145" s="13">
        <v>5</v>
      </c>
      <c r="AB145" s="9">
        <v>0.678895245963286</v>
      </c>
      <c r="AC145" s="9">
        <v>0.000153817010394183</v>
      </c>
      <c r="AD145" s="25">
        <v>0.527021412463711</v>
      </c>
      <c r="AE145" s="25">
        <v>0.00320069368170994</v>
      </c>
      <c r="AF145" s="9">
        <v>-0.151873833499574</v>
      </c>
      <c r="AG145" s="9">
        <v>0.00335451069210412</v>
      </c>
      <c r="AH145" s="25">
        <v>0.829279354884525</v>
      </c>
      <c r="AI145" s="25">
        <v>0.0188452708907254</v>
      </c>
      <c r="AJ145" s="4">
        <v>-0.15038410892124</v>
      </c>
      <c r="AK145" s="4">
        <v>0.0189990879011197</v>
      </c>
      <c r="AL145" s="3">
        <v>-0.302257942420813</v>
      </c>
      <c r="AM145" s="3">
        <v>0.0220459645724352</v>
      </c>
      <c r="AN145" s="4">
        <v>-0.082238098236972</v>
      </c>
      <c r="AO145" s="4">
        <v>0.00150884730623551</v>
      </c>
      <c r="AP145" s="3">
        <v>0.174353387144778</v>
      </c>
      <c r="AQ145" s="3">
        <v>0.0710893424036276</v>
      </c>
      <c r="AR145" s="4">
        <v>0.0870113769896297</v>
      </c>
      <c r="AS145" s="4">
        <v>0.0100005739210285</v>
      </c>
      <c r="AT145" s="3"/>
      <c r="AU145" s="3"/>
      <c r="AV145" s="4"/>
      <c r="AW145" s="4"/>
      <c r="AX145" s="3">
        <v>0.65492596773975</v>
      </c>
      <c r="AY145" s="3">
        <v>0.0899346132943532</v>
      </c>
      <c r="BF145" s="3">
        <v>0.384411698910332</v>
      </c>
      <c r="BG145" s="3">
        <v>0.0465960452976457</v>
      </c>
      <c r="BH145" s="3">
        <v>0.510825623765991</v>
      </c>
      <c r="BI145" s="3">
        <v>0.0216301422529796</v>
      </c>
      <c r="BN145" s="3">
        <v>-0.244287104498258</v>
      </c>
      <c r="BO145" s="3">
        <v>0.00416493127863391</v>
      </c>
    </row>
    <row r="146" s="3" customFormat="1" spans="1:67">
      <c r="A146" s="4">
        <v>145</v>
      </c>
      <c r="B146" s="35">
        <v>26</v>
      </c>
      <c r="C146" s="24" t="s">
        <v>164</v>
      </c>
      <c r="D146" s="13" t="s">
        <v>166</v>
      </c>
      <c r="E146" s="33">
        <v>21.45</v>
      </c>
      <c r="F146" s="33">
        <v>110.9</v>
      </c>
      <c r="G146" s="20">
        <v>23.2916660308838</v>
      </c>
      <c r="H146" s="21">
        <v>1871</v>
      </c>
      <c r="I146" s="13"/>
      <c r="J146" s="13" t="s">
        <v>94</v>
      </c>
      <c r="K146" s="5" t="s">
        <v>78</v>
      </c>
      <c r="L146" s="13">
        <v>2019</v>
      </c>
      <c r="M146" s="13">
        <v>12</v>
      </c>
      <c r="N146" s="13" t="s">
        <v>79</v>
      </c>
      <c r="O146" s="28" t="s">
        <v>80</v>
      </c>
      <c r="P146" s="26">
        <v>3.8</v>
      </c>
      <c r="Q146" s="13">
        <v>24</v>
      </c>
      <c r="R146" s="13">
        <v>2.1</v>
      </c>
      <c r="S146" s="13">
        <v>11.4285714285714</v>
      </c>
      <c r="T146" s="21">
        <v>43</v>
      </c>
      <c r="U146" s="21">
        <v>17</v>
      </c>
      <c r="V146" s="21">
        <v>40</v>
      </c>
      <c r="W146" s="35">
        <v>11</v>
      </c>
      <c r="X146" s="5" t="s">
        <v>91</v>
      </c>
      <c r="Y146" s="13" t="s">
        <v>82</v>
      </c>
      <c r="Z146" s="13">
        <v>5</v>
      </c>
      <c r="AA146" s="13">
        <v>5</v>
      </c>
      <c r="AB146" s="9">
        <v>0.493086745442352</v>
      </c>
      <c r="AC146" s="9">
        <v>0.000153817010394182</v>
      </c>
      <c r="AD146" s="25">
        <v>0.105362048987429</v>
      </c>
      <c r="AE146" s="25">
        <v>0.00320069368170995</v>
      </c>
      <c r="AF146" s="9">
        <v>-0.387724696454922</v>
      </c>
      <c r="AG146" s="9">
        <v>0.00335451069210411</v>
      </c>
      <c r="AH146" s="25">
        <v>0.392042087776024</v>
      </c>
      <c r="AI146" s="25">
        <v>0.0209741417092769</v>
      </c>
      <c r="AJ146" s="4">
        <v>0.101044657666327</v>
      </c>
      <c r="AK146" s="4">
        <v>0.0211279587196711</v>
      </c>
      <c r="AL146" s="3">
        <v>-0.286680038788596</v>
      </c>
      <c r="AM146" s="3">
        <v>0.0241748353909868</v>
      </c>
      <c r="AN146" s="4">
        <v>-0.0540672212702757</v>
      </c>
      <c r="AO146" s="4">
        <v>0.00146412571389487</v>
      </c>
      <c r="AP146" s="3">
        <v>0.0645385211375712</v>
      </c>
      <c r="AQ146" s="3">
        <v>0.0334027777777778</v>
      </c>
      <c r="AR146" s="4">
        <v>-0.139761942375159</v>
      </c>
      <c r="AS146" s="4">
        <v>0.00439035916824197</v>
      </c>
      <c r="AT146" s="3"/>
      <c r="AU146" s="3"/>
      <c r="AV146" s="4"/>
      <c r="AW146" s="4"/>
      <c r="AX146" s="3">
        <v>0.32750356663845</v>
      </c>
      <c r="AY146" s="3">
        <v>0.0543769194870545</v>
      </c>
      <c r="BF146" s="3">
        <v>-0.105360515657826</v>
      </c>
      <c r="BG146" s="3">
        <v>0.0893827160493827</v>
      </c>
      <c r="BH146" s="3">
        <v>0.425884947116907</v>
      </c>
      <c r="BI146" s="3">
        <v>0.0229283370474849</v>
      </c>
      <c r="BN146" s="3">
        <v>0.082074826759873</v>
      </c>
      <c r="BO146" s="3">
        <v>0.0041649312786339</v>
      </c>
    </row>
    <row r="147" s="4" customFormat="1" spans="1:53">
      <c r="A147" s="4">
        <v>146</v>
      </c>
      <c r="B147" s="18">
        <v>27</v>
      </c>
      <c r="C147" s="19" t="s">
        <v>167</v>
      </c>
      <c r="D147" s="5" t="s">
        <v>168</v>
      </c>
      <c r="E147" s="9">
        <v>37.6</v>
      </c>
      <c r="F147" s="9">
        <v>101.316666666667</v>
      </c>
      <c r="G147" s="20">
        <v>-1.7</v>
      </c>
      <c r="H147" s="21">
        <v>643</v>
      </c>
      <c r="I147" s="4">
        <v>3200</v>
      </c>
      <c r="J147" s="5" t="s">
        <v>86</v>
      </c>
      <c r="K147" s="5" t="s">
        <v>78</v>
      </c>
      <c r="L147" s="4">
        <v>2018</v>
      </c>
      <c r="M147" s="4">
        <v>7</v>
      </c>
      <c r="N147" s="5" t="s">
        <v>96</v>
      </c>
      <c r="O147" s="28" t="s">
        <v>80</v>
      </c>
      <c r="P147" s="20"/>
      <c r="Q147" s="5">
        <v>70.6977</v>
      </c>
      <c r="R147" s="5">
        <v>4.89</v>
      </c>
      <c r="S147" s="13">
        <v>14.4576073619632</v>
      </c>
      <c r="T147" s="21">
        <v>28</v>
      </c>
      <c r="U147" s="21">
        <v>41</v>
      </c>
      <c r="V147" s="21">
        <v>31</v>
      </c>
      <c r="W147" s="18">
        <v>21</v>
      </c>
      <c r="X147" s="5" t="s">
        <v>91</v>
      </c>
      <c r="Y147" s="5" t="s">
        <v>82</v>
      </c>
      <c r="Z147" s="4">
        <v>6</v>
      </c>
      <c r="AA147" s="4">
        <v>6</v>
      </c>
      <c r="AB147" s="9">
        <v>0.0896121196685018</v>
      </c>
      <c r="AC147" s="9">
        <v>0.00400379742258968</v>
      </c>
      <c r="AD147" s="9">
        <v>0.110003335865896</v>
      </c>
      <c r="AE147" s="9">
        <v>0.00219347784097322</v>
      </c>
      <c r="AF147" s="9">
        <v>0.020391216197395</v>
      </c>
      <c r="AG147" s="9">
        <v>0.00619727526356289</v>
      </c>
      <c r="AH147" s="9">
        <v>0.233614202881091</v>
      </c>
      <c r="AI147" s="9">
        <v>0.00113017642253424</v>
      </c>
      <c r="AJ147" s="4">
        <v>-0.144002083212593</v>
      </c>
      <c r="AK147" s="4">
        <v>0.00513397384512389</v>
      </c>
      <c r="AL147" s="4">
        <v>-0.123610867015194</v>
      </c>
      <c r="AM147" s="4">
        <v>0.00332365426350745</v>
      </c>
      <c r="AN147" s="4"/>
      <c r="AO147" s="4"/>
      <c r="AP147" s="4">
        <v>-0.0332671009829389</v>
      </c>
      <c r="AQ147" s="4">
        <v>0.00442430893866475</v>
      </c>
      <c r="AR147" s="4"/>
      <c r="AS147" s="4"/>
      <c r="AT147" s="4"/>
      <c r="AU147" s="4"/>
      <c r="AV147" s="4"/>
      <c r="AW147" s="4"/>
      <c r="AX147" s="4">
        <v>0.266881303864027</v>
      </c>
      <c r="AY147" s="4">
        <v>0.005554485361199</v>
      </c>
      <c r="AZ147" s="4">
        <v>0.0732722011063259</v>
      </c>
      <c r="BA147" s="4">
        <v>0.00776181278113201</v>
      </c>
    </row>
    <row r="148" s="4" customFormat="1" spans="1:53">
      <c r="A148" s="4">
        <v>147</v>
      </c>
      <c r="B148" s="18">
        <v>27</v>
      </c>
      <c r="C148" s="19" t="s">
        <v>167</v>
      </c>
      <c r="D148" s="5" t="s">
        <v>168</v>
      </c>
      <c r="E148" s="9">
        <v>37.6</v>
      </c>
      <c r="F148" s="9">
        <v>101.316666666667</v>
      </c>
      <c r="G148" s="20">
        <v>-1.7</v>
      </c>
      <c r="H148" s="21">
        <v>643</v>
      </c>
      <c r="I148" s="4">
        <v>3200</v>
      </c>
      <c r="J148" s="5" t="s">
        <v>86</v>
      </c>
      <c r="K148" s="5" t="s">
        <v>78</v>
      </c>
      <c r="L148" s="4">
        <v>2018</v>
      </c>
      <c r="M148" s="4">
        <v>7</v>
      </c>
      <c r="N148" s="5" t="s">
        <v>96</v>
      </c>
      <c r="O148" s="28" t="s">
        <v>80</v>
      </c>
      <c r="P148" s="20"/>
      <c r="Q148" s="5">
        <v>126.512</v>
      </c>
      <c r="R148" s="5">
        <v>4.43</v>
      </c>
      <c r="S148" s="13">
        <v>28.5580135440181</v>
      </c>
      <c r="T148" s="21">
        <v>28</v>
      </c>
      <c r="U148" s="21">
        <v>41</v>
      </c>
      <c r="V148" s="21">
        <v>31</v>
      </c>
      <c r="W148" s="18">
        <v>21</v>
      </c>
      <c r="X148" s="5" t="s">
        <v>91</v>
      </c>
      <c r="Y148" s="5" t="s">
        <v>82</v>
      </c>
      <c r="Z148" s="4">
        <v>6</v>
      </c>
      <c r="AA148" s="4">
        <v>6</v>
      </c>
      <c r="AB148" s="9">
        <v>0.157627978191792</v>
      </c>
      <c r="AC148" s="9">
        <v>0.0080665191398599</v>
      </c>
      <c r="AD148" s="9">
        <v>0</v>
      </c>
      <c r="AE148" s="9">
        <v>0.00481849996050932</v>
      </c>
      <c r="AF148" s="9">
        <v>-0.157627978191793</v>
      </c>
      <c r="AG148" s="9">
        <v>0.0128850191003692</v>
      </c>
      <c r="AH148" s="9">
        <v>-0.249218237513234</v>
      </c>
      <c r="AI148" s="9">
        <v>0.00249897553258193</v>
      </c>
      <c r="AJ148" s="4">
        <v>0.406846215705025</v>
      </c>
      <c r="AK148" s="4">
        <v>0.0105654946724418</v>
      </c>
      <c r="AL148" s="4">
        <v>0.249218237513234</v>
      </c>
      <c r="AM148" s="4">
        <v>0.00731747549309123</v>
      </c>
      <c r="AN148" s="4"/>
      <c r="AO148" s="4"/>
      <c r="AP148" s="4">
        <v>0.057032998401144</v>
      </c>
      <c r="AQ148" s="4">
        <v>0.021397653633062</v>
      </c>
      <c r="AR148" s="4"/>
      <c r="AS148" s="4"/>
      <c r="AT148" s="4"/>
      <c r="AU148" s="4"/>
      <c r="AV148" s="4"/>
      <c r="AW148" s="4"/>
      <c r="AX148" s="4">
        <v>-0.306251235914378</v>
      </c>
      <c r="AY148" s="4">
        <v>0.0238966291656438</v>
      </c>
      <c r="AZ148" s="4">
        <v>4.26629986668287</v>
      </c>
      <c r="BA148" s="4">
        <v>0.00175731113245402</v>
      </c>
    </row>
    <row r="149" s="4" customFormat="1" spans="1:39">
      <c r="A149" s="4">
        <v>148</v>
      </c>
      <c r="B149" s="18">
        <v>27</v>
      </c>
      <c r="C149" s="19" t="s">
        <v>167</v>
      </c>
      <c r="D149" s="5" t="s">
        <v>168</v>
      </c>
      <c r="E149" s="9">
        <v>37.6</v>
      </c>
      <c r="F149" s="9">
        <v>101.316666666667</v>
      </c>
      <c r="G149" s="20">
        <v>-1.7</v>
      </c>
      <c r="H149" s="21">
        <v>643</v>
      </c>
      <c r="I149" s="4">
        <v>3200</v>
      </c>
      <c r="J149" s="5" t="s">
        <v>86</v>
      </c>
      <c r="K149" s="5" t="s">
        <v>78</v>
      </c>
      <c r="L149" s="4">
        <v>2018</v>
      </c>
      <c r="M149" s="4">
        <v>7</v>
      </c>
      <c r="N149" s="5" t="s">
        <v>96</v>
      </c>
      <c r="O149" s="28" t="s">
        <v>80</v>
      </c>
      <c r="P149" s="20"/>
      <c r="Q149" s="5">
        <v>78.1395</v>
      </c>
      <c r="R149" s="5"/>
      <c r="S149" s="13"/>
      <c r="T149" s="21">
        <v>28</v>
      </c>
      <c r="U149" s="21">
        <v>41</v>
      </c>
      <c r="V149" s="21">
        <v>31</v>
      </c>
      <c r="W149" s="18">
        <v>21</v>
      </c>
      <c r="X149" s="5" t="s">
        <v>91</v>
      </c>
      <c r="Y149" s="5" t="s">
        <v>82</v>
      </c>
      <c r="Z149" s="4">
        <v>6</v>
      </c>
      <c r="AA149" s="4">
        <v>6</v>
      </c>
      <c r="AB149" s="9">
        <v>0.103377995149991</v>
      </c>
      <c r="AC149" s="9">
        <v>0.00215779395676156</v>
      </c>
      <c r="AD149" s="9">
        <v>0.10212779604581</v>
      </c>
      <c r="AE149" s="9">
        <v>0.00254888118923843</v>
      </c>
      <c r="AF149" s="9">
        <v>-0.00125019910418238</v>
      </c>
      <c r="AG149" s="9">
        <v>0.00470667514599999</v>
      </c>
      <c r="AH149" s="9">
        <v>0.232623236980321</v>
      </c>
      <c r="AI149" s="9">
        <v>0.000926231134893248</v>
      </c>
      <c r="AJ149" s="4">
        <v>-0.129245241830329</v>
      </c>
      <c r="AK149" s="4">
        <v>0.00308402509165481</v>
      </c>
      <c r="AL149" s="4">
        <v>-0.13049544093451</v>
      </c>
      <c r="AM149" s="4">
        <v>0.00347511232413168</v>
      </c>
    </row>
    <row r="150" s="4" customFormat="1" spans="1:39">
      <c r="A150" s="4">
        <v>149</v>
      </c>
      <c r="B150" s="18">
        <v>27</v>
      </c>
      <c r="C150" s="19" t="s">
        <v>167</v>
      </c>
      <c r="D150" s="5" t="s">
        <v>168</v>
      </c>
      <c r="E150" s="9">
        <v>37.6</v>
      </c>
      <c r="F150" s="9">
        <v>101.316666666667</v>
      </c>
      <c r="G150" s="20">
        <v>-1.7</v>
      </c>
      <c r="H150" s="21">
        <v>643</v>
      </c>
      <c r="I150" s="4">
        <v>3200</v>
      </c>
      <c r="J150" s="5" t="s">
        <v>86</v>
      </c>
      <c r="K150" s="5" t="s">
        <v>78</v>
      </c>
      <c r="L150" s="4">
        <v>2018</v>
      </c>
      <c r="M150" s="4">
        <v>7</v>
      </c>
      <c r="N150" s="5" t="s">
        <v>96</v>
      </c>
      <c r="O150" s="28" t="s">
        <v>80</v>
      </c>
      <c r="P150" s="20"/>
      <c r="Q150" s="5">
        <v>119.07</v>
      </c>
      <c r="R150" s="5"/>
      <c r="S150" s="13"/>
      <c r="T150" s="21">
        <v>28</v>
      </c>
      <c r="U150" s="21">
        <v>41</v>
      </c>
      <c r="V150" s="21">
        <v>31</v>
      </c>
      <c r="W150" s="18">
        <v>21</v>
      </c>
      <c r="X150" s="5" t="s">
        <v>91</v>
      </c>
      <c r="Y150" s="5" t="s">
        <v>82</v>
      </c>
      <c r="Z150" s="4">
        <v>6</v>
      </c>
      <c r="AA150" s="4">
        <v>6</v>
      </c>
      <c r="AB150" s="9">
        <v>0.0416734080326369</v>
      </c>
      <c r="AC150" s="9">
        <v>0.004495315123432</v>
      </c>
      <c r="AD150" s="9">
        <v>-0.0476254114373511</v>
      </c>
      <c r="AE150" s="9">
        <v>0.00359616569755169</v>
      </c>
      <c r="AF150" s="9">
        <v>-0.0892988194699892</v>
      </c>
      <c r="AG150" s="9">
        <v>0.0080914808209837</v>
      </c>
      <c r="AH150" s="9">
        <v>-0.133533792176286</v>
      </c>
      <c r="AI150" s="9">
        <v>0.00367822330649204</v>
      </c>
      <c r="AJ150" s="4">
        <v>0.175207200208924</v>
      </c>
      <c r="AK150" s="4">
        <v>0.00817353842992407</v>
      </c>
      <c r="AL150" s="4">
        <v>0.0859083807389329</v>
      </c>
      <c r="AM150" s="4">
        <v>0.00727438900404373</v>
      </c>
    </row>
    <row r="151" s="4" customFormat="1" spans="1:39">
      <c r="A151" s="4">
        <v>150</v>
      </c>
      <c r="B151" s="18">
        <v>27</v>
      </c>
      <c r="C151" s="19" t="s">
        <v>167</v>
      </c>
      <c r="D151" s="5" t="s">
        <v>168</v>
      </c>
      <c r="E151" s="9">
        <v>37.6</v>
      </c>
      <c r="F151" s="9">
        <v>101.316666666667</v>
      </c>
      <c r="G151" s="20">
        <v>-1.7</v>
      </c>
      <c r="H151" s="21">
        <v>643</v>
      </c>
      <c r="I151" s="4">
        <v>3200</v>
      </c>
      <c r="J151" s="5" t="s">
        <v>86</v>
      </c>
      <c r="K151" s="5" t="s">
        <v>78</v>
      </c>
      <c r="L151" s="4">
        <v>2018</v>
      </c>
      <c r="M151" s="4">
        <v>7</v>
      </c>
      <c r="N151" s="5" t="s">
        <v>96</v>
      </c>
      <c r="O151" s="28" t="s">
        <v>80</v>
      </c>
      <c r="P151" s="20"/>
      <c r="Q151" s="5">
        <v>102.326</v>
      </c>
      <c r="R151" s="5"/>
      <c r="S151" s="13"/>
      <c r="T151" s="21">
        <v>28</v>
      </c>
      <c r="U151" s="21">
        <v>41</v>
      </c>
      <c r="V151" s="21">
        <v>31</v>
      </c>
      <c r="W151" s="18">
        <v>21</v>
      </c>
      <c r="X151" s="5" t="s">
        <v>91</v>
      </c>
      <c r="Y151" s="5" t="s">
        <v>82</v>
      </c>
      <c r="Z151" s="4">
        <v>6</v>
      </c>
      <c r="AA151" s="4">
        <v>6</v>
      </c>
      <c r="AB151" s="9">
        <v>-0.826902524072088</v>
      </c>
      <c r="AC151" s="9">
        <v>0.00238418350745994</v>
      </c>
      <c r="AD151" s="9">
        <v>0.075506930850655</v>
      </c>
      <c r="AE151" s="9">
        <v>0.00119560629678804</v>
      </c>
      <c r="AF151" s="9"/>
      <c r="AG151" s="9"/>
      <c r="AH151" s="9">
        <v>0.0701961423406946</v>
      </c>
      <c r="AI151" s="9">
        <v>0.00069816338545183</v>
      </c>
      <c r="AJ151" s="4"/>
      <c r="AK151" s="4"/>
      <c r="AL151" s="4">
        <v>0.00531078850996283</v>
      </c>
      <c r="AM151" s="4">
        <v>0.00189376968223987</v>
      </c>
    </row>
    <row r="152" s="4" customFormat="1" spans="1:39">
      <c r="A152" s="4">
        <v>151</v>
      </c>
      <c r="B152" s="18">
        <v>27</v>
      </c>
      <c r="C152" s="19" t="s">
        <v>167</v>
      </c>
      <c r="D152" s="5" t="s">
        <v>168</v>
      </c>
      <c r="E152" s="9">
        <v>37.6</v>
      </c>
      <c r="F152" s="9">
        <v>101.316666666667</v>
      </c>
      <c r="G152" s="20">
        <v>-1.7</v>
      </c>
      <c r="H152" s="21">
        <v>643</v>
      </c>
      <c r="I152" s="4">
        <v>3200</v>
      </c>
      <c r="J152" s="5" t="s">
        <v>86</v>
      </c>
      <c r="K152" s="5" t="s">
        <v>78</v>
      </c>
      <c r="L152" s="4">
        <v>2018</v>
      </c>
      <c r="M152" s="4">
        <v>7</v>
      </c>
      <c r="N152" s="5" t="s">
        <v>96</v>
      </c>
      <c r="O152" s="28" t="s">
        <v>80</v>
      </c>
      <c r="P152" s="20"/>
      <c r="Q152" s="5">
        <v>115.349</v>
      </c>
      <c r="R152" s="5"/>
      <c r="S152" s="13"/>
      <c r="T152" s="21">
        <v>28</v>
      </c>
      <c r="U152" s="21">
        <v>41</v>
      </c>
      <c r="V152" s="21">
        <v>31</v>
      </c>
      <c r="W152" s="18">
        <v>21</v>
      </c>
      <c r="X152" s="5" t="s">
        <v>91</v>
      </c>
      <c r="Y152" s="5" t="s">
        <v>82</v>
      </c>
      <c r="Z152" s="4">
        <v>6</v>
      </c>
      <c r="AA152" s="4">
        <v>6</v>
      </c>
      <c r="AB152" s="9">
        <v>0.0202023862291927</v>
      </c>
      <c r="AC152" s="9">
        <v>0.00291640108883091</v>
      </c>
      <c r="AD152" s="9">
        <v>-0.0439649492654796</v>
      </c>
      <c r="AE152" s="9">
        <v>0.00306071854669225</v>
      </c>
      <c r="AF152" s="9">
        <v>-0.0641673354946717</v>
      </c>
      <c r="AG152" s="9">
        <v>0.00597711963552314</v>
      </c>
      <c r="AH152" s="9">
        <v>-0.138152907178221</v>
      </c>
      <c r="AI152" s="9">
        <v>0.00226604419233462</v>
      </c>
      <c r="AJ152" s="4">
        <v>0.158355293407414</v>
      </c>
      <c r="AK152" s="4">
        <v>0.00518244528116553</v>
      </c>
      <c r="AL152" s="4">
        <v>0.094187957912739</v>
      </c>
      <c r="AM152" s="4">
        <v>0.00532676273902685</v>
      </c>
    </row>
    <row r="153" s="3" customFormat="1" spans="1:71">
      <c r="A153" s="4">
        <v>152</v>
      </c>
      <c r="B153" s="6">
        <v>28</v>
      </c>
      <c r="C153" s="24" t="s">
        <v>169</v>
      </c>
      <c r="D153" s="13" t="s">
        <v>170</v>
      </c>
      <c r="E153" s="25">
        <v>26.167</v>
      </c>
      <c r="F153" s="25">
        <v>117.45</v>
      </c>
      <c r="G153" s="26">
        <v>19.5</v>
      </c>
      <c r="H153" s="27">
        <v>1700</v>
      </c>
      <c r="I153" s="3"/>
      <c r="J153" s="13" t="s">
        <v>83</v>
      </c>
      <c r="K153" s="5" t="s">
        <v>78</v>
      </c>
      <c r="L153" s="3">
        <v>2020</v>
      </c>
      <c r="M153" s="3">
        <v>1</v>
      </c>
      <c r="N153" s="13" t="s">
        <v>79</v>
      </c>
      <c r="O153" s="28" t="s">
        <v>80</v>
      </c>
      <c r="P153" s="7">
        <v>4.25</v>
      </c>
      <c r="Q153" s="20"/>
      <c r="R153" s="5"/>
      <c r="S153" s="13"/>
      <c r="T153" s="21">
        <v>19</v>
      </c>
      <c r="U153" s="21">
        <v>28</v>
      </c>
      <c r="V153" s="21">
        <v>53</v>
      </c>
      <c r="W153" s="6">
        <v>2</v>
      </c>
      <c r="X153" s="5" t="s">
        <v>81</v>
      </c>
      <c r="Y153" s="13" t="s">
        <v>82</v>
      </c>
      <c r="Z153" s="3">
        <v>4</v>
      </c>
      <c r="AA153" s="3">
        <v>4</v>
      </c>
      <c r="AB153" s="9">
        <v>-0.0984837781518665</v>
      </c>
      <c r="AC153" s="9">
        <v>0.0155099714010105</v>
      </c>
      <c r="AD153" s="25">
        <v>-0.260053905334307</v>
      </c>
      <c r="AE153" s="25">
        <v>0.00319365362092344</v>
      </c>
      <c r="AF153" s="9">
        <v>-0.16157012718244</v>
      </c>
      <c r="AG153" s="9">
        <v>0.0187036250219339</v>
      </c>
      <c r="AH153" s="25"/>
      <c r="AI153" s="25"/>
      <c r="AJ153" s="4"/>
      <c r="AK153" s="4"/>
      <c r="AL153" s="3"/>
      <c r="AM153" s="3"/>
      <c r="AN153" s="4">
        <v>0.0116960397631912</v>
      </c>
      <c r="AO153" s="4">
        <v>8.32770355621013e-5</v>
      </c>
      <c r="AP153" s="3"/>
      <c r="AQ153" s="3"/>
      <c r="AR153" s="4"/>
      <c r="AS153" s="4"/>
      <c r="AT153" s="3">
        <v>0.0535385003848141</v>
      </c>
      <c r="AU153" s="3">
        <v>0.00180669636358244</v>
      </c>
      <c r="AV153" s="4">
        <v>-0.0287843072949886</v>
      </c>
      <c r="AW153" s="4">
        <v>0.00958336133122199</v>
      </c>
      <c r="AX153" s="3"/>
      <c r="AY153" s="3"/>
      <c r="BF153" s="3">
        <v>0.436102077570054</v>
      </c>
      <c r="BG153" s="3">
        <v>0.0320992873893513</v>
      </c>
      <c r="BH153" s="3">
        <v>0.0104987840982196</v>
      </c>
      <c r="BI153" s="3">
        <v>0.00734991336629812</v>
      </c>
      <c r="BP153" s="3">
        <v>-0.0223325768127484</v>
      </c>
      <c r="BQ153" s="3">
        <v>0.000266045184832119</v>
      </c>
      <c r="BR153" s="3">
        <v>0.0630082836771704</v>
      </c>
      <c r="BS153" s="3">
        <v>0.0317552549777998</v>
      </c>
    </row>
    <row r="154" s="3" customFormat="1" spans="1:71">
      <c r="A154" s="4">
        <v>153</v>
      </c>
      <c r="B154" s="6">
        <v>28</v>
      </c>
      <c r="C154" s="24" t="s">
        <v>169</v>
      </c>
      <c r="D154" s="13" t="s">
        <v>170</v>
      </c>
      <c r="E154" s="25">
        <v>26.167</v>
      </c>
      <c r="F154" s="25">
        <v>117.45</v>
      </c>
      <c r="G154" s="26">
        <v>19.5</v>
      </c>
      <c r="H154" s="27">
        <v>1700</v>
      </c>
      <c r="I154" s="3"/>
      <c r="J154" s="13" t="s">
        <v>83</v>
      </c>
      <c r="K154" s="5" t="s">
        <v>78</v>
      </c>
      <c r="L154" s="3">
        <v>2020</v>
      </c>
      <c r="M154" s="3">
        <v>7</v>
      </c>
      <c r="N154" s="13" t="s">
        <v>96</v>
      </c>
      <c r="O154" s="28" t="s">
        <v>80</v>
      </c>
      <c r="P154" s="7">
        <v>4.25</v>
      </c>
      <c r="Q154" s="20"/>
      <c r="R154" s="5"/>
      <c r="S154" s="13"/>
      <c r="T154" s="21">
        <v>19</v>
      </c>
      <c r="U154" s="21">
        <v>28</v>
      </c>
      <c r="V154" s="21">
        <v>53</v>
      </c>
      <c r="W154" s="6">
        <v>2</v>
      </c>
      <c r="X154" s="5" t="s">
        <v>81</v>
      </c>
      <c r="Y154" s="13" t="s">
        <v>82</v>
      </c>
      <c r="Z154" s="3">
        <v>4</v>
      </c>
      <c r="AA154" s="3">
        <v>4</v>
      </c>
      <c r="AB154" s="9">
        <v>0.0233362894932673</v>
      </c>
      <c r="AC154" s="9">
        <v>0.00206814173440397</v>
      </c>
      <c r="AD154" s="25">
        <v>0.0990006214181506</v>
      </c>
      <c r="AE154" s="25">
        <v>0.00840353288420686</v>
      </c>
      <c r="AF154" s="9">
        <v>0.0756643319248821</v>
      </c>
      <c r="AG154" s="9">
        <v>0.0104716746186108</v>
      </c>
      <c r="AH154" s="25"/>
      <c r="AI154" s="25"/>
      <c r="AJ154" s="4"/>
      <c r="AK154" s="4"/>
      <c r="AL154" s="3"/>
      <c r="AM154" s="3"/>
      <c r="AN154" s="4">
        <v>0.00229095174655576</v>
      </c>
      <c r="AO154" s="4">
        <v>4.46601417135524e-5</v>
      </c>
      <c r="AP154" s="3"/>
      <c r="AQ154" s="3"/>
      <c r="AR154" s="4"/>
      <c r="AS154" s="4"/>
      <c r="AT154" s="3">
        <v>0.0420390521998568</v>
      </c>
      <c r="AU154" s="3">
        <v>0.00832496542156888</v>
      </c>
      <c r="AV154" s="4">
        <v>-0.151050017986007</v>
      </c>
      <c r="AW154" s="4">
        <v>0.00335043581507336</v>
      </c>
      <c r="AX154" s="3"/>
      <c r="AY154" s="3"/>
      <c r="BF154" s="3">
        <v>-0.0135137191667228</v>
      </c>
      <c r="BG154" s="3">
        <v>0.0044695896784678</v>
      </c>
      <c r="BH154" s="3">
        <v>-0.0177895415634984</v>
      </c>
      <c r="BI154" s="3">
        <v>0.0101782822715235</v>
      </c>
      <c r="BP154" s="3">
        <v>-0.181044987919369</v>
      </c>
      <c r="BQ154" s="3">
        <v>0.00133452983276392</v>
      </c>
      <c r="BR154" s="3">
        <v>0.261052035109469</v>
      </c>
      <c r="BS154" s="3">
        <v>0.0180243935991509</v>
      </c>
    </row>
    <row r="155" s="4" customFormat="1" ht="16.8" spans="1:37">
      <c r="A155" s="4">
        <v>154</v>
      </c>
      <c r="B155" s="18">
        <v>29</v>
      </c>
      <c r="C155" s="19" t="s">
        <v>171</v>
      </c>
      <c r="D155" s="5" t="s">
        <v>172</v>
      </c>
      <c r="E155" s="9">
        <v>28.583</v>
      </c>
      <c r="F155" s="9">
        <v>77.2</v>
      </c>
      <c r="G155" s="20">
        <v>25</v>
      </c>
      <c r="H155" s="21">
        <v>715</v>
      </c>
      <c r="I155" s="4">
        <v>228.2</v>
      </c>
      <c r="J155" s="5" t="s">
        <v>77</v>
      </c>
      <c r="K155" s="5" t="s">
        <v>78</v>
      </c>
      <c r="L155" s="4">
        <v>2014</v>
      </c>
      <c r="M155" s="4">
        <v>6</v>
      </c>
      <c r="N155" s="5" t="s">
        <v>96</v>
      </c>
      <c r="O155" s="28" t="s">
        <v>80</v>
      </c>
      <c r="P155" s="29">
        <v>7.9</v>
      </c>
      <c r="Q155" s="4">
        <v>4</v>
      </c>
      <c r="R155" s="4">
        <v>0.5</v>
      </c>
      <c r="S155" s="13">
        <v>8</v>
      </c>
      <c r="T155" s="34">
        <v>19</v>
      </c>
      <c r="U155" s="34">
        <v>19.2</v>
      </c>
      <c r="V155" s="34">
        <v>61.8</v>
      </c>
      <c r="W155" s="18">
        <v>8</v>
      </c>
      <c r="X155" s="5" t="s">
        <v>91</v>
      </c>
      <c r="Y155" s="5" t="s">
        <v>82</v>
      </c>
      <c r="Z155" s="4">
        <v>4</v>
      </c>
      <c r="AA155" s="4">
        <v>4</v>
      </c>
      <c r="AB155" s="9">
        <v>0.059793649152943</v>
      </c>
      <c r="AC155" s="9">
        <v>0.0034006008963672</v>
      </c>
      <c r="AD155" s="9"/>
      <c r="AE155" s="9"/>
      <c r="AF155" s="9"/>
      <c r="AG155" s="9"/>
      <c r="AH155" s="9">
        <v>0.612592945071261</v>
      </c>
      <c r="AI155" s="9">
        <v>0.0247187744093313</v>
      </c>
      <c r="AJ155" s="4">
        <v>-0.552799295918316</v>
      </c>
      <c r="AK155" s="4">
        <v>0.0281193753056986</v>
      </c>
    </row>
    <row r="156" s="4" customFormat="1" ht="16.8" spans="1:37">
      <c r="A156" s="4">
        <v>155</v>
      </c>
      <c r="B156" s="18">
        <v>29</v>
      </c>
      <c r="C156" s="19" t="s">
        <v>173</v>
      </c>
      <c r="D156" s="5" t="s">
        <v>174</v>
      </c>
      <c r="E156" s="9">
        <v>28.583</v>
      </c>
      <c r="F156" s="9">
        <v>77.2</v>
      </c>
      <c r="G156" s="20">
        <v>25</v>
      </c>
      <c r="H156" s="21">
        <v>715</v>
      </c>
      <c r="I156" s="4">
        <v>228.2</v>
      </c>
      <c r="J156" s="5" t="s">
        <v>77</v>
      </c>
      <c r="K156" s="5" t="s">
        <v>78</v>
      </c>
      <c r="L156" s="4">
        <v>2014</v>
      </c>
      <c r="M156" s="4">
        <v>6</v>
      </c>
      <c r="N156" s="5" t="s">
        <v>96</v>
      </c>
      <c r="O156" s="28" t="s">
        <v>80</v>
      </c>
      <c r="P156" s="29">
        <v>7.9</v>
      </c>
      <c r="Q156" s="4">
        <v>4</v>
      </c>
      <c r="R156" s="4">
        <v>0.5</v>
      </c>
      <c r="S156" s="13">
        <v>8</v>
      </c>
      <c r="T156" s="34">
        <v>19</v>
      </c>
      <c r="U156" s="34">
        <v>19.2</v>
      </c>
      <c r="V156" s="34">
        <v>61.8</v>
      </c>
      <c r="W156" s="18">
        <v>8</v>
      </c>
      <c r="X156" s="5" t="s">
        <v>91</v>
      </c>
      <c r="Y156" s="5" t="s">
        <v>82</v>
      </c>
      <c r="Z156" s="4">
        <v>4</v>
      </c>
      <c r="AA156" s="4">
        <v>4</v>
      </c>
      <c r="AB156" s="9">
        <v>0.511228768298764</v>
      </c>
      <c r="AC156" s="9">
        <v>0.045676590020742</v>
      </c>
      <c r="AD156" s="9"/>
      <c r="AE156" s="9"/>
      <c r="AF156" s="9"/>
      <c r="AG156" s="9"/>
      <c r="AH156" s="9">
        <v>0.0390954256237325</v>
      </c>
      <c r="AI156" s="9">
        <v>0.0034725355401754</v>
      </c>
      <c r="AJ156" s="4">
        <v>0.472133342675033</v>
      </c>
      <c r="AK156" s="4">
        <v>0.0491491255609177</v>
      </c>
    </row>
    <row r="157" s="4" customFormat="1" ht="16.8" spans="1:37">
      <c r="A157" s="4">
        <v>156</v>
      </c>
      <c r="B157" s="18">
        <v>29</v>
      </c>
      <c r="C157" s="19" t="s">
        <v>175</v>
      </c>
      <c r="D157" s="5" t="s">
        <v>172</v>
      </c>
      <c r="E157" s="9">
        <v>28.583</v>
      </c>
      <c r="F157" s="9">
        <v>77.2</v>
      </c>
      <c r="G157" s="20">
        <v>25</v>
      </c>
      <c r="H157" s="21">
        <v>715</v>
      </c>
      <c r="I157" s="4">
        <v>228.2</v>
      </c>
      <c r="J157" s="5" t="s">
        <v>77</v>
      </c>
      <c r="K157" s="5" t="s">
        <v>78</v>
      </c>
      <c r="L157" s="4">
        <v>2014</v>
      </c>
      <c r="M157" s="4">
        <v>6</v>
      </c>
      <c r="N157" s="5" t="s">
        <v>96</v>
      </c>
      <c r="O157" s="28" t="s">
        <v>80</v>
      </c>
      <c r="P157" s="29">
        <v>7.9</v>
      </c>
      <c r="Q157" s="4">
        <v>4</v>
      </c>
      <c r="R157" s="4">
        <v>0.5</v>
      </c>
      <c r="S157" s="13">
        <v>8</v>
      </c>
      <c r="T157" s="34">
        <v>19</v>
      </c>
      <c r="U157" s="34">
        <v>19.2</v>
      </c>
      <c r="V157" s="34">
        <v>61.8</v>
      </c>
      <c r="W157" s="18">
        <v>8</v>
      </c>
      <c r="X157" s="5" t="s">
        <v>91</v>
      </c>
      <c r="Y157" s="5" t="s">
        <v>82</v>
      </c>
      <c r="Z157" s="4">
        <v>4</v>
      </c>
      <c r="AA157" s="4">
        <v>4</v>
      </c>
      <c r="AB157" s="9">
        <v>0.113476661729697</v>
      </c>
      <c r="AC157" s="9">
        <v>0.0212289511030788</v>
      </c>
      <c r="AD157" s="9"/>
      <c r="AE157" s="9"/>
      <c r="AF157" s="9"/>
      <c r="AG157" s="9"/>
      <c r="AH157" s="9">
        <v>-0.250170931791877</v>
      </c>
      <c r="AI157" s="9">
        <v>0.0034725355401754</v>
      </c>
      <c r="AJ157" s="4">
        <v>0.363647593521575</v>
      </c>
      <c r="AK157" s="4">
        <v>0.0247014866432543</v>
      </c>
    </row>
    <row r="158" s="4" customFormat="1" ht="16.8" spans="1:37">
      <c r="A158" s="4">
        <v>157</v>
      </c>
      <c r="B158" s="18">
        <v>29</v>
      </c>
      <c r="C158" s="19" t="s">
        <v>176</v>
      </c>
      <c r="D158" s="5" t="s">
        <v>172</v>
      </c>
      <c r="E158" s="9">
        <v>28.583</v>
      </c>
      <c r="F158" s="9">
        <v>77.2</v>
      </c>
      <c r="G158" s="20">
        <v>25</v>
      </c>
      <c r="H158" s="21">
        <v>715</v>
      </c>
      <c r="I158" s="4">
        <v>228.2</v>
      </c>
      <c r="J158" s="5" t="s">
        <v>77</v>
      </c>
      <c r="K158" s="5" t="s">
        <v>78</v>
      </c>
      <c r="L158" s="4">
        <v>2014</v>
      </c>
      <c r="M158" s="4">
        <v>6</v>
      </c>
      <c r="N158" s="5" t="s">
        <v>96</v>
      </c>
      <c r="O158" s="28" t="s">
        <v>80</v>
      </c>
      <c r="P158" s="29">
        <v>7.9</v>
      </c>
      <c r="Q158" s="4">
        <v>4</v>
      </c>
      <c r="R158" s="4">
        <v>0.5</v>
      </c>
      <c r="S158" s="13">
        <v>8</v>
      </c>
      <c r="T158" s="34">
        <v>19</v>
      </c>
      <c r="U158" s="34">
        <v>19.2</v>
      </c>
      <c r="V158" s="34">
        <v>61.8</v>
      </c>
      <c r="W158" s="18">
        <v>8</v>
      </c>
      <c r="X158" s="5" t="s">
        <v>91</v>
      </c>
      <c r="Y158" s="5" t="s">
        <v>82</v>
      </c>
      <c r="Z158" s="4">
        <v>4</v>
      </c>
      <c r="AA158" s="4">
        <v>4</v>
      </c>
      <c r="AB158" s="9">
        <v>0.0641858496474056</v>
      </c>
      <c r="AC158" s="9">
        <v>0.00545877653149622</v>
      </c>
      <c r="AD158" s="9"/>
      <c r="AE158" s="9"/>
      <c r="AF158" s="9"/>
      <c r="AG158" s="9"/>
      <c r="AH158" s="9">
        <v>0.0339379946743372</v>
      </c>
      <c r="AI158" s="9">
        <v>0.00743107625375138</v>
      </c>
      <c r="AJ158" s="4">
        <v>0.0302478549730698</v>
      </c>
      <c r="AK158" s="4">
        <v>0.0128898527852477</v>
      </c>
    </row>
    <row r="159" s="4" customFormat="1" ht="16.8" spans="1:37">
      <c r="A159" s="4">
        <v>158</v>
      </c>
      <c r="B159" s="18">
        <v>29</v>
      </c>
      <c r="C159" s="19" t="s">
        <v>177</v>
      </c>
      <c r="D159" s="5" t="s">
        <v>172</v>
      </c>
      <c r="E159" s="9">
        <v>28.583</v>
      </c>
      <c r="F159" s="9">
        <v>77.2</v>
      </c>
      <c r="G159" s="20">
        <v>25</v>
      </c>
      <c r="H159" s="21">
        <v>715</v>
      </c>
      <c r="I159" s="4">
        <v>228.2</v>
      </c>
      <c r="J159" s="5" t="s">
        <v>77</v>
      </c>
      <c r="K159" s="5" t="s">
        <v>78</v>
      </c>
      <c r="L159" s="4">
        <v>2014</v>
      </c>
      <c r="M159" s="4">
        <v>6</v>
      </c>
      <c r="N159" s="5" t="s">
        <v>96</v>
      </c>
      <c r="O159" s="28" t="s">
        <v>80</v>
      </c>
      <c r="P159" s="29">
        <v>7.9</v>
      </c>
      <c r="Q159" s="4">
        <v>4</v>
      </c>
      <c r="R159" s="4">
        <v>0.5</v>
      </c>
      <c r="S159" s="13">
        <v>8</v>
      </c>
      <c r="T159" s="34">
        <v>19</v>
      </c>
      <c r="U159" s="34">
        <v>19.2</v>
      </c>
      <c r="V159" s="34">
        <v>61.8</v>
      </c>
      <c r="W159" s="18">
        <v>8</v>
      </c>
      <c r="X159" s="5" t="s">
        <v>91</v>
      </c>
      <c r="Y159" s="5" t="s">
        <v>82</v>
      </c>
      <c r="Z159" s="4">
        <v>4</v>
      </c>
      <c r="AA159" s="4">
        <v>4</v>
      </c>
      <c r="AB159" s="9">
        <v>0.441007601642238</v>
      </c>
      <c r="AC159" s="9">
        <v>0.0534690343664649</v>
      </c>
      <c r="AD159" s="9"/>
      <c r="AE159" s="9"/>
      <c r="AF159" s="9"/>
      <c r="AG159" s="9"/>
      <c r="AH159" s="9">
        <v>0.00688171981416015</v>
      </c>
      <c r="AI159" s="9">
        <v>0.0229085492151178</v>
      </c>
      <c r="AJ159" s="4">
        <v>0.434125881828075</v>
      </c>
      <c r="AK159" s="4">
        <v>0.0763775835815821</v>
      </c>
    </row>
    <row r="160" s="4" customFormat="1" ht="16.8" spans="1:37">
      <c r="A160" s="4">
        <v>159</v>
      </c>
      <c r="B160" s="18">
        <v>29</v>
      </c>
      <c r="C160" s="19" t="s">
        <v>178</v>
      </c>
      <c r="D160" s="5" t="s">
        <v>172</v>
      </c>
      <c r="E160" s="9">
        <v>28.583</v>
      </c>
      <c r="F160" s="9">
        <v>77.2</v>
      </c>
      <c r="G160" s="20">
        <v>25</v>
      </c>
      <c r="H160" s="21">
        <v>715</v>
      </c>
      <c r="I160" s="4">
        <v>228.2</v>
      </c>
      <c r="J160" s="5" t="s">
        <v>77</v>
      </c>
      <c r="K160" s="5" t="s">
        <v>78</v>
      </c>
      <c r="L160" s="4">
        <v>2014</v>
      </c>
      <c r="M160" s="4">
        <v>6</v>
      </c>
      <c r="N160" s="5" t="s">
        <v>96</v>
      </c>
      <c r="O160" s="28" t="s">
        <v>80</v>
      </c>
      <c r="P160" s="29">
        <v>7.9</v>
      </c>
      <c r="Q160" s="4">
        <v>4</v>
      </c>
      <c r="R160" s="4">
        <v>0.5</v>
      </c>
      <c r="S160" s="13">
        <v>8</v>
      </c>
      <c r="T160" s="34">
        <v>19</v>
      </c>
      <c r="U160" s="34">
        <v>19.2</v>
      </c>
      <c r="V160" s="34">
        <v>61.8</v>
      </c>
      <c r="W160" s="18">
        <v>8</v>
      </c>
      <c r="X160" s="5" t="s">
        <v>91</v>
      </c>
      <c r="Y160" s="5" t="s">
        <v>82</v>
      </c>
      <c r="Z160" s="4">
        <v>4</v>
      </c>
      <c r="AA160" s="4">
        <v>4</v>
      </c>
      <c r="AB160" s="9">
        <v>0.203269365107126</v>
      </c>
      <c r="AC160" s="9">
        <v>0.025899701143594</v>
      </c>
      <c r="AD160" s="9"/>
      <c r="AE160" s="9"/>
      <c r="AF160" s="9"/>
      <c r="AG160" s="9"/>
      <c r="AH160" s="9">
        <v>-0.203602334470133</v>
      </c>
      <c r="AI160" s="9">
        <v>0.0454585720037779</v>
      </c>
      <c r="AJ160" s="4">
        <v>0.406871699577261</v>
      </c>
      <c r="AK160" s="4">
        <v>0.071358273147372</v>
      </c>
    </row>
    <row r="161" s="4" customFormat="1" spans="1:41">
      <c r="A161" s="4">
        <v>160</v>
      </c>
      <c r="B161" s="18">
        <v>30</v>
      </c>
      <c r="C161" s="19" t="s">
        <v>179</v>
      </c>
      <c r="D161" s="5" t="s">
        <v>180</v>
      </c>
      <c r="E161" s="23">
        <v>-27.0478039521018</v>
      </c>
      <c r="F161" s="9">
        <v>-61.4265213012695</v>
      </c>
      <c r="G161" s="20">
        <v>21.2</v>
      </c>
      <c r="H161" s="21">
        <v>946</v>
      </c>
      <c r="I161" s="4"/>
      <c r="J161" s="13" t="s">
        <v>181</v>
      </c>
      <c r="K161" s="5" t="s">
        <v>182</v>
      </c>
      <c r="L161" s="4"/>
      <c r="M161" s="4">
        <v>10</v>
      </c>
      <c r="N161" s="5" t="s">
        <v>87</v>
      </c>
      <c r="O161" s="36" t="s">
        <v>80</v>
      </c>
      <c r="P161" s="29">
        <v>7.52778</v>
      </c>
      <c r="Q161" s="5">
        <v>2.20000004768372</v>
      </c>
      <c r="R161" s="5">
        <v>1.96000003814697</v>
      </c>
      <c r="S161" s="13">
        <v>1.12244898207433</v>
      </c>
      <c r="T161" s="21">
        <v>25</v>
      </c>
      <c r="U161" s="21">
        <v>42</v>
      </c>
      <c r="V161" s="21">
        <v>33</v>
      </c>
      <c r="W161" s="4">
        <v>10</v>
      </c>
      <c r="X161" s="5" t="s">
        <v>91</v>
      </c>
      <c r="Y161" s="5" t="s">
        <v>82</v>
      </c>
      <c r="Z161" s="4">
        <v>5</v>
      </c>
      <c r="AA161" s="4">
        <v>5</v>
      </c>
      <c r="AB161" s="9">
        <v>-0.32518553384017</v>
      </c>
      <c r="AC161" s="9">
        <v>0.00560888366475544</v>
      </c>
      <c r="AD161" s="9"/>
      <c r="AE161" s="9"/>
      <c r="AF161" s="9"/>
      <c r="AG161" s="9"/>
      <c r="AH161" s="9">
        <v>-0.276053821183363</v>
      </c>
      <c r="AI161" s="9">
        <v>0.0148493798514395</v>
      </c>
      <c r="AJ161" s="4">
        <v>-0.0491317126568065</v>
      </c>
      <c r="AK161" s="4">
        <v>0.0204582635161949</v>
      </c>
      <c r="AL161" s="4"/>
      <c r="AM161" s="4"/>
      <c r="AN161" s="4">
        <v>0.108234308096077</v>
      </c>
      <c r="AO161" s="4">
        <v>0.000698127846076324</v>
      </c>
    </row>
    <row r="162" s="4" customFormat="1" spans="1:41">
      <c r="A162" s="4">
        <v>161</v>
      </c>
      <c r="B162" s="18">
        <v>30</v>
      </c>
      <c r="C162" s="19" t="s">
        <v>179</v>
      </c>
      <c r="D162" s="5" t="s">
        <v>180</v>
      </c>
      <c r="E162" s="23">
        <v>-27.0478039521018</v>
      </c>
      <c r="F162" s="9">
        <v>-61.4265213012695</v>
      </c>
      <c r="G162" s="20">
        <v>21.2</v>
      </c>
      <c r="H162" s="21">
        <v>946</v>
      </c>
      <c r="I162" s="4"/>
      <c r="J162" s="13" t="s">
        <v>181</v>
      </c>
      <c r="K162" s="5" t="s">
        <v>182</v>
      </c>
      <c r="L162" s="4"/>
      <c r="M162" s="4">
        <v>10</v>
      </c>
      <c r="N162" s="5" t="s">
        <v>87</v>
      </c>
      <c r="O162" s="36" t="s">
        <v>80</v>
      </c>
      <c r="P162" s="29">
        <v>7.49444</v>
      </c>
      <c r="Q162" s="5">
        <v>2.20000004768372</v>
      </c>
      <c r="R162" s="5">
        <v>1.96000003814697</v>
      </c>
      <c r="S162" s="13">
        <v>1.12244898207433</v>
      </c>
      <c r="T162" s="21">
        <v>25</v>
      </c>
      <c r="U162" s="21">
        <v>42</v>
      </c>
      <c r="V162" s="21">
        <v>33</v>
      </c>
      <c r="W162" s="4">
        <v>80</v>
      </c>
      <c r="X162" s="13" t="s">
        <v>141</v>
      </c>
      <c r="Y162" s="5" t="s">
        <v>82</v>
      </c>
      <c r="Z162" s="4">
        <v>5</v>
      </c>
      <c r="AA162" s="4">
        <v>5</v>
      </c>
      <c r="AB162" s="9">
        <v>-0.484514389841709</v>
      </c>
      <c r="AC162" s="9">
        <v>0.00555103638252591</v>
      </c>
      <c r="AD162" s="9"/>
      <c r="AE162" s="9"/>
      <c r="AF162" s="9"/>
      <c r="AG162" s="9"/>
      <c r="AH162" s="9">
        <v>-0.674824000361906</v>
      </c>
      <c r="AI162" s="9">
        <v>0.00277802843214033</v>
      </c>
      <c r="AJ162" s="4">
        <v>0.190309610520197</v>
      </c>
      <c r="AK162" s="4">
        <v>0.0083290648146662</v>
      </c>
      <c r="AL162" s="4"/>
      <c r="AM162" s="4"/>
      <c r="AN162" s="4">
        <v>0.130464109893973</v>
      </c>
      <c r="AO162" s="4">
        <v>0.000490354764534016</v>
      </c>
    </row>
    <row r="163" s="4" customFormat="1" spans="1:41">
      <c r="A163" s="4">
        <v>162</v>
      </c>
      <c r="B163" s="18">
        <v>30</v>
      </c>
      <c r="C163" s="19" t="s">
        <v>179</v>
      </c>
      <c r="D163" s="5" t="s">
        <v>180</v>
      </c>
      <c r="E163" s="23">
        <v>-27.0478039521018</v>
      </c>
      <c r="F163" s="9">
        <v>-61.4265213012695</v>
      </c>
      <c r="G163" s="20">
        <v>21.2</v>
      </c>
      <c r="H163" s="21">
        <v>946</v>
      </c>
      <c r="I163" s="4"/>
      <c r="J163" s="13" t="s">
        <v>181</v>
      </c>
      <c r="K163" s="5" t="s">
        <v>182</v>
      </c>
      <c r="L163" s="4"/>
      <c r="M163" s="4">
        <v>10</v>
      </c>
      <c r="N163" s="5" t="s">
        <v>87</v>
      </c>
      <c r="O163" s="28" t="s">
        <v>136</v>
      </c>
      <c r="P163" s="20">
        <v>6.09999990463257</v>
      </c>
      <c r="Q163" s="5">
        <v>2.20000004768372</v>
      </c>
      <c r="R163" s="5">
        <v>1.96000003814697</v>
      </c>
      <c r="S163" s="13">
        <v>1.12244898207433</v>
      </c>
      <c r="T163" s="21">
        <v>25</v>
      </c>
      <c r="U163" s="21">
        <v>42</v>
      </c>
      <c r="V163" s="21">
        <v>33</v>
      </c>
      <c r="W163" s="4">
        <v>10</v>
      </c>
      <c r="X163" s="5" t="s">
        <v>91</v>
      </c>
      <c r="Y163" s="5" t="s">
        <v>82</v>
      </c>
      <c r="Z163" s="4">
        <v>5</v>
      </c>
      <c r="AA163" s="4">
        <v>5</v>
      </c>
      <c r="AB163" s="9">
        <v>-0.26642655847637</v>
      </c>
      <c r="AC163" s="9">
        <v>0.00771958455398395</v>
      </c>
      <c r="AD163" s="9"/>
      <c r="AE163" s="9"/>
      <c r="AF163" s="9"/>
      <c r="AG163" s="9"/>
      <c r="AH163" s="9">
        <v>-0.113669012810059</v>
      </c>
      <c r="AI163" s="9">
        <v>0.0125832620853391</v>
      </c>
      <c r="AJ163" s="4">
        <v>-0.15275754566631</v>
      </c>
      <c r="AK163" s="4">
        <v>0.0203028466393231</v>
      </c>
      <c r="AL163" s="4"/>
      <c r="AM163" s="4"/>
      <c r="AN163" s="4">
        <v>0.0401324031854815</v>
      </c>
      <c r="AO163" s="4">
        <v>0.000432655681604442</v>
      </c>
    </row>
    <row r="164" s="4" customFormat="1" spans="1:41">
      <c r="A164" s="4">
        <v>163</v>
      </c>
      <c r="B164" s="18">
        <v>30</v>
      </c>
      <c r="C164" s="19" t="s">
        <v>179</v>
      </c>
      <c r="D164" s="5" t="s">
        <v>180</v>
      </c>
      <c r="E164" s="23">
        <v>-27.0478039521018</v>
      </c>
      <c r="F164" s="9">
        <v>-61.4265213012695</v>
      </c>
      <c r="G164" s="20">
        <v>21.2</v>
      </c>
      <c r="H164" s="21">
        <v>946</v>
      </c>
      <c r="I164" s="4"/>
      <c r="J164" s="13" t="s">
        <v>181</v>
      </c>
      <c r="K164" s="5" t="s">
        <v>182</v>
      </c>
      <c r="L164" s="4"/>
      <c r="M164" s="4">
        <v>10</v>
      </c>
      <c r="N164" s="5" t="s">
        <v>87</v>
      </c>
      <c r="O164" s="28" t="s">
        <v>136</v>
      </c>
      <c r="P164" s="20">
        <v>6.09999990463257</v>
      </c>
      <c r="Q164" s="5">
        <v>2.20000004768372</v>
      </c>
      <c r="R164" s="5">
        <v>1.96000003814697</v>
      </c>
      <c r="S164" s="13">
        <v>1.12244898207433</v>
      </c>
      <c r="T164" s="21">
        <v>25</v>
      </c>
      <c r="U164" s="21">
        <v>42</v>
      </c>
      <c r="V164" s="21">
        <v>33</v>
      </c>
      <c r="W164" s="4">
        <v>80</v>
      </c>
      <c r="X164" s="13" t="s">
        <v>141</v>
      </c>
      <c r="Y164" s="5" t="s">
        <v>82</v>
      </c>
      <c r="Z164" s="4">
        <v>5</v>
      </c>
      <c r="AA164" s="4">
        <v>5</v>
      </c>
      <c r="AB164" s="9">
        <v>-0.199750671739504</v>
      </c>
      <c r="AC164" s="9">
        <v>0.00876728593866875</v>
      </c>
      <c r="AD164" s="9"/>
      <c r="AE164" s="9"/>
      <c r="AF164" s="9"/>
      <c r="AG164" s="9"/>
      <c r="AH164" s="9">
        <v>0.0306082866683507</v>
      </c>
      <c r="AI164" s="9">
        <v>0.0181355162783527</v>
      </c>
      <c r="AJ164" s="4">
        <v>-0.230358958407856</v>
      </c>
      <c r="AK164" s="4">
        <v>0.0269028022170216</v>
      </c>
      <c r="AL164" s="4"/>
      <c r="AM164" s="4"/>
      <c r="AN164" s="4">
        <v>0.104339023636438</v>
      </c>
      <c r="AO164" s="4">
        <v>0.000314414066534098</v>
      </c>
    </row>
    <row r="165" s="4" customFormat="1" spans="1:51">
      <c r="A165" s="4">
        <v>164</v>
      </c>
      <c r="B165" s="18">
        <v>31</v>
      </c>
      <c r="C165" s="19" t="s">
        <v>183</v>
      </c>
      <c r="D165" s="5" t="s">
        <v>184</v>
      </c>
      <c r="E165" s="9">
        <v>49.3162386</v>
      </c>
      <c r="F165" s="9">
        <v>16.7725872</v>
      </c>
      <c r="G165" s="20">
        <v>8</v>
      </c>
      <c r="H165" s="21">
        <v>614</v>
      </c>
      <c r="I165" s="4"/>
      <c r="J165" s="13" t="s">
        <v>181</v>
      </c>
      <c r="K165" s="5" t="s">
        <v>182</v>
      </c>
      <c r="L165" s="4"/>
      <c r="M165" s="4"/>
      <c r="N165" s="4"/>
      <c r="O165" s="36" t="s">
        <v>80</v>
      </c>
      <c r="P165" s="29">
        <v>3.73</v>
      </c>
      <c r="Q165" s="5">
        <v>45.1</v>
      </c>
      <c r="R165" s="5"/>
      <c r="S165" s="13"/>
      <c r="T165" s="21">
        <v>11</v>
      </c>
      <c r="U165" s="21">
        <v>46</v>
      </c>
      <c r="V165" s="21">
        <v>43</v>
      </c>
      <c r="W165" s="18"/>
      <c r="X165" s="4"/>
      <c r="Y165" s="5" t="s">
        <v>82</v>
      </c>
      <c r="Z165" s="4">
        <v>5</v>
      </c>
      <c r="AA165" s="4">
        <v>5</v>
      </c>
      <c r="AB165" s="9">
        <v>-0.526093095896779</v>
      </c>
      <c r="AC165" s="9">
        <v>0.0124136942215314</v>
      </c>
      <c r="AD165" s="9"/>
      <c r="AE165" s="9"/>
      <c r="AF165" s="9"/>
      <c r="AG165" s="9"/>
      <c r="AH165" s="9">
        <v>-1.29118577389764</v>
      </c>
      <c r="AI165" s="9">
        <v>0.00277802843214032</v>
      </c>
      <c r="AJ165" s="4">
        <v>0.76509267800086</v>
      </c>
      <c r="AK165" s="4">
        <v>0.0151917226536717</v>
      </c>
      <c r="AL165" s="4"/>
      <c r="AM165" s="4"/>
      <c r="AN165" s="4"/>
      <c r="AO165" s="4"/>
      <c r="AP165" s="4">
        <v>-0.570544858467613</v>
      </c>
      <c r="AQ165" s="4">
        <v>0.0134785964362815</v>
      </c>
      <c r="AR165" s="4"/>
      <c r="AS165" s="4"/>
      <c r="AT165" s="4"/>
      <c r="AU165" s="4"/>
      <c r="AV165" s="4"/>
      <c r="AW165" s="4"/>
      <c r="AX165" s="4">
        <v>-0.720640915430028</v>
      </c>
      <c r="AY165" s="4">
        <v>0.0162566248684218</v>
      </c>
    </row>
    <row r="166" s="4" customFormat="1" spans="1:51">
      <c r="A166" s="4">
        <v>165</v>
      </c>
      <c r="B166" s="18">
        <v>31</v>
      </c>
      <c r="C166" s="19" t="s">
        <v>183</v>
      </c>
      <c r="D166" s="5" t="s">
        <v>184</v>
      </c>
      <c r="E166" s="9">
        <v>49.3162386</v>
      </c>
      <c r="F166" s="9">
        <v>16.7725872</v>
      </c>
      <c r="G166" s="20">
        <v>8</v>
      </c>
      <c r="H166" s="21">
        <v>614</v>
      </c>
      <c r="I166" s="4"/>
      <c r="J166" s="13" t="s">
        <v>185</v>
      </c>
      <c r="K166" s="5" t="s">
        <v>182</v>
      </c>
      <c r="L166" s="4"/>
      <c r="M166" s="4"/>
      <c r="N166" s="4"/>
      <c r="O166" s="36" t="s">
        <v>80</v>
      </c>
      <c r="P166" s="29">
        <v>3.73</v>
      </c>
      <c r="Q166" s="5">
        <v>32.5</v>
      </c>
      <c r="R166" s="5"/>
      <c r="S166" s="13"/>
      <c r="T166" s="21">
        <v>11</v>
      </c>
      <c r="U166" s="21">
        <v>46</v>
      </c>
      <c r="V166" s="21">
        <v>43</v>
      </c>
      <c r="W166" s="18"/>
      <c r="X166" s="4"/>
      <c r="Y166" s="5" t="s">
        <v>82</v>
      </c>
      <c r="Z166" s="4">
        <v>5</v>
      </c>
      <c r="AA166" s="4">
        <v>5</v>
      </c>
      <c r="AB166" s="9">
        <v>-0.0752234212375874</v>
      </c>
      <c r="AC166" s="9">
        <v>0.0111790997369578</v>
      </c>
      <c r="AD166" s="9"/>
      <c r="AE166" s="9"/>
      <c r="AF166" s="9"/>
      <c r="AG166" s="9"/>
      <c r="AH166" s="9">
        <v>-0.893476054107984</v>
      </c>
      <c r="AI166" s="9">
        <v>0.0191102317791186</v>
      </c>
      <c r="AJ166" s="4">
        <v>0.818252632870397</v>
      </c>
      <c r="AK166" s="4">
        <v>0.0302893315160763</v>
      </c>
      <c r="AL166" s="4"/>
      <c r="AM166" s="4"/>
      <c r="AN166" s="4"/>
      <c r="AO166" s="4"/>
      <c r="AP166" s="4">
        <v>-0.171850256926659</v>
      </c>
      <c r="AQ166" s="4">
        <v>0.0183950831024931</v>
      </c>
      <c r="AR166" s="4"/>
      <c r="AS166" s="4"/>
      <c r="AT166" s="4"/>
      <c r="AU166" s="4"/>
      <c r="AV166" s="4"/>
      <c r="AW166" s="4"/>
      <c r="AX166" s="4">
        <v>-0.721625797181322</v>
      </c>
      <c r="AY166" s="4">
        <v>0.0375053148816117</v>
      </c>
    </row>
    <row r="167" s="4" customFormat="1" spans="1:51">
      <c r="A167" s="4">
        <v>166</v>
      </c>
      <c r="B167" s="18">
        <v>31</v>
      </c>
      <c r="C167" s="19" t="s">
        <v>183</v>
      </c>
      <c r="D167" s="5" t="s">
        <v>184</v>
      </c>
      <c r="E167" s="9">
        <v>49.3162386</v>
      </c>
      <c r="F167" s="9">
        <v>16.7725872</v>
      </c>
      <c r="G167" s="20">
        <v>8</v>
      </c>
      <c r="H167" s="21">
        <v>614</v>
      </c>
      <c r="I167" s="4"/>
      <c r="J167" s="13" t="s">
        <v>181</v>
      </c>
      <c r="K167" s="5" t="s">
        <v>182</v>
      </c>
      <c r="L167" s="4"/>
      <c r="M167" s="4"/>
      <c r="N167" s="4"/>
      <c r="O167" s="36" t="s">
        <v>80</v>
      </c>
      <c r="P167" s="29">
        <v>3.73</v>
      </c>
      <c r="Q167" s="5">
        <v>33.7</v>
      </c>
      <c r="R167" s="5"/>
      <c r="S167" s="13"/>
      <c r="T167" s="21">
        <v>11</v>
      </c>
      <c r="U167" s="21">
        <v>46</v>
      </c>
      <c r="V167" s="21">
        <v>43</v>
      </c>
      <c r="W167" s="18"/>
      <c r="X167" s="4"/>
      <c r="Y167" s="5" t="s">
        <v>82</v>
      </c>
      <c r="Z167" s="4">
        <v>5</v>
      </c>
      <c r="AA167" s="4">
        <v>5</v>
      </c>
      <c r="AB167" s="9">
        <v>-0.410855956743041</v>
      </c>
      <c r="AC167" s="9">
        <v>0.00915186394126311</v>
      </c>
      <c r="AD167" s="9"/>
      <c r="AE167" s="9"/>
      <c r="AF167" s="9"/>
      <c r="AG167" s="9"/>
      <c r="AH167" s="9">
        <v>-0.900102004524237</v>
      </c>
      <c r="AI167" s="9">
        <v>0.00277802843214032</v>
      </c>
      <c r="AJ167" s="4">
        <v>0.489246047781196</v>
      </c>
      <c r="AK167" s="4">
        <v>0.0119298923734034</v>
      </c>
      <c r="AL167" s="4"/>
      <c r="AM167" s="4"/>
      <c r="AN167" s="4"/>
      <c r="AO167" s="4"/>
      <c r="AP167" s="4">
        <v>-0.379489621704904</v>
      </c>
      <c r="AQ167" s="4">
        <v>0.0169974921732859</v>
      </c>
      <c r="AR167" s="4"/>
      <c r="AS167" s="4"/>
      <c r="AT167" s="4"/>
      <c r="AU167" s="4"/>
      <c r="AV167" s="4"/>
      <c r="AW167" s="4"/>
      <c r="AX167" s="4">
        <v>-0.520612382819339</v>
      </c>
      <c r="AY167" s="4">
        <v>0.0197755206054262</v>
      </c>
    </row>
    <row r="168" s="4" customFormat="1" spans="1:51">
      <c r="A168" s="4">
        <v>167</v>
      </c>
      <c r="B168" s="18">
        <v>31</v>
      </c>
      <c r="C168" s="19" t="s">
        <v>183</v>
      </c>
      <c r="D168" s="5" t="s">
        <v>184</v>
      </c>
      <c r="E168" s="9">
        <v>49.3162386</v>
      </c>
      <c r="F168" s="9">
        <v>16.7725872</v>
      </c>
      <c r="G168" s="20">
        <v>8</v>
      </c>
      <c r="H168" s="21">
        <v>614</v>
      </c>
      <c r="I168" s="4"/>
      <c r="J168" s="13" t="s">
        <v>185</v>
      </c>
      <c r="K168" s="5" t="s">
        <v>182</v>
      </c>
      <c r="L168" s="4"/>
      <c r="M168" s="4"/>
      <c r="N168" s="4"/>
      <c r="O168" s="36" t="s">
        <v>80</v>
      </c>
      <c r="P168" s="29">
        <v>3.73</v>
      </c>
      <c r="Q168" s="5">
        <v>34</v>
      </c>
      <c r="R168" s="5"/>
      <c r="S168" s="13"/>
      <c r="T168" s="21">
        <v>11</v>
      </c>
      <c r="U168" s="21">
        <v>46</v>
      </c>
      <c r="V168" s="21">
        <v>43</v>
      </c>
      <c r="W168" s="18"/>
      <c r="X168" s="4"/>
      <c r="Y168" s="5" t="s">
        <v>82</v>
      </c>
      <c r="Z168" s="4">
        <v>5</v>
      </c>
      <c r="AA168" s="4">
        <v>5</v>
      </c>
      <c r="AB168" s="9">
        <v>-0.303580658519579</v>
      </c>
      <c r="AC168" s="9">
        <v>0.00532547079349881</v>
      </c>
      <c r="AD168" s="9"/>
      <c r="AE168" s="9"/>
      <c r="AF168" s="9"/>
      <c r="AG168" s="9"/>
      <c r="AH168" s="9">
        <v>-0.831733343846092</v>
      </c>
      <c r="AI168" s="9">
        <v>0.0187474048442907</v>
      </c>
      <c r="AJ168" s="4">
        <v>0.528152685326512</v>
      </c>
      <c r="AK168" s="4">
        <v>0.0240728756377895</v>
      </c>
      <c r="AL168" s="4"/>
      <c r="AM168" s="4"/>
      <c r="AN168" s="4"/>
      <c r="AO168" s="4"/>
      <c r="AP168" s="4">
        <v>-0.382992252256106</v>
      </c>
      <c r="AQ168" s="4">
        <v>0.00651056014692378</v>
      </c>
      <c r="AR168" s="4"/>
      <c r="AS168" s="4"/>
      <c r="AT168" s="4"/>
      <c r="AU168" s="4"/>
      <c r="AV168" s="4"/>
      <c r="AW168" s="4"/>
      <c r="AX168" s="4">
        <v>-0.448741091589989</v>
      </c>
      <c r="AY168" s="4">
        <v>0.0252579649912143</v>
      </c>
    </row>
    <row r="169" s="4" customFormat="1" spans="1:51">
      <c r="A169" s="4">
        <v>168</v>
      </c>
      <c r="B169" s="18">
        <v>31</v>
      </c>
      <c r="C169" s="19" t="s">
        <v>183</v>
      </c>
      <c r="D169" s="5" t="s">
        <v>184</v>
      </c>
      <c r="E169" s="9">
        <v>49.3162386</v>
      </c>
      <c r="F169" s="9">
        <v>16.7725872</v>
      </c>
      <c r="G169" s="20">
        <v>8</v>
      </c>
      <c r="H169" s="21">
        <v>614</v>
      </c>
      <c r="I169" s="4"/>
      <c r="J169" s="13" t="s">
        <v>181</v>
      </c>
      <c r="K169" s="5" t="s">
        <v>182</v>
      </c>
      <c r="L169" s="4"/>
      <c r="M169" s="4"/>
      <c r="N169" s="4"/>
      <c r="O169" s="36" t="s">
        <v>80</v>
      </c>
      <c r="P169" s="29">
        <v>3.73</v>
      </c>
      <c r="Q169" s="4">
        <v>38.2</v>
      </c>
      <c r="R169" s="5"/>
      <c r="S169" s="13"/>
      <c r="T169" s="21">
        <v>11</v>
      </c>
      <c r="U169" s="21">
        <v>46</v>
      </c>
      <c r="V169" s="21">
        <v>43</v>
      </c>
      <c r="W169" s="18"/>
      <c r="X169" s="4"/>
      <c r="Y169" s="5" t="s">
        <v>82</v>
      </c>
      <c r="Z169" s="4">
        <v>5</v>
      </c>
      <c r="AA169" s="4">
        <v>5</v>
      </c>
      <c r="AB169" s="9">
        <v>-0.215361410872155</v>
      </c>
      <c r="AC169" s="9">
        <v>0.0283436576311895</v>
      </c>
      <c r="AD169" s="9"/>
      <c r="AE169" s="9"/>
      <c r="AF169" s="9"/>
      <c r="AG169" s="9"/>
      <c r="AH169" s="9">
        <v>-0.708978645776626</v>
      </c>
      <c r="AI169" s="9">
        <v>0.0140884844165456</v>
      </c>
      <c r="AJ169" s="4">
        <v>0.493617234904468</v>
      </c>
      <c r="AK169" s="4">
        <v>0.0424321420477353</v>
      </c>
      <c r="AL169" s="4"/>
      <c r="AM169" s="4"/>
      <c r="AN169" s="4"/>
      <c r="AO169" s="4"/>
      <c r="AP169" s="4">
        <v>-0.318453731118535</v>
      </c>
      <c r="AQ169" s="4">
        <v>0.00597236570247934</v>
      </c>
      <c r="AR169" s="4"/>
      <c r="AS169" s="4"/>
      <c r="AT169" s="4"/>
      <c r="AU169" s="4"/>
      <c r="AV169" s="4"/>
      <c r="AW169" s="4"/>
      <c r="AX169" s="4">
        <v>-0.390524914658093</v>
      </c>
      <c r="AY169" s="4">
        <v>0.0200608501190249</v>
      </c>
    </row>
    <row r="170" s="4" customFormat="1" spans="1:51">
      <c r="A170" s="4">
        <v>169</v>
      </c>
      <c r="B170" s="18">
        <v>31</v>
      </c>
      <c r="C170" s="19" t="s">
        <v>183</v>
      </c>
      <c r="D170" s="5" t="s">
        <v>184</v>
      </c>
      <c r="E170" s="9">
        <v>49.3162386</v>
      </c>
      <c r="F170" s="9">
        <v>16.7725872</v>
      </c>
      <c r="G170" s="20">
        <v>8</v>
      </c>
      <c r="H170" s="21">
        <v>614</v>
      </c>
      <c r="I170" s="4"/>
      <c r="J170" s="13" t="s">
        <v>185</v>
      </c>
      <c r="K170" s="5" t="s">
        <v>182</v>
      </c>
      <c r="L170" s="4"/>
      <c r="M170" s="4"/>
      <c r="N170" s="4"/>
      <c r="O170" s="36" t="s">
        <v>80</v>
      </c>
      <c r="P170" s="29">
        <v>3.73</v>
      </c>
      <c r="Q170" s="4">
        <v>41.2</v>
      </c>
      <c r="R170" s="5"/>
      <c r="S170" s="13"/>
      <c r="T170" s="21">
        <v>11</v>
      </c>
      <c r="U170" s="21">
        <v>46</v>
      </c>
      <c r="V170" s="21">
        <v>43</v>
      </c>
      <c r="W170" s="18"/>
      <c r="X170" s="4"/>
      <c r="Y170" s="5" t="s">
        <v>82</v>
      </c>
      <c r="Z170" s="4">
        <v>5</v>
      </c>
      <c r="AA170" s="4">
        <v>5</v>
      </c>
      <c r="AB170" s="9">
        <v>-0.480814545349951</v>
      </c>
      <c r="AC170" s="9">
        <v>0.00903409618691236</v>
      </c>
      <c r="AD170" s="9"/>
      <c r="AE170" s="9"/>
      <c r="AF170" s="9"/>
      <c r="AG170" s="9"/>
      <c r="AH170" s="9">
        <v>-1.27609122098628</v>
      </c>
      <c r="AI170" s="9">
        <v>0.0212857560572478</v>
      </c>
      <c r="AJ170" s="4">
        <v>0.795276675636325</v>
      </c>
      <c r="AK170" s="4">
        <v>0.0303198522441602</v>
      </c>
      <c r="AL170" s="4"/>
      <c r="AM170" s="4"/>
      <c r="AN170" s="4"/>
      <c r="AO170" s="4"/>
      <c r="AP170" s="4">
        <v>-0.550046336919272</v>
      </c>
      <c r="AQ170" s="4">
        <v>0.0103616042077581</v>
      </c>
      <c r="AR170" s="4"/>
      <c r="AS170" s="4"/>
      <c r="AT170" s="4"/>
      <c r="AU170" s="4"/>
      <c r="AV170" s="4"/>
      <c r="AW170" s="4"/>
      <c r="AX170" s="4">
        <v>-0.726044884067001</v>
      </c>
      <c r="AY170" s="4">
        <v>0.0316473602650059</v>
      </c>
    </row>
    <row r="171" s="4" customFormat="1" spans="1:51">
      <c r="A171" s="4">
        <v>170</v>
      </c>
      <c r="B171" s="18">
        <v>31</v>
      </c>
      <c r="C171" s="19" t="s">
        <v>183</v>
      </c>
      <c r="D171" s="5" t="s">
        <v>184</v>
      </c>
      <c r="E171" s="9">
        <v>49.3162386</v>
      </c>
      <c r="F171" s="9">
        <v>16.7725872</v>
      </c>
      <c r="G171" s="20">
        <v>8</v>
      </c>
      <c r="H171" s="21">
        <v>614</v>
      </c>
      <c r="I171" s="4"/>
      <c r="J171" s="13" t="s">
        <v>181</v>
      </c>
      <c r="K171" s="5" t="s">
        <v>182</v>
      </c>
      <c r="L171" s="4"/>
      <c r="M171" s="4"/>
      <c r="N171" s="4"/>
      <c r="O171" s="36" t="s">
        <v>80</v>
      </c>
      <c r="P171" s="29">
        <v>3.73</v>
      </c>
      <c r="Q171" s="4">
        <v>48.5</v>
      </c>
      <c r="R171" s="5"/>
      <c r="S171" s="13"/>
      <c r="T171" s="21">
        <v>11</v>
      </c>
      <c r="U171" s="21">
        <v>46</v>
      </c>
      <c r="V171" s="21">
        <v>43</v>
      </c>
      <c r="W171" s="18"/>
      <c r="X171" s="4"/>
      <c r="Y171" s="5" t="s">
        <v>82</v>
      </c>
      <c r="Z171" s="4">
        <v>5</v>
      </c>
      <c r="AA171" s="4">
        <v>5</v>
      </c>
      <c r="AB171" s="9">
        <v>-0.463479503168792</v>
      </c>
      <c r="AC171" s="9">
        <v>0.00422043420116312</v>
      </c>
      <c r="AD171" s="9"/>
      <c r="AE171" s="9"/>
      <c r="AF171" s="9"/>
      <c r="AG171" s="9"/>
      <c r="AH171" s="9">
        <v>-1.05425017601441</v>
      </c>
      <c r="AI171" s="9">
        <v>0.0244198943008502</v>
      </c>
      <c r="AJ171" s="4">
        <v>0.590770672845612</v>
      </c>
      <c r="AK171" s="4">
        <v>0.0286403285020133</v>
      </c>
      <c r="AL171" s="4"/>
      <c r="AM171" s="4"/>
      <c r="AN171" s="4"/>
      <c r="AO171" s="4"/>
      <c r="AP171" s="4">
        <v>-0.538996500732687</v>
      </c>
      <c r="AQ171" s="4">
        <v>0.012046485260771</v>
      </c>
      <c r="AR171" s="4"/>
      <c r="AS171" s="4"/>
      <c r="AT171" s="4"/>
      <c r="AU171" s="4"/>
      <c r="AV171" s="4"/>
      <c r="AW171" s="4"/>
      <c r="AX171" s="4">
        <v>-0.515253675281719</v>
      </c>
      <c r="AY171" s="4">
        <v>0.0364663795616212</v>
      </c>
    </row>
    <row r="172" s="4" customFormat="1" spans="1:51">
      <c r="A172" s="4">
        <v>171</v>
      </c>
      <c r="B172" s="18">
        <v>31</v>
      </c>
      <c r="C172" s="19" t="s">
        <v>183</v>
      </c>
      <c r="D172" s="5" t="s">
        <v>184</v>
      </c>
      <c r="E172" s="9">
        <v>49.3162386</v>
      </c>
      <c r="F172" s="9">
        <v>16.7725872</v>
      </c>
      <c r="G172" s="20">
        <v>8</v>
      </c>
      <c r="H172" s="21">
        <v>614</v>
      </c>
      <c r="I172" s="4"/>
      <c r="J172" s="13" t="s">
        <v>185</v>
      </c>
      <c r="K172" s="5" t="s">
        <v>182</v>
      </c>
      <c r="L172" s="4"/>
      <c r="M172" s="4"/>
      <c r="N172" s="4"/>
      <c r="O172" s="36" t="s">
        <v>80</v>
      </c>
      <c r="P172" s="29">
        <v>3.73</v>
      </c>
      <c r="Q172" s="4">
        <v>37.7</v>
      </c>
      <c r="R172" s="5"/>
      <c r="S172" s="13"/>
      <c r="T172" s="21">
        <v>11</v>
      </c>
      <c r="U172" s="21">
        <v>46</v>
      </c>
      <c r="V172" s="21">
        <v>43</v>
      </c>
      <c r="W172" s="18"/>
      <c r="X172" s="4"/>
      <c r="Y172" s="5" t="s">
        <v>82</v>
      </c>
      <c r="Z172" s="4">
        <v>5</v>
      </c>
      <c r="AA172" s="4">
        <v>5</v>
      </c>
      <c r="AB172" s="9">
        <v>-0.470634743182745</v>
      </c>
      <c r="AC172" s="9">
        <v>0.0152880056560152</v>
      </c>
      <c r="AD172" s="9"/>
      <c r="AE172" s="9"/>
      <c r="AF172" s="9"/>
      <c r="AG172" s="9"/>
      <c r="AH172" s="9">
        <v>-1.48959393095769</v>
      </c>
      <c r="AI172" s="9">
        <v>0.00277802843214032</v>
      </c>
      <c r="AJ172" s="4">
        <v>1.01895918777495</v>
      </c>
      <c r="AK172" s="4">
        <v>0.0180660340881555</v>
      </c>
      <c r="AL172" s="4"/>
      <c r="AM172" s="4"/>
      <c r="AN172" s="4"/>
      <c r="AO172" s="4"/>
      <c r="AP172" s="4">
        <v>-0.650587566141149</v>
      </c>
      <c r="AQ172" s="4">
        <v>0.0371901911363159</v>
      </c>
      <c r="AR172" s="4"/>
      <c r="AS172" s="4"/>
      <c r="AT172" s="4"/>
      <c r="AU172" s="4"/>
      <c r="AV172" s="4"/>
      <c r="AW172" s="4"/>
      <c r="AX172" s="4">
        <v>-0.839006364816546</v>
      </c>
      <c r="AY172" s="4">
        <v>0.0399682195684563</v>
      </c>
    </row>
    <row r="173" s="3" customFormat="1" spans="1:51">
      <c r="A173" s="4">
        <v>172</v>
      </c>
      <c r="B173" s="6">
        <v>32</v>
      </c>
      <c r="C173" s="24" t="s">
        <v>186</v>
      </c>
      <c r="D173" s="13" t="s">
        <v>187</v>
      </c>
      <c r="E173" s="25">
        <v>-22.484</v>
      </c>
      <c r="F173" s="25">
        <v>-43.914</v>
      </c>
      <c r="G173" s="20">
        <v>21.0416660308838</v>
      </c>
      <c r="H173" s="21">
        <v>1411</v>
      </c>
      <c r="I173" s="3"/>
      <c r="J173" s="13" t="s">
        <v>188</v>
      </c>
      <c r="K173" s="5" t="s">
        <v>182</v>
      </c>
      <c r="L173" s="3"/>
      <c r="M173" s="3">
        <v>8</v>
      </c>
      <c r="N173" s="13" t="s">
        <v>79</v>
      </c>
      <c r="O173" s="36" t="s">
        <v>80</v>
      </c>
      <c r="P173" s="7">
        <v>4.06</v>
      </c>
      <c r="Q173" s="3">
        <v>29.21</v>
      </c>
      <c r="R173" s="3">
        <v>2.65</v>
      </c>
      <c r="S173" s="13">
        <v>11.022641509434</v>
      </c>
      <c r="T173" s="21">
        <v>14</v>
      </c>
      <c r="U173" s="21">
        <v>19</v>
      </c>
      <c r="V173" s="21">
        <v>67</v>
      </c>
      <c r="W173" s="6"/>
      <c r="X173" s="3"/>
      <c r="Y173" s="13" t="s">
        <v>82</v>
      </c>
      <c r="Z173" s="3">
        <v>4</v>
      </c>
      <c r="AA173" s="3">
        <v>4</v>
      </c>
      <c r="AB173" s="9">
        <v>0.536986449804663</v>
      </c>
      <c r="AC173" s="9">
        <v>0.000192271262992729</v>
      </c>
      <c r="AD173" s="25">
        <v>0.383958902887201</v>
      </c>
      <c r="AE173" s="25">
        <v>0.00400086710213745</v>
      </c>
      <c r="AF173" s="9">
        <v>-0.153027546917463</v>
      </c>
      <c r="AG173" s="9">
        <v>0.00419313836513018</v>
      </c>
      <c r="AH173" s="25">
        <v>0.0458350841012665</v>
      </c>
      <c r="AI173" s="25">
        <v>0.00520616409829239</v>
      </c>
      <c r="AJ173" s="4">
        <v>0.491151365703396</v>
      </c>
      <c r="AK173" s="4">
        <v>0.00539843536128511</v>
      </c>
      <c r="AL173" s="3">
        <v>0.338123818785935</v>
      </c>
      <c r="AM173" s="3">
        <v>0.00920703120042985</v>
      </c>
      <c r="AN173" s="4">
        <v>0.0826917158451134</v>
      </c>
      <c r="AO173" s="4">
        <v>0.000282163044034909</v>
      </c>
      <c r="AP173" s="3">
        <v>-0.0907920998295358</v>
      </c>
      <c r="AQ173" s="3">
        <v>0.0107671898116009</v>
      </c>
      <c r="AR173" s="4"/>
      <c r="AS173" s="4"/>
      <c r="AT173" s="3"/>
      <c r="AU173" s="3"/>
      <c r="AV173" s="4">
        <v>-0.642327932163732</v>
      </c>
      <c r="AW173" s="4">
        <v>0.00419962999008549</v>
      </c>
      <c r="AX173" s="3">
        <v>0.136627183930796</v>
      </c>
      <c r="AY173" s="3">
        <v>0.0159733539098932</v>
      </c>
    </row>
    <row r="174" s="3" customFormat="1" spans="1:51">
      <c r="A174" s="4">
        <v>173</v>
      </c>
      <c r="B174" s="6">
        <v>32</v>
      </c>
      <c r="C174" s="24" t="s">
        <v>186</v>
      </c>
      <c r="D174" s="13" t="s">
        <v>187</v>
      </c>
      <c r="E174" s="25">
        <v>-22.484</v>
      </c>
      <c r="F174" s="25">
        <v>-43.914</v>
      </c>
      <c r="G174" s="20">
        <v>21.0416660308838</v>
      </c>
      <c r="H174" s="21">
        <v>1411</v>
      </c>
      <c r="I174" s="3"/>
      <c r="J174" s="13" t="s">
        <v>188</v>
      </c>
      <c r="K174" s="5" t="s">
        <v>182</v>
      </c>
      <c r="L174" s="3"/>
      <c r="M174" s="3">
        <v>8</v>
      </c>
      <c r="N174" s="13" t="s">
        <v>79</v>
      </c>
      <c r="O174" s="36" t="s">
        <v>80</v>
      </c>
      <c r="P174" s="7">
        <v>4.06</v>
      </c>
      <c r="Q174" s="3">
        <v>29.21</v>
      </c>
      <c r="R174" s="3">
        <v>2.65</v>
      </c>
      <c r="S174" s="13">
        <v>11.022641509434</v>
      </c>
      <c r="T174" s="21">
        <v>14</v>
      </c>
      <c r="U174" s="21">
        <v>19</v>
      </c>
      <c r="V174" s="21">
        <v>67</v>
      </c>
      <c r="W174" s="6"/>
      <c r="X174" s="3"/>
      <c r="Y174" s="13" t="s">
        <v>82</v>
      </c>
      <c r="Z174" s="3">
        <v>4</v>
      </c>
      <c r="AA174" s="3">
        <v>4</v>
      </c>
      <c r="AB174" s="9">
        <v>-0.142174488780543</v>
      </c>
      <c r="AC174" s="9">
        <v>0.000192271262992728</v>
      </c>
      <c r="AD174" s="25">
        <v>-0.400160055878471</v>
      </c>
      <c r="AE174" s="25">
        <v>0.00400086710213744</v>
      </c>
      <c r="AF174" s="9">
        <v>-0.257985567097929</v>
      </c>
      <c r="AG174" s="9">
        <v>0.00419313836513016</v>
      </c>
      <c r="AH174" s="25">
        <v>-0.318624920025912</v>
      </c>
      <c r="AI174" s="25">
        <v>0.00520616409829238</v>
      </c>
      <c r="AJ174" s="4">
        <v>0.176450431245368</v>
      </c>
      <c r="AK174" s="4">
        <v>0.00539843536128511</v>
      </c>
      <c r="AL174" s="3">
        <v>-0.0815351358525599</v>
      </c>
      <c r="AM174" s="3">
        <v>0.00920703120042983</v>
      </c>
      <c r="AN174" s="4">
        <v>0.118330231292472</v>
      </c>
      <c r="AO174" s="4">
        <v>0.000282163044034909</v>
      </c>
      <c r="AP174" s="3">
        <v>-0.517134792959255</v>
      </c>
      <c r="AQ174" s="3">
        <v>0.0107671898116009</v>
      </c>
      <c r="AR174" s="4"/>
      <c r="AS174" s="4"/>
      <c r="AT174" s="3"/>
      <c r="AU174" s="3"/>
      <c r="AV174" s="4">
        <v>-1.47111941808769</v>
      </c>
      <c r="AW174" s="4">
        <v>0.00419962999008548</v>
      </c>
      <c r="AX174" s="3">
        <v>0.198509872933337</v>
      </c>
      <c r="AY174" s="3">
        <v>0.0159733539098933</v>
      </c>
    </row>
    <row r="175" s="3" customFormat="1" spans="1:51">
      <c r="A175" s="4">
        <v>174</v>
      </c>
      <c r="B175" s="6">
        <v>32</v>
      </c>
      <c r="C175" s="24" t="s">
        <v>186</v>
      </c>
      <c r="D175" s="13" t="s">
        <v>187</v>
      </c>
      <c r="E175" s="25">
        <v>-22.484</v>
      </c>
      <c r="F175" s="25">
        <v>-43.914</v>
      </c>
      <c r="G175" s="20">
        <v>21.0416660308838</v>
      </c>
      <c r="H175" s="21">
        <v>1411</v>
      </c>
      <c r="I175" s="3"/>
      <c r="J175" s="13" t="s">
        <v>188</v>
      </c>
      <c r="K175" s="5" t="s">
        <v>182</v>
      </c>
      <c r="L175" s="3"/>
      <c r="M175" s="3">
        <v>1</v>
      </c>
      <c r="N175" s="13" t="s">
        <v>96</v>
      </c>
      <c r="O175" s="36" t="s">
        <v>80</v>
      </c>
      <c r="P175" s="7">
        <v>3.68</v>
      </c>
      <c r="Q175" s="3">
        <v>38</v>
      </c>
      <c r="R175" s="3">
        <v>1.53</v>
      </c>
      <c r="S175" s="13">
        <v>24.8366013071895</v>
      </c>
      <c r="T175" s="21">
        <v>14</v>
      </c>
      <c r="U175" s="21">
        <v>19</v>
      </c>
      <c r="V175" s="21">
        <v>67</v>
      </c>
      <c r="W175" s="6"/>
      <c r="X175" s="3"/>
      <c r="Y175" s="13" t="s">
        <v>82</v>
      </c>
      <c r="Z175" s="3">
        <v>4</v>
      </c>
      <c r="AA175" s="3">
        <v>4</v>
      </c>
      <c r="AB175" s="9">
        <v>-0.777093601713955</v>
      </c>
      <c r="AC175" s="9">
        <v>0.000192271262992729</v>
      </c>
      <c r="AD175" s="25">
        <v>-0.610626156871942</v>
      </c>
      <c r="AE175" s="25">
        <v>0.00400086710213743</v>
      </c>
      <c r="AF175" s="9">
        <v>0.166467444842014</v>
      </c>
      <c r="AG175" s="9">
        <v>0.00419313836513016</v>
      </c>
      <c r="AH175" s="25">
        <v>-0.447933193535088</v>
      </c>
      <c r="AI175" s="25">
        <v>0.00520616409829237</v>
      </c>
      <c r="AJ175" s="4">
        <v>-0.329160408178865</v>
      </c>
      <c r="AK175" s="4">
        <v>0.00539843536128511</v>
      </c>
      <c r="AL175" s="3">
        <v>-0.162692963336853</v>
      </c>
      <c r="AM175" s="3">
        <v>0.00920703120042981</v>
      </c>
      <c r="AN175" s="4">
        <v>0.108074221529423</v>
      </c>
      <c r="AO175" s="4">
        <v>0.000282163044034909</v>
      </c>
      <c r="AP175" s="3">
        <v>-0.303050102680095</v>
      </c>
      <c r="AQ175" s="3">
        <v>0.0107671898116009</v>
      </c>
      <c r="AR175" s="4"/>
      <c r="AS175" s="4"/>
      <c r="AT175" s="3"/>
      <c r="AU175" s="3"/>
      <c r="AV175" s="4"/>
      <c r="AW175" s="4"/>
      <c r="AX175" s="3">
        <v>-0.144883090854992</v>
      </c>
      <c r="AY175" s="3">
        <v>0.0159733539098933</v>
      </c>
    </row>
    <row r="176" s="3" customFormat="1" spans="1:51">
      <c r="A176" s="4">
        <v>175</v>
      </c>
      <c r="B176" s="6">
        <v>32</v>
      </c>
      <c r="C176" s="24" t="s">
        <v>186</v>
      </c>
      <c r="D176" s="13" t="s">
        <v>187</v>
      </c>
      <c r="E176" s="25">
        <v>-22.484</v>
      </c>
      <c r="F176" s="25">
        <v>-43.914</v>
      </c>
      <c r="G176" s="20">
        <v>21.0416660308838</v>
      </c>
      <c r="H176" s="21">
        <v>1411</v>
      </c>
      <c r="I176" s="3"/>
      <c r="J176" s="13" t="s">
        <v>188</v>
      </c>
      <c r="K176" s="5" t="s">
        <v>182</v>
      </c>
      <c r="L176" s="3"/>
      <c r="M176" s="3">
        <v>1</v>
      </c>
      <c r="N176" s="13" t="s">
        <v>96</v>
      </c>
      <c r="O176" s="36" t="s">
        <v>80</v>
      </c>
      <c r="P176" s="7">
        <v>3.68</v>
      </c>
      <c r="Q176" s="3">
        <v>38</v>
      </c>
      <c r="R176" s="3">
        <v>1.53</v>
      </c>
      <c r="S176" s="13">
        <v>24.8366013071895</v>
      </c>
      <c r="T176" s="21">
        <v>14</v>
      </c>
      <c r="U176" s="21">
        <v>19</v>
      </c>
      <c r="V176" s="21">
        <v>67</v>
      </c>
      <c r="W176" s="6"/>
      <c r="X176" s="3"/>
      <c r="Y176" s="13" t="s">
        <v>82</v>
      </c>
      <c r="Z176" s="3">
        <v>4</v>
      </c>
      <c r="AA176" s="3">
        <v>4</v>
      </c>
      <c r="AB176" s="9">
        <v>-1.31851434605815</v>
      </c>
      <c r="AC176" s="9">
        <v>0.000192271262992729</v>
      </c>
      <c r="AD176" s="25">
        <v>-1.1314021114911</v>
      </c>
      <c r="AE176" s="25">
        <v>0.00400086710213743</v>
      </c>
      <c r="AF176" s="9">
        <v>0.187112234567048</v>
      </c>
      <c r="AG176" s="9">
        <v>0.00419313836513016</v>
      </c>
      <c r="AH176" s="25">
        <v>-0.760637422162362</v>
      </c>
      <c r="AI176" s="25">
        <v>0.00520616409829236</v>
      </c>
      <c r="AJ176" s="4">
        <v>-0.557876923895784</v>
      </c>
      <c r="AK176" s="4">
        <v>0.00539843536128511</v>
      </c>
      <c r="AL176" s="3">
        <v>-0.370764689328738</v>
      </c>
      <c r="AM176" s="3">
        <v>0.0092070312004298</v>
      </c>
      <c r="AN176" s="4">
        <v>0.220967271891614</v>
      </c>
      <c r="AO176" s="4">
        <v>0.000282163044034908</v>
      </c>
      <c r="AP176" s="3">
        <v>-0.781942679343076</v>
      </c>
      <c r="AQ176" s="3">
        <v>0.0107671898116009</v>
      </c>
      <c r="AR176" s="4"/>
      <c r="AS176" s="4"/>
      <c r="AT176" s="3"/>
      <c r="AU176" s="3"/>
      <c r="AV176" s="4"/>
      <c r="AW176" s="4"/>
      <c r="AX176" s="3">
        <v>0.0213052571807176</v>
      </c>
      <c r="AY176" s="3">
        <v>0.0159733539098932</v>
      </c>
    </row>
    <row r="177" s="4" customFormat="1" spans="1:49">
      <c r="A177" s="4">
        <v>176</v>
      </c>
      <c r="B177" s="18">
        <v>33</v>
      </c>
      <c r="C177" s="19" t="s">
        <v>189</v>
      </c>
      <c r="D177" s="5" t="s">
        <v>190</v>
      </c>
      <c r="E177" s="9">
        <v>29.6</v>
      </c>
      <c r="F177" s="9">
        <v>79.667</v>
      </c>
      <c r="G177" s="20">
        <v>18.9750003814697</v>
      </c>
      <c r="H177" s="21">
        <v>1005</v>
      </c>
      <c r="I177" s="4">
        <v>1250</v>
      </c>
      <c r="J177" s="5" t="s">
        <v>94</v>
      </c>
      <c r="K177" s="5" t="s">
        <v>78</v>
      </c>
      <c r="L177" s="4">
        <v>2016</v>
      </c>
      <c r="M177" s="4">
        <v>9</v>
      </c>
      <c r="N177" s="5" t="s">
        <v>108</v>
      </c>
      <c r="O177" s="28" t="s">
        <v>80</v>
      </c>
      <c r="P177" s="29">
        <v>6.4</v>
      </c>
      <c r="Q177" s="4">
        <v>7.31</v>
      </c>
      <c r="R177" s="4">
        <v>0.82</v>
      </c>
      <c r="S177" s="13">
        <v>8.91463414634146</v>
      </c>
      <c r="T177" s="21">
        <v>20</v>
      </c>
      <c r="U177" s="21">
        <v>36</v>
      </c>
      <c r="V177" s="21">
        <v>44</v>
      </c>
      <c r="W177" s="18">
        <v>21</v>
      </c>
      <c r="X177" s="5" t="s">
        <v>91</v>
      </c>
      <c r="Y177" s="5" t="s">
        <v>82</v>
      </c>
      <c r="Z177" s="5">
        <v>4</v>
      </c>
      <c r="AA177" s="5">
        <v>4</v>
      </c>
      <c r="AB177" s="9">
        <v>-0.0257185292879891</v>
      </c>
      <c r="AC177" s="9">
        <v>0.000520274098917438</v>
      </c>
      <c r="AD177" s="9">
        <v>0.182321556793955</v>
      </c>
      <c r="AE177" s="9">
        <v>0.0115027777777778</v>
      </c>
      <c r="AF177" s="9">
        <v>0.208040086081945</v>
      </c>
      <c r="AG177" s="9">
        <v>0.0120230518766952</v>
      </c>
      <c r="AH177" s="9"/>
      <c r="AI177" s="9"/>
      <c r="AJ177" s="4"/>
      <c r="AK177" s="4"/>
      <c r="AL177" s="4"/>
      <c r="AM177" s="4"/>
      <c r="AN177" s="4"/>
      <c r="AO177" s="4"/>
      <c r="AP177" s="4"/>
      <c r="AQ177" s="4"/>
      <c r="AR177" s="4"/>
      <c r="AS177" s="4"/>
      <c r="AT177" s="4"/>
      <c r="AU177" s="4"/>
      <c r="AV177" s="4">
        <v>0.082238098236972</v>
      </c>
      <c r="AW177" s="4">
        <v>0.000839735386398327</v>
      </c>
    </row>
    <row r="178" s="4" customFormat="1" spans="1:49">
      <c r="A178" s="4">
        <v>177</v>
      </c>
      <c r="B178" s="18">
        <v>33</v>
      </c>
      <c r="C178" s="19" t="s">
        <v>189</v>
      </c>
      <c r="D178" s="5" t="s">
        <v>190</v>
      </c>
      <c r="E178" s="9">
        <v>29.6</v>
      </c>
      <c r="F178" s="9">
        <v>79.667</v>
      </c>
      <c r="G178" s="20">
        <v>18.9750003814697</v>
      </c>
      <c r="H178" s="21">
        <v>1005</v>
      </c>
      <c r="I178" s="4">
        <v>1250</v>
      </c>
      <c r="J178" s="5" t="s">
        <v>94</v>
      </c>
      <c r="K178" s="5" t="s">
        <v>78</v>
      </c>
      <c r="L178" s="4">
        <v>2016</v>
      </c>
      <c r="M178" s="4">
        <v>9</v>
      </c>
      <c r="N178" s="5" t="s">
        <v>108</v>
      </c>
      <c r="O178" s="28" t="s">
        <v>136</v>
      </c>
      <c r="P178" s="29">
        <v>6.3</v>
      </c>
      <c r="Q178" s="4">
        <v>6.09</v>
      </c>
      <c r="R178" s="4">
        <v>0.7</v>
      </c>
      <c r="S178" s="13">
        <v>8.7</v>
      </c>
      <c r="T178" s="21">
        <v>20</v>
      </c>
      <c r="U178" s="21">
        <v>36</v>
      </c>
      <c r="V178" s="21">
        <v>44</v>
      </c>
      <c r="W178" s="18">
        <v>21</v>
      </c>
      <c r="X178" s="5" t="s">
        <v>91</v>
      </c>
      <c r="Y178" s="5" t="s">
        <v>82</v>
      </c>
      <c r="Z178" s="5">
        <v>4</v>
      </c>
      <c r="AA178" s="5">
        <v>4</v>
      </c>
      <c r="AB178" s="9">
        <v>-0.0259754864032607</v>
      </c>
      <c r="AC178" s="9">
        <v>0.000845891243582195</v>
      </c>
      <c r="AD178" s="9">
        <v>0</v>
      </c>
      <c r="AE178" s="9">
        <v>0.0115625</v>
      </c>
      <c r="AF178" s="9">
        <v>0.025975486403261</v>
      </c>
      <c r="AG178" s="9">
        <v>0.0124083912435823</v>
      </c>
      <c r="AH178" s="9"/>
      <c r="AI178" s="9"/>
      <c r="AJ178" s="4"/>
      <c r="AK178" s="4"/>
      <c r="AL178" s="4"/>
      <c r="AM178" s="4"/>
      <c r="AN178" s="4"/>
      <c r="AO178" s="4"/>
      <c r="AP178" s="4"/>
      <c r="AQ178" s="4"/>
      <c r="AR178" s="4"/>
      <c r="AS178" s="4"/>
      <c r="AT178" s="4"/>
      <c r="AU178" s="4"/>
      <c r="AV178" s="4">
        <v>0.109199291964992</v>
      </c>
      <c r="AW178" s="4">
        <v>0.00543792808645667</v>
      </c>
    </row>
    <row r="179" s="4" customFormat="1" spans="1:49">
      <c r="A179" s="4">
        <v>178</v>
      </c>
      <c r="B179" s="18">
        <v>33</v>
      </c>
      <c r="C179" s="19" t="s">
        <v>189</v>
      </c>
      <c r="D179" s="5" t="s">
        <v>190</v>
      </c>
      <c r="E179" s="9">
        <v>29.6</v>
      </c>
      <c r="F179" s="9">
        <v>79.667</v>
      </c>
      <c r="G179" s="20">
        <v>18.9750003814697</v>
      </c>
      <c r="H179" s="21">
        <v>1005</v>
      </c>
      <c r="I179" s="4">
        <v>1250</v>
      </c>
      <c r="J179" s="5" t="s">
        <v>90</v>
      </c>
      <c r="K179" s="5" t="s">
        <v>78</v>
      </c>
      <c r="L179" s="4">
        <v>2016</v>
      </c>
      <c r="M179" s="4">
        <v>9</v>
      </c>
      <c r="N179" s="5" t="s">
        <v>108</v>
      </c>
      <c r="O179" s="28" t="s">
        <v>80</v>
      </c>
      <c r="P179" s="29">
        <v>6.4</v>
      </c>
      <c r="Q179" s="4">
        <v>7.31</v>
      </c>
      <c r="R179" s="4">
        <v>0.82</v>
      </c>
      <c r="S179" s="13">
        <v>8.91463414634146</v>
      </c>
      <c r="T179" s="21">
        <v>20</v>
      </c>
      <c r="U179" s="21">
        <v>36</v>
      </c>
      <c r="V179" s="21">
        <v>44</v>
      </c>
      <c r="W179" s="18">
        <v>21</v>
      </c>
      <c r="X179" s="5" t="s">
        <v>91</v>
      </c>
      <c r="Y179" s="5" t="s">
        <v>82</v>
      </c>
      <c r="Z179" s="5">
        <v>4</v>
      </c>
      <c r="AA179" s="5">
        <v>4</v>
      </c>
      <c r="AB179" s="9">
        <v>0.00778214044205495</v>
      </c>
      <c r="AC179" s="9">
        <v>6.8134330555579e-5</v>
      </c>
      <c r="AD179" s="9">
        <v>0.336472236621213</v>
      </c>
      <c r="AE179" s="9">
        <v>0.0122326530612245</v>
      </c>
      <c r="AF179" s="9">
        <v>0.328690096179157</v>
      </c>
      <c r="AG179" s="9">
        <v>0.0123007873917801</v>
      </c>
      <c r="AH179" s="9"/>
      <c r="AI179" s="9"/>
      <c r="AJ179" s="4"/>
      <c r="AK179" s="4"/>
      <c r="AL179" s="4"/>
      <c r="AM179" s="4"/>
      <c r="AN179" s="4"/>
      <c r="AO179" s="4"/>
      <c r="AP179" s="4"/>
      <c r="AQ179" s="4"/>
      <c r="AR179" s="4"/>
      <c r="AS179" s="4"/>
      <c r="AT179" s="4"/>
      <c r="AU179" s="4"/>
      <c r="AV179" s="4">
        <v>0.158224005214894</v>
      </c>
      <c r="AW179" s="4">
        <v>0.000727528864014374</v>
      </c>
    </row>
    <row r="180" s="4" customFormat="1" spans="1:49">
      <c r="A180" s="4">
        <v>179</v>
      </c>
      <c r="B180" s="18">
        <v>33</v>
      </c>
      <c r="C180" s="19" t="s">
        <v>189</v>
      </c>
      <c r="D180" s="5" t="s">
        <v>190</v>
      </c>
      <c r="E180" s="9">
        <v>29.6</v>
      </c>
      <c r="F180" s="9">
        <v>79.667</v>
      </c>
      <c r="G180" s="20">
        <v>18.9750003814697</v>
      </c>
      <c r="H180" s="21">
        <v>1005</v>
      </c>
      <c r="I180" s="4">
        <v>1250</v>
      </c>
      <c r="J180" s="5" t="s">
        <v>90</v>
      </c>
      <c r="K180" s="5" t="s">
        <v>78</v>
      </c>
      <c r="L180" s="4">
        <v>2016</v>
      </c>
      <c r="M180" s="4">
        <v>9</v>
      </c>
      <c r="N180" s="5" t="s">
        <v>108</v>
      </c>
      <c r="O180" s="28" t="s">
        <v>136</v>
      </c>
      <c r="P180" s="29">
        <v>6.3</v>
      </c>
      <c r="Q180" s="4">
        <v>6.09</v>
      </c>
      <c r="R180" s="4">
        <v>0.7</v>
      </c>
      <c r="S180" s="13">
        <v>8.7</v>
      </c>
      <c r="T180" s="21">
        <v>20</v>
      </c>
      <c r="U180" s="21">
        <v>36</v>
      </c>
      <c r="V180" s="21">
        <v>44</v>
      </c>
      <c r="W180" s="18">
        <v>21</v>
      </c>
      <c r="X180" s="5" t="s">
        <v>91</v>
      </c>
      <c r="Y180" s="5" t="s">
        <v>82</v>
      </c>
      <c r="Z180" s="5">
        <v>4</v>
      </c>
      <c r="AA180" s="5">
        <v>4</v>
      </c>
      <c r="AB180" s="9">
        <v>1e-7</v>
      </c>
      <c r="AC180" s="9">
        <v>0.000940007933014926</v>
      </c>
      <c r="AD180" s="9">
        <v>0.22314355131421</v>
      </c>
      <c r="AE180" s="9">
        <v>0.01575625</v>
      </c>
      <c r="AF180" s="9">
        <v>0.223143551314212</v>
      </c>
      <c r="AG180" s="9">
        <v>0.016696257933015</v>
      </c>
      <c r="AH180" s="9"/>
      <c r="AI180" s="9"/>
      <c r="AJ180" s="4"/>
      <c r="AK180" s="4"/>
      <c r="AL180" s="4"/>
      <c r="AM180" s="4"/>
      <c r="AN180" s="4"/>
      <c r="AO180" s="4"/>
      <c r="AP180" s="4"/>
      <c r="AQ180" s="4"/>
      <c r="AR180" s="4"/>
      <c r="AS180" s="4"/>
      <c r="AT180" s="4"/>
      <c r="AU180" s="4"/>
      <c r="AV180" s="4">
        <v>0.238411023444998</v>
      </c>
      <c r="AW180" s="4">
        <v>0.00333324172331165</v>
      </c>
    </row>
    <row r="181" s="3" customFormat="1" spans="1:63">
      <c r="A181" s="4">
        <v>180</v>
      </c>
      <c r="B181" s="6">
        <v>34</v>
      </c>
      <c r="C181" s="24" t="s">
        <v>191</v>
      </c>
      <c r="D181" s="13" t="s">
        <v>192</v>
      </c>
      <c r="E181" s="25">
        <v>-24.898</v>
      </c>
      <c r="F181" s="25">
        <v>-65.466</v>
      </c>
      <c r="G181" s="26">
        <v>20.4</v>
      </c>
      <c r="H181" s="27">
        <v>900</v>
      </c>
      <c r="I181" s="3"/>
      <c r="J181" s="13" t="s">
        <v>193</v>
      </c>
      <c r="K181" s="5" t="s">
        <v>182</v>
      </c>
      <c r="L181" s="3"/>
      <c r="M181" s="3">
        <v>7</v>
      </c>
      <c r="N181" s="13" t="s">
        <v>79</v>
      </c>
      <c r="O181" s="36" t="s">
        <v>80</v>
      </c>
      <c r="P181" s="20"/>
      <c r="Q181" s="3">
        <f t="shared" ref="Q181:Q190" si="0">13.1*0.58</f>
        <v>7.598</v>
      </c>
      <c r="R181" s="5"/>
      <c r="S181" s="13"/>
      <c r="T181" s="8">
        <v>24</v>
      </c>
      <c r="U181" s="8">
        <v>44</v>
      </c>
      <c r="V181" s="8">
        <v>32</v>
      </c>
      <c r="W181" s="6">
        <v>50</v>
      </c>
      <c r="X181" s="13" t="s">
        <v>141</v>
      </c>
      <c r="Y181" s="13" t="s">
        <v>82</v>
      </c>
      <c r="Z181" s="3">
        <v>3</v>
      </c>
      <c r="AA181" s="3">
        <v>3</v>
      </c>
      <c r="AB181" s="9">
        <v>-1.14081264315849</v>
      </c>
      <c r="AC181" s="9">
        <v>0.000256361683990305</v>
      </c>
      <c r="AD181" s="25"/>
      <c r="AE181" s="25"/>
      <c r="AF181" s="9"/>
      <c r="AG181" s="9"/>
      <c r="AH181" s="25">
        <v>-1.022116255678</v>
      </c>
      <c r="AI181" s="25">
        <v>0.0069415521310565</v>
      </c>
      <c r="AJ181" s="4">
        <v>-0.118696387480483</v>
      </c>
      <c r="AK181" s="4">
        <v>0.00719791381504674</v>
      </c>
      <c r="AL181" s="3"/>
      <c r="AM181" s="3"/>
      <c r="AN181" s="4">
        <v>-0.0716638925140369</v>
      </c>
      <c r="AO181" s="4">
        <v>0.000376217392046545</v>
      </c>
      <c r="AP181" s="3">
        <v>-1.09861228866811</v>
      </c>
      <c r="AQ181" s="3">
        <v>0.0143562530821344</v>
      </c>
      <c r="AR181" s="4"/>
      <c r="AS181" s="4"/>
      <c r="AT181" s="3"/>
      <c r="AU181" s="3"/>
      <c r="AV181" s="4"/>
      <c r="AW181" s="4"/>
      <c r="AX181" s="3">
        <v>0.0764960329901062</v>
      </c>
      <c r="AY181" s="3">
        <v>0.021297805213191</v>
      </c>
      <c r="BB181" s="3">
        <v>-1.96451989277803</v>
      </c>
      <c r="BC181" s="3">
        <v>0.0069415521310565</v>
      </c>
      <c r="BJ181" s="3">
        <v>0.285711628464482</v>
      </c>
      <c r="BK181" s="3">
        <v>0.00823045267489712</v>
      </c>
    </row>
    <row r="182" s="3" customFormat="1" spans="1:63">
      <c r="A182" s="4">
        <v>181</v>
      </c>
      <c r="B182" s="6">
        <v>34</v>
      </c>
      <c r="C182" s="24" t="s">
        <v>191</v>
      </c>
      <c r="D182" s="13" t="s">
        <v>194</v>
      </c>
      <c r="E182" s="25">
        <v>-24.898</v>
      </c>
      <c r="F182" s="25">
        <v>-65.466</v>
      </c>
      <c r="G182" s="26">
        <v>20.4</v>
      </c>
      <c r="H182" s="27">
        <v>900</v>
      </c>
      <c r="I182" s="3"/>
      <c r="J182" s="13" t="s">
        <v>193</v>
      </c>
      <c r="K182" s="5" t="s">
        <v>182</v>
      </c>
      <c r="L182" s="3"/>
      <c r="M182" s="3">
        <v>7</v>
      </c>
      <c r="N182" s="13" t="s">
        <v>79</v>
      </c>
      <c r="O182" s="36" t="s">
        <v>80</v>
      </c>
      <c r="P182" s="20"/>
      <c r="Q182" s="3">
        <f t="shared" si="0"/>
        <v>7.598</v>
      </c>
      <c r="R182" s="5"/>
      <c r="S182" s="13"/>
      <c r="T182" s="8">
        <v>24</v>
      </c>
      <c r="U182" s="8">
        <v>44</v>
      </c>
      <c r="V182" s="8">
        <v>32</v>
      </c>
      <c r="W182" s="6">
        <v>50</v>
      </c>
      <c r="X182" s="13" t="s">
        <v>141</v>
      </c>
      <c r="Y182" s="13" t="s">
        <v>82</v>
      </c>
      <c r="Z182" s="3">
        <v>3</v>
      </c>
      <c r="AA182" s="3">
        <v>3</v>
      </c>
      <c r="AB182" s="9">
        <v>-1.383543327748</v>
      </c>
      <c r="AC182" s="9">
        <v>0.000256361683990306</v>
      </c>
      <c r="AD182" s="25"/>
      <c r="AE182" s="25"/>
      <c r="AF182" s="9"/>
      <c r="AG182" s="9"/>
      <c r="AH182" s="25">
        <v>-0.871293365943419</v>
      </c>
      <c r="AI182" s="25">
        <v>0.00694155213105653</v>
      </c>
      <c r="AJ182" s="4">
        <v>-0.512249961804584</v>
      </c>
      <c r="AK182" s="4">
        <v>0.00719791381504679</v>
      </c>
      <c r="AL182" s="3"/>
      <c r="AM182" s="3"/>
      <c r="AN182" s="4">
        <v>-0.0569143625879747</v>
      </c>
      <c r="AO182" s="4">
        <v>0.000376217392046546</v>
      </c>
      <c r="AP182" s="3">
        <v>-1.00330210886378</v>
      </c>
      <c r="AQ182" s="3">
        <v>0.0143562530821345</v>
      </c>
      <c r="AR182" s="4"/>
      <c r="AS182" s="4"/>
      <c r="AT182" s="3"/>
      <c r="AU182" s="3"/>
      <c r="AV182" s="4"/>
      <c r="AW182" s="4"/>
      <c r="AX182" s="3">
        <v>0.132008742920365</v>
      </c>
      <c r="AY182" s="3">
        <v>0.0212978052131911</v>
      </c>
      <c r="BB182" s="3">
        <v>-2.13241316767192</v>
      </c>
      <c r="BC182" s="3">
        <v>0.0069415521310565</v>
      </c>
      <c r="BJ182" s="3">
        <v>0.249563114348171</v>
      </c>
      <c r="BK182" s="3">
        <v>0.00823045267489711</v>
      </c>
    </row>
    <row r="183" s="3" customFormat="1" spans="1:63">
      <c r="A183" s="4">
        <v>182</v>
      </c>
      <c r="B183" s="6">
        <v>34</v>
      </c>
      <c r="C183" s="24" t="s">
        <v>191</v>
      </c>
      <c r="D183" s="13" t="s">
        <v>195</v>
      </c>
      <c r="E183" s="25">
        <v>-24.898</v>
      </c>
      <c r="F183" s="25">
        <v>-65.466</v>
      </c>
      <c r="G183" s="26">
        <v>20.4</v>
      </c>
      <c r="H183" s="27">
        <v>900</v>
      </c>
      <c r="I183" s="3"/>
      <c r="J183" s="13" t="s">
        <v>193</v>
      </c>
      <c r="K183" s="5" t="s">
        <v>182</v>
      </c>
      <c r="L183" s="3"/>
      <c r="M183" s="3">
        <v>7</v>
      </c>
      <c r="N183" s="13" t="s">
        <v>79</v>
      </c>
      <c r="O183" s="36" t="s">
        <v>80</v>
      </c>
      <c r="P183" s="20"/>
      <c r="Q183" s="3">
        <f t="shared" si="0"/>
        <v>7.598</v>
      </c>
      <c r="R183" s="5"/>
      <c r="S183" s="13"/>
      <c r="T183" s="8">
        <v>24</v>
      </c>
      <c r="U183" s="8">
        <v>44</v>
      </c>
      <c r="V183" s="8">
        <v>32</v>
      </c>
      <c r="W183" s="6">
        <v>50</v>
      </c>
      <c r="X183" s="13" t="s">
        <v>141</v>
      </c>
      <c r="Y183" s="13" t="s">
        <v>82</v>
      </c>
      <c r="Z183" s="3">
        <v>3</v>
      </c>
      <c r="AA183" s="3">
        <v>3</v>
      </c>
      <c r="AB183" s="9">
        <v>-1.53769400757526</v>
      </c>
      <c r="AC183" s="9">
        <v>0.000256361683990304</v>
      </c>
      <c r="AD183" s="25"/>
      <c r="AE183" s="25"/>
      <c r="AF183" s="9"/>
      <c r="AG183" s="9"/>
      <c r="AH183" s="25">
        <v>-0.976653881601245</v>
      </c>
      <c r="AI183" s="25">
        <v>0.0069415521310565</v>
      </c>
      <c r="AJ183" s="4">
        <v>-0.561040125974016</v>
      </c>
      <c r="AK183" s="4">
        <v>0.00719791381504676</v>
      </c>
      <c r="AL183" s="3"/>
      <c r="AM183" s="3"/>
      <c r="AN183" s="4">
        <v>-0.0467176245674597</v>
      </c>
      <c r="AO183" s="4">
        <v>0.000376217392046545</v>
      </c>
      <c r="AP183" s="3">
        <v>-1.00330210886378</v>
      </c>
      <c r="AQ183" s="3">
        <v>0.0143562530821345</v>
      </c>
      <c r="AR183" s="4"/>
      <c r="AS183" s="4"/>
      <c r="AT183" s="3"/>
      <c r="AU183" s="3"/>
      <c r="AV183" s="4"/>
      <c r="AW183" s="4"/>
      <c r="AX183" s="3">
        <v>0.0266482272625385</v>
      </c>
      <c r="AY183" s="3">
        <v>0.021297805213191</v>
      </c>
      <c r="BB183" s="3">
        <v>-1.72649341077211</v>
      </c>
      <c r="BC183" s="3">
        <v>0.00694155213105653</v>
      </c>
      <c r="BJ183" s="3">
        <v>0.297476470044069</v>
      </c>
      <c r="BK183" s="3">
        <v>0.00823045267489711</v>
      </c>
    </row>
    <row r="184" s="3" customFormat="1" spans="1:63">
      <c r="A184" s="4">
        <v>183</v>
      </c>
      <c r="B184" s="6">
        <v>34</v>
      </c>
      <c r="C184" s="24" t="s">
        <v>191</v>
      </c>
      <c r="D184" s="13" t="s">
        <v>195</v>
      </c>
      <c r="E184" s="25">
        <v>-24.898</v>
      </c>
      <c r="F184" s="25">
        <v>-65.466</v>
      </c>
      <c r="G184" s="26">
        <v>20.4</v>
      </c>
      <c r="H184" s="27">
        <v>900</v>
      </c>
      <c r="I184" s="3"/>
      <c r="J184" s="13" t="s">
        <v>193</v>
      </c>
      <c r="K184" s="5" t="s">
        <v>182</v>
      </c>
      <c r="L184" s="3"/>
      <c r="M184" s="3">
        <v>7</v>
      </c>
      <c r="N184" s="13" t="s">
        <v>79</v>
      </c>
      <c r="O184" s="36" t="s">
        <v>80</v>
      </c>
      <c r="P184" s="20"/>
      <c r="Q184" s="3">
        <f t="shared" si="0"/>
        <v>7.598</v>
      </c>
      <c r="R184" s="5"/>
      <c r="S184" s="13"/>
      <c r="T184" s="8">
        <v>24</v>
      </c>
      <c r="U184" s="8">
        <v>44</v>
      </c>
      <c r="V184" s="8">
        <v>32</v>
      </c>
      <c r="W184" s="6">
        <v>50</v>
      </c>
      <c r="X184" s="13" t="s">
        <v>141</v>
      </c>
      <c r="Y184" s="13" t="s">
        <v>82</v>
      </c>
      <c r="Z184" s="3">
        <v>3</v>
      </c>
      <c r="AA184" s="3">
        <v>3</v>
      </c>
      <c r="AB184" s="9">
        <v>-1.53769400757526</v>
      </c>
      <c r="AC184" s="9">
        <v>0.000256361683990304</v>
      </c>
      <c r="AD184" s="25"/>
      <c r="AE184" s="25"/>
      <c r="AF184" s="9"/>
      <c r="AG184" s="9"/>
      <c r="AH184" s="25">
        <v>-0.933168769661507</v>
      </c>
      <c r="AI184" s="25">
        <v>0.0069415521310565</v>
      </c>
      <c r="AJ184" s="4">
        <v>-0.604525237913756</v>
      </c>
      <c r="AK184" s="4">
        <v>0.00719791381504677</v>
      </c>
      <c r="AL184" s="3"/>
      <c r="AM184" s="3"/>
      <c r="AN184" s="4">
        <v>-0.0510749299364154</v>
      </c>
      <c r="AO184" s="4">
        <v>0.000376217392046544</v>
      </c>
      <c r="AP184" s="3">
        <v>-1.09861228866811</v>
      </c>
      <c r="AQ184" s="3">
        <v>0.0143562530821344</v>
      </c>
      <c r="AR184" s="4"/>
      <c r="AS184" s="4"/>
      <c r="AT184" s="3"/>
      <c r="AU184" s="3"/>
      <c r="AV184" s="4"/>
      <c r="AW184" s="4"/>
      <c r="AX184" s="3">
        <v>0.165443519006602</v>
      </c>
      <c r="AY184" s="3">
        <v>0.021297805213191</v>
      </c>
      <c r="BB184" s="3">
        <v>-1.75695261825682</v>
      </c>
      <c r="BC184" s="3">
        <v>0.0069415521310565</v>
      </c>
      <c r="BJ184" s="3">
        <v>0.249563114348171</v>
      </c>
      <c r="BK184" s="3">
        <v>0.00823045267489711</v>
      </c>
    </row>
    <row r="185" s="3" customFormat="1" spans="1:63">
      <c r="A185" s="4">
        <v>184</v>
      </c>
      <c r="B185" s="6">
        <v>34</v>
      </c>
      <c r="C185" s="24" t="s">
        <v>191</v>
      </c>
      <c r="D185" s="13" t="s">
        <v>195</v>
      </c>
      <c r="E185" s="25">
        <v>-24.898</v>
      </c>
      <c r="F185" s="25">
        <v>-65.466</v>
      </c>
      <c r="G185" s="26">
        <v>20.4</v>
      </c>
      <c r="H185" s="27">
        <v>900</v>
      </c>
      <c r="I185" s="3"/>
      <c r="J185" s="13" t="s">
        <v>193</v>
      </c>
      <c r="K185" s="5" t="s">
        <v>182</v>
      </c>
      <c r="L185" s="3"/>
      <c r="M185" s="3">
        <v>7</v>
      </c>
      <c r="N185" s="13" t="s">
        <v>79</v>
      </c>
      <c r="O185" s="36" t="s">
        <v>80</v>
      </c>
      <c r="P185" s="20"/>
      <c r="Q185" s="3">
        <f t="shared" si="0"/>
        <v>7.598</v>
      </c>
      <c r="R185" s="5"/>
      <c r="S185" s="13"/>
      <c r="T185" s="8">
        <v>24</v>
      </c>
      <c r="U185" s="8">
        <v>44</v>
      </c>
      <c r="V185" s="8">
        <v>32</v>
      </c>
      <c r="W185" s="6">
        <v>50</v>
      </c>
      <c r="X185" s="13" t="s">
        <v>141</v>
      </c>
      <c r="Y185" s="13" t="s">
        <v>82</v>
      </c>
      <c r="Z185" s="3">
        <v>3</v>
      </c>
      <c r="AA185" s="3">
        <v>3</v>
      </c>
      <c r="AB185" s="9">
        <v>-1.49995367959241</v>
      </c>
      <c r="AC185" s="9">
        <v>0.000256361683990306</v>
      </c>
      <c r="AD185" s="25"/>
      <c r="AE185" s="25"/>
      <c r="AF185" s="9"/>
      <c r="AG185" s="9"/>
      <c r="AH185" s="25">
        <v>-0.976653881601245</v>
      </c>
      <c r="AI185" s="25">
        <v>0.0069415521310565</v>
      </c>
      <c r="AJ185" s="4">
        <v>-0.523299797991169</v>
      </c>
      <c r="AK185" s="4">
        <v>0.00719791381504677</v>
      </c>
      <c r="AL185" s="3"/>
      <c r="AM185" s="3"/>
      <c r="AN185" s="4">
        <v>-0.0467176245674597</v>
      </c>
      <c r="AO185" s="4">
        <v>0.000376217392046545</v>
      </c>
      <c r="AP185" s="3">
        <v>-1.09861228866811</v>
      </c>
      <c r="AQ185" s="3">
        <v>0.0143562530821344</v>
      </c>
      <c r="AR185" s="4"/>
      <c r="AS185" s="4"/>
      <c r="AT185" s="3"/>
      <c r="AU185" s="3"/>
      <c r="AV185" s="4"/>
      <c r="AW185" s="4"/>
      <c r="AX185" s="3">
        <v>0.121958407066864</v>
      </c>
      <c r="AY185" s="3">
        <v>0.021297805213191</v>
      </c>
      <c r="BB185" s="3">
        <v>-2.00452522739173</v>
      </c>
      <c r="BC185" s="3">
        <v>0.00694155213105651</v>
      </c>
      <c r="BJ185" s="3">
        <v>0.249563114348171</v>
      </c>
      <c r="BK185" s="3">
        <v>0.00823045267489711</v>
      </c>
    </row>
    <row r="186" s="3" customFormat="1" spans="1:63">
      <c r="A186" s="4">
        <v>185</v>
      </c>
      <c r="B186" s="6">
        <v>34</v>
      </c>
      <c r="C186" s="24" t="s">
        <v>191</v>
      </c>
      <c r="D186" s="13" t="s">
        <v>195</v>
      </c>
      <c r="E186" s="25">
        <v>-24.898</v>
      </c>
      <c r="F186" s="25">
        <v>-65.466</v>
      </c>
      <c r="G186" s="26">
        <v>20.4</v>
      </c>
      <c r="H186" s="27">
        <v>900</v>
      </c>
      <c r="I186" s="3"/>
      <c r="J186" s="13" t="s">
        <v>193</v>
      </c>
      <c r="K186" s="5" t="s">
        <v>182</v>
      </c>
      <c r="L186" s="3"/>
      <c r="M186" s="3">
        <v>7</v>
      </c>
      <c r="N186" s="13" t="s">
        <v>79</v>
      </c>
      <c r="O186" s="36" t="s">
        <v>80</v>
      </c>
      <c r="P186" s="20"/>
      <c r="Q186" s="3">
        <f t="shared" si="0"/>
        <v>7.598</v>
      </c>
      <c r="R186" s="5"/>
      <c r="S186" s="13"/>
      <c r="T186" s="8">
        <v>24</v>
      </c>
      <c r="U186" s="8">
        <v>44</v>
      </c>
      <c r="V186" s="8">
        <v>32</v>
      </c>
      <c r="W186" s="6">
        <v>50</v>
      </c>
      <c r="X186" s="13" t="s">
        <v>141</v>
      </c>
      <c r="Y186" s="13" t="s">
        <v>82</v>
      </c>
      <c r="Z186" s="3">
        <v>3</v>
      </c>
      <c r="AA186" s="3">
        <v>3</v>
      </c>
      <c r="AB186" s="9">
        <v>-1.26679281670581</v>
      </c>
      <c r="AC186" s="9">
        <v>0.000256361683990306</v>
      </c>
      <c r="AD186" s="25"/>
      <c r="AE186" s="25"/>
      <c r="AF186" s="9"/>
      <c r="AG186" s="9"/>
      <c r="AH186" s="25">
        <v>-1.01823077021715</v>
      </c>
      <c r="AI186" s="25">
        <v>0.00694155213105649</v>
      </c>
      <c r="AJ186" s="4">
        <v>-0.24856204648865</v>
      </c>
      <c r="AK186" s="4">
        <v>0.00719791381504675</v>
      </c>
      <c r="AL186" s="3"/>
      <c r="AM186" s="3"/>
      <c r="AN186" s="4">
        <v>-0.0700881618483663</v>
      </c>
      <c r="AO186" s="4">
        <v>0.000376217392046545</v>
      </c>
      <c r="AP186" s="3">
        <v>-1.01160091167848</v>
      </c>
      <c r="AQ186" s="3">
        <v>0.0143562530821344</v>
      </c>
      <c r="AR186" s="4"/>
      <c r="AS186" s="4"/>
      <c r="AT186" s="3"/>
      <c r="AU186" s="3"/>
      <c r="AV186" s="4"/>
      <c r="AW186" s="4"/>
      <c r="AX186" s="3">
        <v>-0.0066298585386679</v>
      </c>
      <c r="AY186" s="3">
        <v>0.021297805213191</v>
      </c>
      <c r="BB186" s="3">
        <v>-1.56606712050477</v>
      </c>
      <c r="BC186" s="3">
        <v>0.0069415521310565</v>
      </c>
      <c r="BJ186" s="3">
        <v>0.489918938946677</v>
      </c>
      <c r="BK186" s="3">
        <v>0.00823045267489713</v>
      </c>
    </row>
    <row r="187" s="3" customFormat="1" spans="1:63">
      <c r="A187" s="4">
        <v>186</v>
      </c>
      <c r="B187" s="6">
        <v>34</v>
      </c>
      <c r="C187" s="24" t="s">
        <v>191</v>
      </c>
      <c r="D187" s="13" t="s">
        <v>195</v>
      </c>
      <c r="E187" s="25">
        <v>-24.898</v>
      </c>
      <c r="F187" s="25">
        <v>-65.466</v>
      </c>
      <c r="G187" s="26">
        <v>20.4</v>
      </c>
      <c r="H187" s="27">
        <v>900</v>
      </c>
      <c r="I187" s="3"/>
      <c r="J187" s="13" t="s">
        <v>193</v>
      </c>
      <c r="K187" s="5" t="s">
        <v>182</v>
      </c>
      <c r="L187" s="3"/>
      <c r="M187" s="3">
        <v>7</v>
      </c>
      <c r="N187" s="13" t="s">
        <v>79</v>
      </c>
      <c r="O187" s="36" t="s">
        <v>80</v>
      </c>
      <c r="P187" s="20"/>
      <c r="Q187" s="3">
        <f t="shared" si="0"/>
        <v>7.598</v>
      </c>
      <c r="R187" s="5"/>
      <c r="S187" s="13"/>
      <c r="T187" s="8">
        <v>24</v>
      </c>
      <c r="U187" s="8">
        <v>44</v>
      </c>
      <c r="V187" s="8">
        <v>32</v>
      </c>
      <c r="W187" s="6">
        <v>50</v>
      </c>
      <c r="X187" s="13" t="s">
        <v>141</v>
      </c>
      <c r="Y187" s="13" t="s">
        <v>82</v>
      </c>
      <c r="Z187" s="3">
        <v>3</v>
      </c>
      <c r="AA187" s="3">
        <v>3</v>
      </c>
      <c r="AB187" s="9">
        <v>-1.09552109609844</v>
      </c>
      <c r="AC187" s="9">
        <v>0.000256361683990305</v>
      </c>
      <c r="AD187" s="25"/>
      <c r="AE187" s="25"/>
      <c r="AF187" s="9"/>
      <c r="AG187" s="9"/>
      <c r="AH187" s="25">
        <v>-0.829830167346813</v>
      </c>
      <c r="AI187" s="25">
        <v>0.00694155213105647</v>
      </c>
      <c r="AJ187" s="4">
        <v>-0.265690928751622</v>
      </c>
      <c r="AK187" s="4">
        <v>0.00719791381504676</v>
      </c>
      <c r="AL187" s="3"/>
      <c r="AM187" s="3"/>
      <c r="AN187" s="4">
        <v>-0.0470675108579859</v>
      </c>
      <c r="AO187" s="4">
        <v>0.000376217392046545</v>
      </c>
      <c r="AP187" s="3">
        <v>-0.693147180559945</v>
      </c>
      <c r="AQ187" s="3">
        <v>0.0143562530821345</v>
      </c>
      <c r="AR187" s="4"/>
      <c r="AS187" s="4"/>
      <c r="AT187" s="3"/>
      <c r="AU187" s="3"/>
      <c r="AV187" s="4"/>
      <c r="AW187" s="4"/>
      <c r="AX187" s="3">
        <v>-0.136682986786866</v>
      </c>
      <c r="AY187" s="3">
        <v>0.0212978052131909</v>
      </c>
      <c r="BB187" s="3">
        <v>-1.46424985223248</v>
      </c>
      <c r="BC187" s="3">
        <v>0.00694155213105649</v>
      </c>
      <c r="BJ187" s="3">
        <v>0.482851771723585</v>
      </c>
      <c r="BK187" s="3">
        <v>0.00823045267489714</v>
      </c>
    </row>
    <row r="188" s="3" customFormat="1" spans="1:63">
      <c r="A188" s="4">
        <v>187</v>
      </c>
      <c r="B188" s="6">
        <v>34</v>
      </c>
      <c r="C188" s="24" t="s">
        <v>191</v>
      </c>
      <c r="D188" s="13" t="s">
        <v>195</v>
      </c>
      <c r="E188" s="25">
        <v>-24.898</v>
      </c>
      <c r="F188" s="25">
        <v>-65.466</v>
      </c>
      <c r="G188" s="26">
        <v>20.4</v>
      </c>
      <c r="H188" s="27">
        <v>900</v>
      </c>
      <c r="I188" s="3"/>
      <c r="J188" s="13" t="s">
        <v>193</v>
      </c>
      <c r="K188" s="5" t="s">
        <v>182</v>
      </c>
      <c r="L188" s="3"/>
      <c r="M188" s="3">
        <v>7</v>
      </c>
      <c r="N188" s="13" t="s">
        <v>79</v>
      </c>
      <c r="O188" s="36" t="s">
        <v>80</v>
      </c>
      <c r="P188" s="20"/>
      <c r="Q188" s="3">
        <f t="shared" si="0"/>
        <v>7.598</v>
      </c>
      <c r="R188" s="5"/>
      <c r="S188" s="13"/>
      <c r="T188" s="8">
        <v>24</v>
      </c>
      <c r="U188" s="8">
        <v>44</v>
      </c>
      <c r="V188" s="8">
        <v>32</v>
      </c>
      <c r="W188" s="6">
        <v>50</v>
      </c>
      <c r="X188" s="13" t="s">
        <v>141</v>
      </c>
      <c r="Y188" s="13" t="s">
        <v>82</v>
      </c>
      <c r="Z188" s="3">
        <v>3</v>
      </c>
      <c r="AA188" s="3">
        <v>3</v>
      </c>
      <c r="AB188" s="9">
        <v>-0.910117872767074</v>
      </c>
      <c r="AC188" s="9">
        <v>0.000256361683990305</v>
      </c>
      <c r="AD188" s="25"/>
      <c r="AE188" s="25"/>
      <c r="AF188" s="9"/>
      <c r="AG188" s="9"/>
      <c r="AH188" s="25">
        <v>-0.770989667323879</v>
      </c>
      <c r="AI188" s="25">
        <v>0.00694155213105648</v>
      </c>
      <c r="AJ188" s="4">
        <v>-0.13912820544319</v>
      </c>
      <c r="AK188" s="4">
        <v>0.00719791381504678</v>
      </c>
      <c r="AL188" s="3"/>
      <c r="AM188" s="3"/>
      <c r="AN188" s="4">
        <v>-0.0880568553911828</v>
      </c>
      <c r="AO188" s="4">
        <v>0.000376217392046544</v>
      </c>
      <c r="AP188" s="3">
        <v>-0.693147180559945</v>
      </c>
      <c r="AQ188" s="3">
        <v>0.0143562530821345</v>
      </c>
      <c r="AR188" s="4"/>
      <c r="AS188" s="4"/>
      <c r="AT188" s="3"/>
      <c r="AU188" s="3"/>
      <c r="AV188" s="4"/>
      <c r="AW188" s="4"/>
      <c r="AX188" s="3">
        <v>-0.0778424867639329</v>
      </c>
      <c r="AY188" s="3">
        <v>0.021297805213191</v>
      </c>
      <c r="BB188" s="3">
        <v>-0.837643842143788</v>
      </c>
      <c r="BC188" s="3">
        <v>0.00694155213105651</v>
      </c>
      <c r="BJ188" s="3">
        <v>0.496936511605323</v>
      </c>
      <c r="BK188" s="3">
        <v>0.00823045267489713</v>
      </c>
    </row>
    <row r="189" s="3" customFormat="1" spans="1:63">
      <c r="A189" s="4">
        <v>188</v>
      </c>
      <c r="B189" s="6">
        <v>34</v>
      </c>
      <c r="C189" s="24" t="s">
        <v>191</v>
      </c>
      <c r="D189" s="13" t="s">
        <v>195</v>
      </c>
      <c r="E189" s="25">
        <v>-24.898</v>
      </c>
      <c r="F189" s="25">
        <v>-65.466</v>
      </c>
      <c r="G189" s="26">
        <v>20.4</v>
      </c>
      <c r="H189" s="27">
        <v>900</v>
      </c>
      <c r="I189" s="3"/>
      <c r="J189" s="13" t="s">
        <v>193</v>
      </c>
      <c r="K189" s="5" t="s">
        <v>182</v>
      </c>
      <c r="L189" s="3"/>
      <c r="M189" s="3">
        <v>7</v>
      </c>
      <c r="N189" s="13" t="s">
        <v>79</v>
      </c>
      <c r="O189" s="36" t="s">
        <v>80</v>
      </c>
      <c r="P189" s="20"/>
      <c r="Q189" s="3">
        <f t="shared" si="0"/>
        <v>7.598</v>
      </c>
      <c r="R189" s="5"/>
      <c r="S189" s="13"/>
      <c r="T189" s="8">
        <v>24</v>
      </c>
      <c r="U189" s="8">
        <v>44</v>
      </c>
      <c r="V189" s="8">
        <v>32</v>
      </c>
      <c r="W189" s="6">
        <v>50</v>
      </c>
      <c r="X189" s="13" t="s">
        <v>141</v>
      </c>
      <c r="Y189" s="13" t="s">
        <v>82</v>
      </c>
      <c r="Z189" s="3">
        <v>3</v>
      </c>
      <c r="AA189" s="3">
        <v>3</v>
      </c>
      <c r="AB189" s="9">
        <v>-0.79404570151432</v>
      </c>
      <c r="AC189" s="9">
        <v>0.000256361683990305</v>
      </c>
      <c r="AD189" s="25"/>
      <c r="AE189" s="25"/>
      <c r="AF189" s="9"/>
      <c r="AG189" s="9"/>
      <c r="AH189" s="25">
        <v>-0.733602135252259</v>
      </c>
      <c r="AI189" s="25">
        <v>0.00694155213105647</v>
      </c>
      <c r="AJ189" s="4">
        <v>-0.0604435662620608</v>
      </c>
      <c r="AK189" s="4">
        <v>0.00719791381504679</v>
      </c>
      <c r="AL189" s="3"/>
      <c r="AM189" s="3"/>
      <c r="AN189" s="4">
        <v>-0.126441098399498</v>
      </c>
      <c r="AO189" s="4">
        <v>0.000376217392046544</v>
      </c>
      <c r="AP189" s="3">
        <v>-0.693147180559945</v>
      </c>
      <c r="AQ189" s="3">
        <v>0.0143562530821345</v>
      </c>
      <c r="AR189" s="4"/>
      <c r="AS189" s="4"/>
      <c r="AT189" s="3"/>
      <c r="AU189" s="3"/>
      <c r="AV189" s="4"/>
      <c r="AW189" s="4"/>
      <c r="AX189" s="3">
        <v>-0.0404549546923119</v>
      </c>
      <c r="AY189" s="3">
        <v>0.0212978052131909</v>
      </c>
      <c r="BB189" s="3">
        <v>-0.754779697640604</v>
      </c>
      <c r="BC189" s="3">
        <v>0.00694155213105649</v>
      </c>
      <c r="BJ189" s="3">
        <v>0.416893803931787</v>
      </c>
      <c r="BK189" s="3">
        <v>0.00823045267489714</v>
      </c>
    </row>
    <row r="190" s="3" customFormat="1" spans="1:63">
      <c r="A190" s="4">
        <v>189</v>
      </c>
      <c r="B190" s="6">
        <v>34</v>
      </c>
      <c r="C190" s="24" t="s">
        <v>191</v>
      </c>
      <c r="D190" s="13" t="s">
        <v>195</v>
      </c>
      <c r="E190" s="25">
        <v>-24.898</v>
      </c>
      <c r="F190" s="25">
        <v>-65.466</v>
      </c>
      <c r="G190" s="26">
        <v>20.4</v>
      </c>
      <c r="H190" s="27">
        <v>900</v>
      </c>
      <c r="I190" s="3"/>
      <c r="J190" s="13" t="s">
        <v>193</v>
      </c>
      <c r="K190" s="5" t="s">
        <v>182</v>
      </c>
      <c r="L190" s="3"/>
      <c r="M190" s="3">
        <v>7</v>
      </c>
      <c r="N190" s="13" t="s">
        <v>79</v>
      </c>
      <c r="O190" s="36" t="s">
        <v>80</v>
      </c>
      <c r="P190" s="20"/>
      <c r="Q190" s="3">
        <f t="shared" si="0"/>
        <v>7.598</v>
      </c>
      <c r="R190" s="5"/>
      <c r="S190" s="13"/>
      <c r="T190" s="8">
        <v>24</v>
      </c>
      <c r="U190" s="8">
        <v>44</v>
      </c>
      <c r="V190" s="8">
        <v>32</v>
      </c>
      <c r="W190" s="6">
        <v>50</v>
      </c>
      <c r="X190" s="13" t="s">
        <v>141</v>
      </c>
      <c r="Y190" s="13" t="s">
        <v>82</v>
      </c>
      <c r="Z190" s="3">
        <v>3</v>
      </c>
      <c r="AA190" s="3">
        <v>3</v>
      </c>
      <c r="AB190" s="9">
        <v>-0.998528830111127</v>
      </c>
      <c r="AC190" s="9">
        <v>0.000256361683990304</v>
      </c>
      <c r="AD190" s="25"/>
      <c r="AE190" s="25"/>
      <c r="AF190" s="9"/>
      <c r="AG190" s="9"/>
      <c r="AH190" s="25">
        <v>-0.871073125880862</v>
      </c>
      <c r="AI190" s="25">
        <v>0.00694155213105649</v>
      </c>
      <c r="AJ190" s="4">
        <v>-0.127455704230261</v>
      </c>
      <c r="AK190" s="4">
        <v>0.00719791381504678</v>
      </c>
      <c r="AL190" s="3"/>
      <c r="AM190" s="3"/>
      <c r="AN190" s="4">
        <v>-0.0605448038014665</v>
      </c>
      <c r="AO190" s="4">
        <v>0.000376217392046545</v>
      </c>
      <c r="AP190" s="3">
        <v>-0.78845736036427</v>
      </c>
      <c r="AQ190" s="3">
        <v>0.0143562530821344</v>
      </c>
      <c r="AR190" s="4"/>
      <c r="AS190" s="4"/>
      <c r="AT190" s="3"/>
      <c r="AU190" s="3"/>
      <c r="AV190" s="4"/>
      <c r="AW190" s="4"/>
      <c r="AX190" s="3">
        <v>-0.0826157655165899</v>
      </c>
      <c r="AY190" s="3">
        <v>0.021297805213191</v>
      </c>
      <c r="BB190" s="3">
        <v>-1.43186607005037</v>
      </c>
      <c r="BC190" s="3">
        <v>0.00694155213105649</v>
      </c>
      <c r="BJ190" s="3">
        <v>0.482851771723585</v>
      </c>
      <c r="BK190" s="3">
        <v>0.00823045267489714</v>
      </c>
    </row>
    <row r="191" s="4" customFormat="1" spans="1:39">
      <c r="A191" s="4">
        <v>190</v>
      </c>
      <c r="B191" s="18">
        <v>35</v>
      </c>
      <c r="C191" s="19" t="s">
        <v>134</v>
      </c>
      <c r="D191" s="5" t="s">
        <v>196</v>
      </c>
      <c r="E191" s="9">
        <v>22.985047</v>
      </c>
      <c r="F191" s="9">
        <v>40.535922</v>
      </c>
      <c r="G191" s="20">
        <v>26.9500007629395</v>
      </c>
      <c r="H191" s="21">
        <v>93</v>
      </c>
      <c r="I191" s="4"/>
      <c r="J191" s="5" t="s">
        <v>95</v>
      </c>
      <c r="K191" s="5" t="s">
        <v>78</v>
      </c>
      <c r="L191" s="4">
        <v>2014</v>
      </c>
      <c r="M191" s="4">
        <v>10</v>
      </c>
      <c r="N191" s="5" t="s">
        <v>108</v>
      </c>
      <c r="O191" s="28" t="s">
        <v>80</v>
      </c>
      <c r="P191" s="29">
        <v>8.3</v>
      </c>
      <c r="Q191" s="4">
        <v>7.5</v>
      </c>
      <c r="R191" s="5"/>
      <c r="S191" s="13"/>
      <c r="T191" s="34">
        <v>26.5</v>
      </c>
      <c r="U191" s="34">
        <v>47.6</v>
      </c>
      <c r="V191" s="34">
        <v>25.9</v>
      </c>
      <c r="W191" s="18">
        <v>15</v>
      </c>
      <c r="X191" s="5" t="s">
        <v>91</v>
      </c>
      <c r="Y191" s="5" t="s">
        <v>82</v>
      </c>
      <c r="Z191" s="4">
        <v>6</v>
      </c>
      <c r="AA191" s="4">
        <v>6</v>
      </c>
      <c r="AB191" s="9"/>
      <c r="AC191" s="9"/>
      <c r="AD191" s="9">
        <v>0.0465200156348929</v>
      </c>
      <c r="AE191" s="9">
        <v>0.00288912626574964</v>
      </c>
      <c r="AF191" s="9"/>
      <c r="AG191" s="9"/>
      <c r="AH191" s="9">
        <v>-0.0219789067187751</v>
      </c>
      <c r="AI191" s="9">
        <v>0.00347077606552825</v>
      </c>
      <c r="AJ191" s="4"/>
      <c r="AK191" s="4"/>
      <c r="AL191" s="4">
        <v>0.068498922353668</v>
      </c>
      <c r="AM191" s="4">
        <v>0.00635990233127792</v>
      </c>
    </row>
    <row r="192" s="4" customFormat="1" spans="1:39">
      <c r="A192" s="4">
        <v>191</v>
      </c>
      <c r="B192" s="18">
        <v>35</v>
      </c>
      <c r="C192" s="19" t="s">
        <v>134</v>
      </c>
      <c r="D192" s="5" t="s">
        <v>196</v>
      </c>
      <c r="E192" s="9">
        <v>22.985047</v>
      </c>
      <c r="F192" s="9">
        <v>40.535922</v>
      </c>
      <c r="G192" s="20">
        <v>26.9500007629395</v>
      </c>
      <c r="H192" s="21">
        <v>93</v>
      </c>
      <c r="I192" s="4"/>
      <c r="J192" s="5" t="s">
        <v>95</v>
      </c>
      <c r="K192" s="5" t="s">
        <v>78</v>
      </c>
      <c r="L192" s="4">
        <v>2014</v>
      </c>
      <c r="M192" s="4">
        <v>10</v>
      </c>
      <c r="N192" s="5" t="s">
        <v>108</v>
      </c>
      <c r="O192" s="28" t="s">
        <v>80</v>
      </c>
      <c r="P192" s="29">
        <v>8.3</v>
      </c>
      <c r="Q192" s="4">
        <v>7.5</v>
      </c>
      <c r="R192" s="5"/>
      <c r="S192" s="13"/>
      <c r="T192" s="34">
        <v>26.5</v>
      </c>
      <c r="U192" s="34">
        <v>47.6</v>
      </c>
      <c r="V192" s="34">
        <v>25.9</v>
      </c>
      <c r="W192" s="18">
        <v>15</v>
      </c>
      <c r="X192" s="5" t="s">
        <v>91</v>
      </c>
      <c r="Y192" s="5" t="s">
        <v>82</v>
      </c>
      <c r="Z192" s="4">
        <v>6</v>
      </c>
      <c r="AA192" s="4">
        <v>6</v>
      </c>
      <c r="AB192" s="9"/>
      <c r="AC192" s="9"/>
      <c r="AD192" s="9">
        <v>-0.271933715483642</v>
      </c>
      <c r="AE192" s="9">
        <v>0.00737109079743008</v>
      </c>
      <c r="AF192" s="9"/>
      <c r="AG192" s="9"/>
      <c r="AH192" s="9">
        <v>-0.0558804583944566</v>
      </c>
      <c r="AI192" s="9">
        <v>0.00347077606552825</v>
      </c>
      <c r="AJ192" s="4"/>
      <c r="AK192" s="4"/>
      <c r="AL192" s="4">
        <v>-0.216053257089181</v>
      </c>
      <c r="AM192" s="4">
        <v>0.0108418668629583</v>
      </c>
    </row>
    <row r="193" s="3" customFormat="1" spans="1:71">
      <c r="A193" s="4">
        <v>192</v>
      </c>
      <c r="B193" s="6">
        <v>36</v>
      </c>
      <c r="C193" s="24" t="s">
        <v>197</v>
      </c>
      <c r="D193" s="13" t="s">
        <v>198</v>
      </c>
      <c r="E193" s="3">
        <v>-5.92357</v>
      </c>
      <c r="F193" s="3">
        <v>-50.6</v>
      </c>
      <c r="G193" s="26">
        <v>26.2</v>
      </c>
      <c r="H193" s="27">
        <v>1900</v>
      </c>
      <c r="I193" s="3"/>
      <c r="J193" s="5" t="s">
        <v>199</v>
      </c>
      <c r="K193" s="5" t="s">
        <v>182</v>
      </c>
      <c r="L193" s="3"/>
      <c r="M193" s="3">
        <v>10</v>
      </c>
      <c r="N193" s="13" t="s">
        <v>87</v>
      </c>
      <c r="O193" s="36" t="s">
        <v>80</v>
      </c>
      <c r="P193" s="7">
        <v>4.47</v>
      </c>
      <c r="Q193" s="3">
        <f t="shared" ref="Q193:Q203" si="1">40*0.58</f>
        <v>23.2</v>
      </c>
      <c r="R193" s="5"/>
      <c r="S193" s="13"/>
      <c r="T193" s="21">
        <v>43</v>
      </c>
      <c r="U193" s="21">
        <v>17</v>
      </c>
      <c r="V193" s="21">
        <v>40</v>
      </c>
      <c r="W193" s="6">
        <v>16</v>
      </c>
      <c r="X193" s="5" t="s">
        <v>91</v>
      </c>
      <c r="Y193" s="13" t="s">
        <v>82</v>
      </c>
      <c r="Z193" s="3">
        <v>3</v>
      </c>
      <c r="AA193" s="3">
        <v>3</v>
      </c>
      <c r="AB193" s="9">
        <v>-1.68221446643101</v>
      </c>
      <c r="AC193" s="9">
        <v>0.0052619991057833</v>
      </c>
      <c r="AD193" s="25">
        <v>-2.31628393735221</v>
      </c>
      <c r="AE193" s="25">
        <v>0.0184276657160528</v>
      </c>
      <c r="AF193" s="9">
        <v>-0.634069470921194</v>
      </c>
      <c r="AG193" s="9">
        <v>0.0236896648218361</v>
      </c>
      <c r="AH193" s="25">
        <v>-2.70680098170178</v>
      </c>
      <c r="AI193" s="25">
        <v>0.0238127689451856</v>
      </c>
      <c r="AJ193" s="4">
        <v>1.02458651527076</v>
      </c>
      <c r="AK193" s="4">
        <v>0.0290747680509689</v>
      </c>
      <c r="AL193" s="3">
        <v>0.390517044349573</v>
      </c>
      <c r="AM193" s="3">
        <v>0.0422404346612385</v>
      </c>
      <c r="AN193" s="4">
        <v>0.14548427989486</v>
      </c>
      <c r="AO193" s="4">
        <v>0.000792012902394729</v>
      </c>
      <c r="AP193" s="3"/>
      <c r="AQ193" s="3"/>
      <c r="AR193" s="4"/>
      <c r="AS193" s="4"/>
      <c r="AT193" s="3"/>
      <c r="AU193" s="3"/>
      <c r="AV193" s="4"/>
      <c r="AW193" s="4"/>
      <c r="AX193" s="3"/>
      <c r="AY193" s="3"/>
      <c r="BN193" s="3">
        <v>-0.570544858467613</v>
      </c>
      <c r="BO193" s="3">
        <v>0.0069415521310565</v>
      </c>
      <c r="BR193" s="3">
        <v>-1.69151805534657</v>
      </c>
      <c r="BS193" s="3">
        <v>0.0258501151188981</v>
      </c>
    </row>
    <row r="194" s="3" customFormat="1" spans="1:71">
      <c r="A194" s="4">
        <v>193</v>
      </c>
      <c r="B194" s="6">
        <v>36</v>
      </c>
      <c r="C194" s="24" t="s">
        <v>197</v>
      </c>
      <c r="D194" s="13" t="s">
        <v>200</v>
      </c>
      <c r="E194" s="3">
        <v>-5.92357</v>
      </c>
      <c r="F194" s="3">
        <v>-50.6</v>
      </c>
      <c r="G194" s="26">
        <v>26.2</v>
      </c>
      <c r="H194" s="27">
        <v>1900</v>
      </c>
      <c r="I194" s="3"/>
      <c r="J194" s="13" t="s">
        <v>185</v>
      </c>
      <c r="K194" s="5" t="s">
        <v>182</v>
      </c>
      <c r="L194" s="3"/>
      <c r="M194" s="3">
        <v>10</v>
      </c>
      <c r="N194" s="13" t="s">
        <v>87</v>
      </c>
      <c r="O194" s="36" t="s">
        <v>80</v>
      </c>
      <c r="P194" s="7">
        <v>5.47</v>
      </c>
      <c r="Q194" s="3">
        <f t="shared" si="1"/>
        <v>23.2</v>
      </c>
      <c r="R194" s="5"/>
      <c r="S194" s="13"/>
      <c r="T194" s="21">
        <v>43</v>
      </c>
      <c r="U194" s="21">
        <v>17</v>
      </c>
      <c r="V194" s="21">
        <v>40</v>
      </c>
      <c r="W194" s="6">
        <v>12</v>
      </c>
      <c r="X194" s="5" t="s">
        <v>91</v>
      </c>
      <c r="Y194" s="13" t="s">
        <v>82</v>
      </c>
      <c r="Z194" s="3">
        <v>3</v>
      </c>
      <c r="AA194" s="3">
        <v>3</v>
      </c>
      <c r="AB194" s="9">
        <v>-1.0841323976678</v>
      </c>
      <c r="AC194" s="9">
        <v>0.0301696293201416</v>
      </c>
      <c r="AD194" s="25">
        <v>-0.4260843953109</v>
      </c>
      <c r="AE194" s="25">
        <v>0.0121357251800947</v>
      </c>
      <c r="AF194" s="9">
        <v>0.658048002356895</v>
      </c>
      <c r="AG194" s="9">
        <v>0.0423053545002364</v>
      </c>
      <c r="AH194" s="25">
        <v>-0.152859846644336</v>
      </c>
      <c r="AI194" s="25">
        <v>0.00181771448646156</v>
      </c>
      <c r="AJ194" s="4">
        <v>-0.931272551023458</v>
      </c>
      <c r="AK194" s="4">
        <v>0.0319873438066031</v>
      </c>
      <c r="AL194" s="3">
        <v>-0.273224548666561</v>
      </c>
      <c r="AM194" s="3">
        <v>0.0139534396665563</v>
      </c>
      <c r="AN194" s="4">
        <v>0.112049503808623</v>
      </c>
      <c r="AO194" s="4">
        <v>0.000800637275264545</v>
      </c>
      <c r="AP194" s="3"/>
      <c r="AQ194" s="3"/>
      <c r="AR194" s="4"/>
      <c r="AS194" s="4"/>
      <c r="AT194" s="3"/>
      <c r="AU194" s="3"/>
      <c r="AV194" s="4"/>
      <c r="AW194" s="4"/>
      <c r="AX194" s="3"/>
      <c r="AY194" s="3"/>
      <c r="BN194" s="3">
        <v>-0.139761942375159</v>
      </c>
      <c r="BO194" s="3">
        <v>0.00694155213105648</v>
      </c>
      <c r="BR194" s="3">
        <v>-0.0282755224625381</v>
      </c>
      <c r="BS194" s="3">
        <v>0.0212469104348542</v>
      </c>
    </row>
    <row r="195" s="3" customFormat="1" spans="1:71">
      <c r="A195" s="4">
        <v>194</v>
      </c>
      <c r="B195" s="6">
        <v>36</v>
      </c>
      <c r="C195" s="24" t="s">
        <v>197</v>
      </c>
      <c r="D195" s="13" t="s">
        <v>201</v>
      </c>
      <c r="E195" s="3">
        <v>-5.92357</v>
      </c>
      <c r="F195" s="3">
        <v>-50.6</v>
      </c>
      <c r="G195" s="26">
        <v>26.2</v>
      </c>
      <c r="H195" s="27">
        <v>1900</v>
      </c>
      <c r="I195" s="3"/>
      <c r="J195" s="13" t="s">
        <v>188</v>
      </c>
      <c r="K195" s="5" t="s">
        <v>182</v>
      </c>
      <c r="L195" s="3"/>
      <c r="M195" s="3">
        <v>10</v>
      </c>
      <c r="N195" s="13" t="s">
        <v>87</v>
      </c>
      <c r="O195" s="36" t="s">
        <v>80</v>
      </c>
      <c r="P195" s="7">
        <v>6.47</v>
      </c>
      <c r="Q195" s="3">
        <f t="shared" si="1"/>
        <v>23.2</v>
      </c>
      <c r="R195" s="5"/>
      <c r="S195" s="13"/>
      <c r="T195" s="21">
        <v>43</v>
      </c>
      <c r="U195" s="21">
        <v>17</v>
      </c>
      <c r="V195" s="21">
        <v>40</v>
      </c>
      <c r="W195" s="6">
        <v>10</v>
      </c>
      <c r="X195" s="5" t="s">
        <v>91</v>
      </c>
      <c r="Y195" s="13" t="s">
        <v>82</v>
      </c>
      <c r="Z195" s="3">
        <v>3</v>
      </c>
      <c r="AA195" s="3">
        <v>3</v>
      </c>
      <c r="AB195" s="9">
        <v>-0.16730272748903</v>
      </c>
      <c r="AC195" s="9">
        <v>0.00982897942662396</v>
      </c>
      <c r="AD195" s="25">
        <v>-0.346041687637364</v>
      </c>
      <c r="AE195" s="25">
        <v>0.0145592609569959</v>
      </c>
      <c r="AF195" s="9">
        <v>-0.178738960148333</v>
      </c>
      <c r="AG195" s="9">
        <v>0.0243882403836198</v>
      </c>
      <c r="AH195" s="25">
        <v>-0.22314355131421</v>
      </c>
      <c r="AI195" s="25">
        <v>0.0159534166666667</v>
      </c>
      <c r="AJ195" s="4">
        <v>0.05584082382518</v>
      </c>
      <c r="AK195" s="4">
        <v>0.0257823960932906</v>
      </c>
      <c r="AL195" s="3">
        <v>-0.122898136323153</v>
      </c>
      <c r="AM195" s="3">
        <v>0.0305126776236627</v>
      </c>
      <c r="AN195" s="4">
        <v>0.0712275092883678</v>
      </c>
      <c r="AO195" s="4">
        <v>0.000667303941931211</v>
      </c>
      <c r="AP195" s="3"/>
      <c r="AQ195" s="3"/>
      <c r="AR195" s="4"/>
      <c r="AS195" s="4"/>
      <c r="AT195" s="3"/>
      <c r="AU195" s="3"/>
      <c r="AV195" s="4"/>
      <c r="AW195" s="4"/>
      <c r="AX195" s="3"/>
      <c r="AY195" s="3"/>
      <c r="BN195" s="3">
        <v>0</v>
      </c>
      <c r="BO195" s="3">
        <v>0.00694155213105648</v>
      </c>
      <c r="BR195" s="3">
        <v>0.713808817160939</v>
      </c>
      <c r="BS195" s="3">
        <v>0.0703835472066047</v>
      </c>
    </row>
    <row r="196" s="3" customFormat="1" spans="1:71">
      <c r="A196" s="4">
        <v>195</v>
      </c>
      <c r="B196" s="6">
        <v>36</v>
      </c>
      <c r="C196" s="24" t="s">
        <v>197</v>
      </c>
      <c r="D196" s="13" t="s">
        <v>202</v>
      </c>
      <c r="E196" s="3">
        <v>-5.92357</v>
      </c>
      <c r="F196" s="3">
        <v>-50.6</v>
      </c>
      <c r="G196" s="26">
        <v>26.2</v>
      </c>
      <c r="H196" s="27">
        <v>1900</v>
      </c>
      <c r="I196" s="3"/>
      <c r="J196" s="13" t="s">
        <v>188</v>
      </c>
      <c r="K196" s="5" t="s">
        <v>182</v>
      </c>
      <c r="L196" s="3"/>
      <c r="M196" s="3">
        <v>10</v>
      </c>
      <c r="N196" s="13" t="s">
        <v>87</v>
      </c>
      <c r="O196" s="36" t="s">
        <v>80</v>
      </c>
      <c r="P196" s="7">
        <v>7.47</v>
      </c>
      <c r="Q196" s="3">
        <f t="shared" si="1"/>
        <v>23.2</v>
      </c>
      <c r="R196" s="5"/>
      <c r="S196" s="13"/>
      <c r="T196" s="21">
        <v>43</v>
      </c>
      <c r="U196" s="21">
        <v>17</v>
      </c>
      <c r="V196" s="21">
        <v>40</v>
      </c>
      <c r="W196" s="6">
        <v>3</v>
      </c>
      <c r="X196" s="5" t="s">
        <v>81</v>
      </c>
      <c r="Y196" s="13" t="s">
        <v>82</v>
      </c>
      <c r="Z196" s="3">
        <v>3</v>
      </c>
      <c r="AA196" s="3">
        <v>3</v>
      </c>
      <c r="AB196" s="9">
        <v>-0.378928808511096</v>
      </c>
      <c r="AC196" s="9">
        <v>0.015905071169835</v>
      </c>
      <c r="AD196" s="25">
        <v>-0.431306339292052</v>
      </c>
      <c r="AE196" s="25">
        <v>0.0118173477230826</v>
      </c>
      <c r="AF196" s="9">
        <v>-0.0523775307809575</v>
      </c>
      <c r="AG196" s="9">
        <v>0.0277224188929176</v>
      </c>
      <c r="AH196" s="25">
        <v>-0.29908011740415</v>
      </c>
      <c r="AI196" s="25">
        <v>0.00120825070526581</v>
      </c>
      <c r="AJ196" s="4">
        <v>-0.0798486911069448</v>
      </c>
      <c r="AK196" s="4">
        <v>0.0171133218751008</v>
      </c>
      <c r="AL196" s="3">
        <v>-0.132226221887901</v>
      </c>
      <c r="AM196" s="3">
        <v>0.0130255984283485</v>
      </c>
      <c r="AN196" s="4">
        <v>0.10603143148306</v>
      </c>
      <c r="AO196" s="4">
        <v>0.0012070953395456</v>
      </c>
      <c r="AP196" s="3"/>
      <c r="AQ196" s="3"/>
      <c r="AR196" s="4"/>
      <c r="AS196" s="4"/>
      <c r="AT196" s="3"/>
      <c r="AU196" s="3"/>
      <c r="AV196" s="4"/>
      <c r="AW196" s="4"/>
      <c r="AX196" s="3"/>
      <c r="AY196" s="3"/>
      <c r="BN196" s="3">
        <v>-0.302280871872934</v>
      </c>
      <c r="BO196" s="3">
        <v>0.00694155213105649</v>
      </c>
      <c r="BR196" s="3">
        <v>0.790947607565292</v>
      </c>
      <c r="BS196" s="3">
        <v>0.0331703056556973</v>
      </c>
    </row>
    <row r="197" s="3" customFormat="1" spans="1:71">
      <c r="A197" s="4">
        <v>196</v>
      </c>
      <c r="B197" s="6">
        <v>36</v>
      </c>
      <c r="C197" s="24" t="s">
        <v>197</v>
      </c>
      <c r="D197" s="13" t="s">
        <v>203</v>
      </c>
      <c r="E197" s="3">
        <v>-5.92357</v>
      </c>
      <c r="F197" s="3">
        <v>-50.6</v>
      </c>
      <c r="G197" s="26">
        <v>26.2</v>
      </c>
      <c r="H197" s="27">
        <v>1900</v>
      </c>
      <c r="I197" s="3"/>
      <c r="J197" s="5" t="s">
        <v>199</v>
      </c>
      <c r="K197" s="5" t="s">
        <v>182</v>
      </c>
      <c r="L197" s="3"/>
      <c r="M197" s="3">
        <v>10</v>
      </c>
      <c r="N197" s="13" t="s">
        <v>87</v>
      </c>
      <c r="O197" s="36" t="s">
        <v>80</v>
      </c>
      <c r="P197" s="7">
        <v>8.47</v>
      </c>
      <c r="Q197" s="3">
        <f t="shared" si="1"/>
        <v>23.2</v>
      </c>
      <c r="R197" s="5"/>
      <c r="S197" s="13"/>
      <c r="T197" s="21">
        <v>43</v>
      </c>
      <c r="U197" s="21">
        <v>17</v>
      </c>
      <c r="V197" s="21">
        <v>40</v>
      </c>
      <c r="W197" s="6">
        <v>16</v>
      </c>
      <c r="X197" s="5" t="s">
        <v>91</v>
      </c>
      <c r="Y197" s="13" t="s">
        <v>82</v>
      </c>
      <c r="Z197" s="3">
        <v>3</v>
      </c>
      <c r="AA197" s="3">
        <v>3</v>
      </c>
      <c r="AB197" s="9">
        <v>-3.18000505047921</v>
      </c>
      <c r="AC197" s="9">
        <v>0.0117142069046816</v>
      </c>
      <c r="AD197" s="25">
        <v>-2.14436108777915</v>
      </c>
      <c r="AE197" s="25">
        <v>0.014674532085291</v>
      </c>
      <c r="AF197" s="9">
        <v>1.03564396270006</v>
      </c>
      <c r="AG197" s="9">
        <v>0.0263887389899726</v>
      </c>
      <c r="AH197" s="25">
        <v>-3.12082188439281</v>
      </c>
      <c r="AI197" s="25">
        <v>0.00052559632187694</v>
      </c>
      <c r="AJ197" s="4">
        <v>-0.0591831660863943</v>
      </c>
      <c r="AK197" s="4">
        <v>0.0122398032265584</v>
      </c>
      <c r="AL197" s="3">
        <v>0.976460796613662</v>
      </c>
      <c r="AM197" s="3">
        <v>0.0152001284071679</v>
      </c>
      <c r="AN197" s="4">
        <v>0.220742589776672</v>
      </c>
      <c r="AO197" s="4">
        <v>0.000191693168247177</v>
      </c>
      <c r="AP197" s="3"/>
      <c r="AQ197" s="3"/>
      <c r="AR197" s="4"/>
      <c r="AS197" s="4"/>
      <c r="AT197" s="3"/>
      <c r="AU197" s="3"/>
      <c r="AV197" s="4"/>
      <c r="AW197" s="4"/>
      <c r="AX197" s="3"/>
      <c r="AY197" s="3"/>
      <c r="BN197" s="3">
        <v>-1.09861228866811</v>
      </c>
      <c r="BO197" s="3">
        <v>0.00694155213105652</v>
      </c>
      <c r="BR197" s="3">
        <v>-2.2368853425395</v>
      </c>
      <c r="BS197" s="3">
        <v>0.0370901181361769</v>
      </c>
    </row>
    <row r="198" s="3" customFormat="1" spans="1:71">
      <c r="A198" s="4">
        <v>197</v>
      </c>
      <c r="B198" s="6">
        <v>36</v>
      </c>
      <c r="C198" s="24" t="s">
        <v>197</v>
      </c>
      <c r="D198" s="13" t="s">
        <v>204</v>
      </c>
      <c r="E198" s="3">
        <v>-5.92357</v>
      </c>
      <c r="F198" s="3">
        <v>-50.6</v>
      </c>
      <c r="G198" s="26">
        <v>26.2</v>
      </c>
      <c r="H198" s="27">
        <v>1900</v>
      </c>
      <c r="I198" s="3"/>
      <c r="J198" s="13" t="s">
        <v>185</v>
      </c>
      <c r="K198" s="5" t="s">
        <v>182</v>
      </c>
      <c r="L198" s="3"/>
      <c r="M198" s="3">
        <v>10</v>
      </c>
      <c r="N198" s="13" t="s">
        <v>87</v>
      </c>
      <c r="O198" s="36" t="s">
        <v>80</v>
      </c>
      <c r="P198" s="7">
        <v>4.900000095</v>
      </c>
      <c r="Q198" s="3">
        <f t="shared" si="1"/>
        <v>23.2</v>
      </c>
      <c r="R198" s="5"/>
      <c r="S198" s="13"/>
      <c r="T198" s="21">
        <v>43</v>
      </c>
      <c r="U198" s="21">
        <v>17</v>
      </c>
      <c r="V198" s="21">
        <v>40</v>
      </c>
      <c r="W198" s="6">
        <v>12</v>
      </c>
      <c r="X198" s="5" t="s">
        <v>91</v>
      </c>
      <c r="Y198" s="13" t="s">
        <v>82</v>
      </c>
      <c r="Z198" s="3">
        <v>3</v>
      </c>
      <c r="AA198" s="3">
        <v>3</v>
      </c>
      <c r="AB198" s="9">
        <v>-1.54892796294163</v>
      </c>
      <c r="AC198" s="9">
        <v>0.0201880808264739</v>
      </c>
      <c r="AD198" s="25">
        <v>-0.960093354532548</v>
      </c>
      <c r="AE198" s="25">
        <v>0.0165377686650512</v>
      </c>
      <c r="AF198" s="9">
        <v>0.58883460840908</v>
      </c>
      <c r="AG198" s="9">
        <v>0.0367258494915253</v>
      </c>
      <c r="AH198" s="25">
        <v>-1.4465329996391</v>
      </c>
      <c r="AI198" s="25">
        <v>0.00711327525421621</v>
      </c>
      <c r="AJ198" s="4">
        <v>-0.10239496330253</v>
      </c>
      <c r="AK198" s="4">
        <v>0.02730135608069</v>
      </c>
      <c r="AL198" s="3">
        <v>0.486439645106549</v>
      </c>
      <c r="AM198" s="3">
        <v>0.0236510439192675</v>
      </c>
      <c r="AN198" s="4">
        <v>0.245435202367043</v>
      </c>
      <c r="AO198" s="4">
        <v>0.000202253239210854</v>
      </c>
      <c r="AP198" s="3"/>
      <c r="AQ198" s="3"/>
      <c r="AR198" s="4"/>
      <c r="AS198" s="4"/>
      <c r="AT198" s="3"/>
      <c r="AU198" s="3"/>
      <c r="AV198" s="4"/>
      <c r="AW198" s="4"/>
      <c r="AX198" s="3"/>
      <c r="AY198" s="3"/>
      <c r="BN198" s="3">
        <v>-0.606135803570316</v>
      </c>
      <c r="BO198" s="3">
        <v>0.0069415521310565</v>
      </c>
      <c r="BR198" s="3">
        <v>1.29880206426834</v>
      </c>
      <c r="BS198" s="3">
        <v>0.0865972726155771</v>
      </c>
    </row>
    <row r="199" s="3" customFormat="1" spans="1:71">
      <c r="A199" s="4">
        <v>198</v>
      </c>
      <c r="B199" s="6">
        <v>36</v>
      </c>
      <c r="C199" s="24" t="s">
        <v>197</v>
      </c>
      <c r="D199" s="13" t="s">
        <v>205</v>
      </c>
      <c r="E199" s="3">
        <v>-5.92357</v>
      </c>
      <c r="F199" s="3">
        <v>-50.6</v>
      </c>
      <c r="G199" s="26">
        <v>26.2</v>
      </c>
      <c r="H199" s="27">
        <v>1900</v>
      </c>
      <c r="I199" s="3"/>
      <c r="J199" s="13" t="s">
        <v>188</v>
      </c>
      <c r="K199" s="5" t="s">
        <v>182</v>
      </c>
      <c r="L199" s="3"/>
      <c r="M199" s="3">
        <v>10</v>
      </c>
      <c r="N199" s="13" t="s">
        <v>87</v>
      </c>
      <c r="O199" s="36" t="s">
        <v>80</v>
      </c>
      <c r="P199" s="7">
        <v>4.900000095</v>
      </c>
      <c r="Q199" s="3">
        <f t="shared" si="1"/>
        <v>23.2</v>
      </c>
      <c r="R199" s="5"/>
      <c r="S199" s="13"/>
      <c r="T199" s="21">
        <v>43</v>
      </c>
      <c r="U199" s="21">
        <v>17</v>
      </c>
      <c r="V199" s="21">
        <v>40</v>
      </c>
      <c r="W199" s="6">
        <v>10</v>
      </c>
      <c r="X199" s="5" t="s">
        <v>91</v>
      </c>
      <c r="Y199" s="13" t="s">
        <v>82</v>
      </c>
      <c r="Z199" s="3">
        <v>3</v>
      </c>
      <c r="AA199" s="3">
        <v>3</v>
      </c>
      <c r="AB199" s="9">
        <v>-0.955381498954874</v>
      </c>
      <c r="AC199" s="9">
        <v>0.062937727722797</v>
      </c>
      <c r="AD199" s="25">
        <v>-1.13054533577112</v>
      </c>
      <c r="AE199" s="25">
        <v>0.0224499067948896</v>
      </c>
      <c r="AF199" s="9">
        <v>-0.175163836816246</v>
      </c>
      <c r="AG199" s="9">
        <v>0.085387634517687</v>
      </c>
      <c r="AH199" s="25">
        <v>-1.32906241516476</v>
      </c>
      <c r="AI199" s="25">
        <v>0.0105404111366918</v>
      </c>
      <c r="AJ199" s="4">
        <v>0.373680916209883</v>
      </c>
      <c r="AK199" s="4">
        <v>0.0734781388594885</v>
      </c>
      <c r="AL199" s="3">
        <v>0.198517079393637</v>
      </c>
      <c r="AM199" s="3">
        <v>0.0329903179315815</v>
      </c>
      <c r="AN199" s="4">
        <v>0.239790784747366</v>
      </c>
      <c r="AO199" s="4">
        <v>0.000310359360249076</v>
      </c>
      <c r="AP199" s="3"/>
      <c r="AQ199" s="3"/>
      <c r="AR199" s="4"/>
      <c r="AS199" s="4"/>
      <c r="AT199" s="3"/>
      <c r="AU199" s="3"/>
      <c r="AV199" s="4"/>
      <c r="AW199" s="4"/>
      <c r="AX199" s="3"/>
      <c r="AY199" s="3"/>
      <c r="BN199" s="3">
        <v>-0.663294217410264</v>
      </c>
      <c r="BO199" s="3">
        <v>0.0069415521310565</v>
      </c>
      <c r="BR199" s="3">
        <v>0.783321707634759</v>
      </c>
      <c r="BS199" s="3">
        <v>0.172164068901327</v>
      </c>
    </row>
    <row r="200" s="3" customFormat="1" spans="1:71">
      <c r="A200" s="4">
        <v>199</v>
      </c>
      <c r="B200" s="6">
        <v>36</v>
      </c>
      <c r="C200" s="24" t="s">
        <v>197</v>
      </c>
      <c r="D200" s="13" t="s">
        <v>206</v>
      </c>
      <c r="E200" s="3">
        <v>-5.92357</v>
      </c>
      <c r="F200" s="3">
        <v>-50.6</v>
      </c>
      <c r="G200" s="26">
        <v>26.2</v>
      </c>
      <c r="H200" s="27">
        <v>1900</v>
      </c>
      <c r="I200" s="3"/>
      <c r="J200" s="5" t="s">
        <v>199</v>
      </c>
      <c r="K200" s="5" t="s">
        <v>182</v>
      </c>
      <c r="L200" s="3"/>
      <c r="M200" s="3">
        <v>10</v>
      </c>
      <c r="N200" s="13" t="s">
        <v>87</v>
      </c>
      <c r="O200" s="36" t="s">
        <v>80</v>
      </c>
      <c r="P200" s="7">
        <v>4.900000095</v>
      </c>
      <c r="Q200" s="3">
        <f t="shared" si="1"/>
        <v>23.2</v>
      </c>
      <c r="R200" s="5"/>
      <c r="S200" s="13"/>
      <c r="T200" s="21">
        <v>43</v>
      </c>
      <c r="U200" s="21">
        <v>17</v>
      </c>
      <c r="V200" s="21">
        <v>40</v>
      </c>
      <c r="W200" s="6">
        <v>16</v>
      </c>
      <c r="X200" s="5" t="s">
        <v>91</v>
      </c>
      <c r="Y200" s="13" t="s">
        <v>82</v>
      </c>
      <c r="Z200" s="3">
        <v>3</v>
      </c>
      <c r="AA200" s="3">
        <v>3</v>
      </c>
      <c r="AB200" s="9">
        <v>-3.76912457045125</v>
      </c>
      <c r="AC200" s="9">
        <v>0.000885683375751618</v>
      </c>
      <c r="AD200" s="25">
        <v>-2.18896006748633</v>
      </c>
      <c r="AE200" s="25">
        <v>0.00516520032368589</v>
      </c>
      <c r="AF200" s="9">
        <v>1.58016450296493</v>
      </c>
      <c r="AG200" s="9">
        <v>0.00605088369943749</v>
      </c>
      <c r="AH200" s="25">
        <v>-3.07569805519187</v>
      </c>
      <c r="AI200" s="25">
        <v>0.000300046159172144</v>
      </c>
      <c r="AJ200" s="4">
        <v>-0.693426515259381</v>
      </c>
      <c r="AK200" s="4">
        <v>0.00118572953492376</v>
      </c>
      <c r="AL200" s="3">
        <v>0.886737987705546</v>
      </c>
      <c r="AM200" s="3">
        <v>0.00546524648285803</v>
      </c>
      <c r="AN200" s="4">
        <v>0.276574095040144</v>
      </c>
      <c r="AO200" s="4">
        <v>0.00059501447183451</v>
      </c>
      <c r="AP200" s="3"/>
      <c r="AQ200" s="3"/>
      <c r="AR200" s="4"/>
      <c r="AS200" s="4"/>
      <c r="AT200" s="3"/>
      <c r="AU200" s="3"/>
      <c r="AV200" s="4"/>
      <c r="AW200" s="4"/>
      <c r="AX200" s="3"/>
      <c r="AY200" s="3"/>
      <c r="BN200" s="3">
        <v>-1.84582669049833</v>
      </c>
      <c r="BO200" s="3">
        <v>0.0069415521310565</v>
      </c>
      <c r="BR200" s="3">
        <v>-2.11021183171993</v>
      </c>
      <c r="BS200" s="3">
        <v>0.142585652967559</v>
      </c>
    </row>
    <row r="201" s="3" customFormat="1" spans="1:71">
      <c r="A201" s="4">
        <v>200</v>
      </c>
      <c r="B201" s="6">
        <v>36</v>
      </c>
      <c r="C201" s="24" t="s">
        <v>197</v>
      </c>
      <c r="D201" s="13" t="s">
        <v>207</v>
      </c>
      <c r="E201" s="3">
        <v>-5.92357</v>
      </c>
      <c r="F201" s="3">
        <v>-50.6</v>
      </c>
      <c r="G201" s="26">
        <v>26.2</v>
      </c>
      <c r="H201" s="27">
        <v>1900</v>
      </c>
      <c r="I201" s="3"/>
      <c r="J201" s="13" t="s">
        <v>185</v>
      </c>
      <c r="K201" s="5" t="s">
        <v>182</v>
      </c>
      <c r="L201" s="3"/>
      <c r="M201" s="3">
        <v>10</v>
      </c>
      <c r="N201" s="13" t="s">
        <v>87</v>
      </c>
      <c r="O201" s="36" t="s">
        <v>80</v>
      </c>
      <c r="P201" s="7">
        <v>4.900000095</v>
      </c>
      <c r="Q201" s="3">
        <f t="shared" si="1"/>
        <v>23.2</v>
      </c>
      <c r="R201" s="5"/>
      <c r="S201" s="13"/>
      <c r="T201" s="21">
        <v>43</v>
      </c>
      <c r="U201" s="21">
        <v>17</v>
      </c>
      <c r="V201" s="21">
        <v>40</v>
      </c>
      <c r="W201" s="6">
        <v>12</v>
      </c>
      <c r="X201" s="5" t="s">
        <v>91</v>
      </c>
      <c r="Y201" s="13" t="s">
        <v>82</v>
      </c>
      <c r="Z201" s="3">
        <v>3</v>
      </c>
      <c r="AA201" s="3">
        <v>3</v>
      </c>
      <c r="AB201" s="9">
        <v>-3.05000190348805</v>
      </c>
      <c r="AC201" s="9">
        <v>0.0567582838360359</v>
      </c>
      <c r="AD201" s="25">
        <v>-1.6346493317806</v>
      </c>
      <c r="AE201" s="25">
        <v>0.0596393213437553</v>
      </c>
      <c r="AF201" s="9">
        <v>1.41535257170745</v>
      </c>
      <c r="AG201" s="9">
        <v>0.116397605179791</v>
      </c>
      <c r="AH201" s="25">
        <v>-3.07569805519187</v>
      </c>
      <c r="AI201" s="25">
        <v>0.000300046159172144</v>
      </c>
      <c r="AJ201" s="4">
        <v>0.0256961517038236</v>
      </c>
      <c r="AK201" s="4">
        <v>0.057058329995208</v>
      </c>
      <c r="AL201" s="3">
        <v>1.44104872341127</v>
      </c>
      <c r="AM201" s="3">
        <v>0.0599393675029277</v>
      </c>
      <c r="AN201" s="4">
        <v>0.311239611140488</v>
      </c>
      <c r="AO201" s="4">
        <v>0.000567234473151608</v>
      </c>
      <c r="AP201" s="3"/>
      <c r="AQ201" s="3"/>
      <c r="AR201" s="4"/>
      <c r="AS201" s="4"/>
      <c r="AT201" s="3"/>
      <c r="AU201" s="3"/>
      <c r="AV201" s="4"/>
      <c r="AW201" s="4"/>
      <c r="AX201" s="3"/>
      <c r="AY201" s="3"/>
      <c r="BN201" s="3">
        <v>-1.15267950993839</v>
      </c>
      <c r="BO201" s="3">
        <v>0.0069415521310565</v>
      </c>
      <c r="BR201" s="3">
        <v>-2.08840853478695</v>
      </c>
      <c r="BS201" s="3">
        <v>0.062351040865897</v>
      </c>
    </row>
    <row r="202" s="3" customFormat="1" spans="1:71">
      <c r="A202" s="4">
        <v>201</v>
      </c>
      <c r="B202" s="6">
        <v>36</v>
      </c>
      <c r="C202" s="24" t="s">
        <v>197</v>
      </c>
      <c r="D202" s="13" t="s">
        <v>208</v>
      </c>
      <c r="E202" s="3">
        <v>-5.92357</v>
      </c>
      <c r="F202" s="3">
        <v>-50.6</v>
      </c>
      <c r="G202" s="26">
        <v>26.2</v>
      </c>
      <c r="H202" s="27">
        <v>1900</v>
      </c>
      <c r="I202" s="3"/>
      <c r="J202" s="13" t="s">
        <v>188</v>
      </c>
      <c r="K202" s="5" t="s">
        <v>182</v>
      </c>
      <c r="L202" s="3"/>
      <c r="M202" s="3">
        <v>10</v>
      </c>
      <c r="N202" s="13" t="s">
        <v>87</v>
      </c>
      <c r="O202" s="36" t="s">
        <v>80</v>
      </c>
      <c r="P202" s="7">
        <v>4.900000095</v>
      </c>
      <c r="Q202" s="3">
        <f t="shared" si="1"/>
        <v>23.2</v>
      </c>
      <c r="R202" s="5"/>
      <c r="S202" s="13"/>
      <c r="T202" s="21">
        <v>43</v>
      </c>
      <c r="U202" s="21">
        <v>17</v>
      </c>
      <c r="V202" s="21">
        <v>40</v>
      </c>
      <c r="W202" s="6">
        <v>10</v>
      </c>
      <c r="X202" s="5" t="s">
        <v>91</v>
      </c>
      <c r="Y202" s="13" t="s">
        <v>82</v>
      </c>
      <c r="Z202" s="3">
        <v>3</v>
      </c>
      <c r="AA202" s="3">
        <v>3</v>
      </c>
      <c r="AB202" s="9">
        <v>-2.6109201845809</v>
      </c>
      <c r="AC202" s="9">
        <v>0.0198019869826113</v>
      </c>
      <c r="AD202" s="25">
        <v>-2.30674310314271</v>
      </c>
      <c r="AE202" s="25">
        <v>0.0259985336570192</v>
      </c>
      <c r="AF202" s="9">
        <v>0.304177081438191</v>
      </c>
      <c r="AG202" s="9">
        <v>0.0458005206396304</v>
      </c>
      <c r="AH202" s="25">
        <v>-1.61013051317747</v>
      </c>
      <c r="AI202" s="25">
        <v>0.00363337949250548</v>
      </c>
      <c r="AJ202" s="4">
        <v>-1.00078967140343</v>
      </c>
      <c r="AK202" s="4">
        <v>0.0234353664751168</v>
      </c>
      <c r="AL202" s="3">
        <v>-0.696612589965235</v>
      </c>
      <c r="AM202" s="3">
        <v>0.0296319131495247</v>
      </c>
      <c r="AN202" s="4">
        <v>0.333144446528538</v>
      </c>
      <c r="AO202" s="4">
        <v>0.00101361096087975</v>
      </c>
      <c r="AP202" s="3"/>
      <c r="AQ202" s="3"/>
      <c r="AR202" s="4"/>
      <c r="AS202" s="4"/>
      <c r="AT202" s="3"/>
      <c r="AU202" s="3"/>
      <c r="AV202" s="4"/>
      <c r="AW202" s="4"/>
      <c r="AX202" s="3"/>
      <c r="AY202" s="3"/>
      <c r="BN202" s="3">
        <v>0</v>
      </c>
      <c r="BO202" s="3">
        <v>0.00694155213105649</v>
      </c>
      <c r="BR202" s="3">
        <v>0.713376943118088</v>
      </c>
      <c r="BS202" s="3">
        <v>0.331831033934018</v>
      </c>
    </row>
    <row r="203" s="3" customFormat="1" spans="1:71">
      <c r="A203" s="4">
        <v>202</v>
      </c>
      <c r="B203" s="6">
        <v>36</v>
      </c>
      <c r="C203" s="24" t="s">
        <v>197</v>
      </c>
      <c r="D203" s="13" t="s">
        <v>209</v>
      </c>
      <c r="E203" s="3">
        <v>-5.92357</v>
      </c>
      <c r="F203" s="3">
        <v>-50.6</v>
      </c>
      <c r="G203" s="26">
        <v>26.2</v>
      </c>
      <c r="H203" s="27">
        <v>1900</v>
      </c>
      <c r="I203" s="3"/>
      <c r="J203" s="13" t="s">
        <v>188</v>
      </c>
      <c r="K203" s="5" t="s">
        <v>182</v>
      </c>
      <c r="L203" s="3"/>
      <c r="M203" s="3">
        <v>10</v>
      </c>
      <c r="N203" s="13" t="s">
        <v>87</v>
      </c>
      <c r="O203" s="36" t="s">
        <v>80</v>
      </c>
      <c r="P203" s="7">
        <v>4.900000095</v>
      </c>
      <c r="Q203" s="3">
        <f t="shared" si="1"/>
        <v>23.2</v>
      </c>
      <c r="R203" s="5"/>
      <c r="S203" s="13"/>
      <c r="T203" s="21">
        <v>43</v>
      </c>
      <c r="U203" s="21">
        <v>17</v>
      </c>
      <c r="V203" s="21">
        <v>40</v>
      </c>
      <c r="W203" s="6">
        <v>3</v>
      </c>
      <c r="X203" s="5" t="s">
        <v>81</v>
      </c>
      <c r="Y203" s="13" t="s">
        <v>82</v>
      </c>
      <c r="Z203" s="3">
        <v>3</v>
      </c>
      <c r="AA203" s="3">
        <v>3</v>
      </c>
      <c r="AB203" s="9">
        <v>-0.662651543866293</v>
      </c>
      <c r="AC203" s="9">
        <v>0.0130928576778637</v>
      </c>
      <c r="AD203" s="25">
        <v>-0.3668031210739</v>
      </c>
      <c r="AE203" s="25">
        <v>0.0272647138714407</v>
      </c>
      <c r="AF203" s="9">
        <v>0.295848422792394</v>
      </c>
      <c r="AG203" s="9">
        <v>0.0403575715493042</v>
      </c>
      <c r="AH203" s="25">
        <v>-0.0393037999189921</v>
      </c>
      <c r="AI203" s="25">
        <v>0.00590055817964559</v>
      </c>
      <c r="AJ203" s="4">
        <v>-0.6233477439473</v>
      </c>
      <c r="AK203" s="4">
        <v>0.0189934158575092</v>
      </c>
      <c r="AL203" s="3">
        <v>-0.327499321154908</v>
      </c>
      <c r="AM203" s="3">
        <v>0.0331652720510862</v>
      </c>
      <c r="AN203" s="4">
        <v>0.370761310099845</v>
      </c>
      <c r="AO203" s="4">
        <v>0.000953216521573923</v>
      </c>
      <c r="AP203" s="3"/>
      <c r="AQ203" s="3"/>
      <c r="AR203" s="4"/>
      <c r="AS203" s="4"/>
      <c r="AT203" s="3"/>
      <c r="AU203" s="3"/>
      <c r="AV203" s="4"/>
      <c r="AW203" s="4"/>
      <c r="AX203" s="3"/>
      <c r="AY203" s="3"/>
      <c r="BN203" s="3">
        <v>-0.111225635110224</v>
      </c>
      <c r="BO203" s="3">
        <v>0.0069415521310565</v>
      </c>
      <c r="BR203" s="3">
        <v>0.01698156710152</v>
      </c>
      <c r="BS203" s="3">
        <v>0.0480612347126511</v>
      </c>
    </row>
    <row r="204" s="3" customFormat="1" spans="1:51">
      <c r="A204" s="4">
        <v>203</v>
      </c>
      <c r="B204" s="6">
        <v>38</v>
      </c>
      <c r="C204" s="24" t="s">
        <v>210</v>
      </c>
      <c r="D204" s="13" t="s">
        <v>211</v>
      </c>
      <c r="E204" s="3">
        <v>48.68</v>
      </c>
      <c r="F204" s="3">
        <v>126.32</v>
      </c>
      <c r="G204" s="26">
        <v>0.7</v>
      </c>
      <c r="H204" s="27">
        <v>515.7</v>
      </c>
      <c r="I204" s="3"/>
      <c r="J204" s="13" t="s">
        <v>181</v>
      </c>
      <c r="K204" s="5" t="s">
        <v>182</v>
      </c>
      <c r="L204" s="3">
        <v>2018</v>
      </c>
      <c r="M204" s="3">
        <v>9</v>
      </c>
      <c r="N204" s="13" t="s">
        <v>108</v>
      </c>
      <c r="O204" s="36" t="s">
        <v>80</v>
      </c>
      <c r="P204" s="7">
        <v>6.8</v>
      </c>
      <c r="Q204" s="3">
        <v>40.8</v>
      </c>
      <c r="R204" s="3">
        <v>3.21293</v>
      </c>
      <c r="S204" s="13">
        <v>12.6986893583116</v>
      </c>
      <c r="T204" s="21">
        <v>26</v>
      </c>
      <c r="U204" s="21">
        <v>46</v>
      </c>
      <c r="V204" s="21">
        <v>28</v>
      </c>
      <c r="W204" s="6"/>
      <c r="X204" s="3"/>
      <c r="Y204" s="13" t="s">
        <v>82</v>
      </c>
      <c r="Z204" s="3">
        <v>4</v>
      </c>
      <c r="AA204" s="3">
        <v>4</v>
      </c>
      <c r="AB204" s="9">
        <v>-0.0304592074847086</v>
      </c>
      <c r="AC204" s="9">
        <v>0.97161527261133</v>
      </c>
      <c r="AD204" s="25"/>
      <c r="AE204" s="25"/>
      <c r="AF204" s="9"/>
      <c r="AG204" s="9"/>
      <c r="AH204" s="25">
        <v>-0.258694535578529</v>
      </c>
      <c r="AI204" s="25">
        <v>0.00538713579113563</v>
      </c>
      <c r="AJ204" s="4">
        <v>0.228235328093821</v>
      </c>
      <c r="AK204" s="4">
        <v>0.977002408402469</v>
      </c>
      <c r="AL204" s="3"/>
      <c r="AM204" s="3"/>
      <c r="AN204" s="4">
        <v>0.0318406058556586</v>
      </c>
      <c r="AO204" s="4">
        <v>0.000110321940214782</v>
      </c>
      <c r="AP204" s="3">
        <v>-0.321079002180035</v>
      </c>
      <c r="AQ204" s="3">
        <v>0.00634589584450508</v>
      </c>
      <c r="AR204" s="4">
        <v>1.7132442603161</v>
      </c>
      <c r="AS204" s="4">
        <v>0.00648554686025954</v>
      </c>
      <c r="AT204" s="3"/>
      <c r="AU204" s="3"/>
      <c r="AV204" s="4"/>
      <c r="AW204" s="4"/>
      <c r="AX204" s="3">
        <v>0.0623844666015006</v>
      </c>
      <c r="AY204" s="3">
        <v>0.0117330316356407</v>
      </c>
    </row>
    <row r="205" s="3" customFormat="1" spans="1:51">
      <c r="A205" s="4">
        <v>204</v>
      </c>
      <c r="B205" s="6">
        <v>38</v>
      </c>
      <c r="C205" s="24" t="s">
        <v>210</v>
      </c>
      <c r="D205" s="13" t="s">
        <v>211</v>
      </c>
      <c r="E205" s="3">
        <v>48.21</v>
      </c>
      <c r="F205" s="3">
        <v>126.5</v>
      </c>
      <c r="G205" s="26">
        <v>1.2</v>
      </c>
      <c r="H205" s="27">
        <v>529</v>
      </c>
      <c r="I205" s="3"/>
      <c r="J205" s="13" t="s">
        <v>181</v>
      </c>
      <c r="K205" s="5" t="s">
        <v>182</v>
      </c>
      <c r="L205" s="3">
        <v>2018</v>
      </c>
      <c r="M205" s="3">
        <v>9</v>
      </c>
      <c r="N205" s="13" t="s">
        <v>108</v>
      </c>
      <c r="O205" s="36" t="s">
        <v>80</v>
      </c>
      <c r="P205" s="7">
        <v>7.98</v>
      </c>
      <c r="Q205" s="3">
        <v>30.5</v>
      </c>
      <c r="R205" s="3">
        <v>2.36954</v>
      </c>
      <c r="S205" s="13">
        <v>12.8716966162209</v>
      </c>
      <c r="T205" s="21">
        <v>28</v>
      </c>
      <c r="U205" s="21">
        <v>41</v>
      </c>
      <c r="V205" s="21">
        <v>31</v>
      </c>
      <c r="W205" s="6"/>
      <c r="X205" s="3"/>
      <c r="Y205" s="13" t="s">
        <v>82</v>
      </c>
      <c r="Z205" s="3">
        <v>4</v>
      </c>
      <c r="AA205" s="3">
        <v>4</v>
      </c>
      <c r="AB205" s="9">
        <v>-0.271933715483642</v>
      </c>
      <c r="AC205" s="9">
        <v>0.584405116213152</v>
      </c>
      <c r="AD205" s="25"/>
      <c r="AE205" s="25"/>
      <c r="AF205" s="9"/>
      <c r="AG205" s="9"/>
      <c r="AH205" s="25">
        <v>-0.140581950621189</v>
      </c>
      <c r="AI205" s="25">
        <v>0.0103750671264447</v>
      </c>
      <c r="AJ205" s="4">
        <v>-0.131351764862454</v>
      </c>
      <c r="AK205" s="4">
        <v>0.594780183339597</v>
      </c>
      <c r="AL205" s="3"/>
      <c r="AM205" s="3"/>
      <c r="AN205" s="4">
        <v>-0.185333607263946</v>
      </c>
      <c r="AO205" s="4">
        <v>1.11548833614364</v>
      </c>
      <c r="AP205" s="3">
        <v>-0.170699324679036</v>
      </c>
      <c r="AQ205" s="3">
        <v>0.0142886695337458</v>
      </c>
      <c r="AR205" s="4">
        <v>-0.16508311658643</v>
      </c>
      <c r="AS205" s="4">
        <v>0.00578655778374395</v>
      </c>
      <c r="AT205" s="3"/>
      <c r="AU205" s="3"/>
      <c r="AV205" s="4"/>
      <c r="AW205" s="4"/>
      <c r="AX205" s="3">
        <v>0.0301173740578445</v>
      </c>
      <c r="AY205" s="3">
        <v>0.0246637366601905</v>
      </c>
    </row>
    <row r="206" s="3" customFormat="1" spans="1:51">
      <c r="A206" s="4">
        <v>205</v>
      </c>
      <c r="B206" s="6">
        <v>38</v>
      </c>
      <c r="C206" s="24" t="s">
        <v>210</v>
      </c>
      <c r="D206" s="13" t="s">
        <v>211</v>
      </c>
      <c r="E206" s="3">
        <v>47.24</v>
      </c>
      <c r="F206" s="3">
        <v>126.97</v>
      </c>
      <c r="G206" s="26">
        <v>2</v>
      </c>
      <c r="H206" s="27">
        <v>550</v>
      </c>
      <c r="I206" s="3"/>
      <c r="J206" s="13" t="s">
        <v>181</v>
      </c>
      <c r="K206" s="5" t="s">
        <v>182</v>
      </c>
      <c r="L206" s="3">
        <v>2018</v>
      </c>
      <c r="M206" s="3">
        <v>9</v>
      </c>
      <c r="N206" s="13" t="s">
        <v>108</v>
      </c>
      <c r="O206" s="36" t="s">
        <v>80</v>
      </c>
      <c r="P206" s="7">
        <v>7.32</v>
      </c>
      <c r="Q206" s="3">
        <v>31.5</v>
      </c>
      <c r="R206" s="3">
        <v>2.11763</v>
      </c>
      <c r="S206" s="13">
        <v>14.8751198273542</v>
      </c>
      <c r="T206" s="21">
        <v>26</v>
      </c>
      <c r="U206" s="21">
        <v>46</v>
      </c>
      <c r="V206" s="21">
        <v>28</v>
      </c>
      <c r="W206" s="6"/>
      <c r="X206" s="3"/>
      <c r="Y206" s="13" t="s">
        <v>82</v>
      </c>
      <c r="Z206" s="3">
        <v>4</v>
      </c>
      <c r="AA206" s="3">
        <v>4</v>
      </c>
      <c r="AB206" s="9">
        <v>-0.0749013081731177</v>
      </c>
      <c r="AC206" s="9">
        <v>0.861371710038589</v>
      </c>
      <c r="AD206" s="25"/>
      <c r="AE206" s="25"/>
      <c r="AF206" s="9"/>
      <c r="AG206" s="9"/>
      <c r="AH206" s="25">
        <v>0.0938661362320913</v>
      </c>
      <c r="AI206" s="25">
        <v>0.00117197506846661</v>
      </c>
      <c r="AJ206" s="4">
        <v>-0.16876744440521</v>
      </c>
      <c r="AK206" s="4">
        <v>0.862543685107055</v>
      </c>
      <c r="AL206" s="3"/>
      <c r="AM206" s="3"/>
      <c r="AN206" s="4">
        <v>-0.118808151071629</v>
      </c>
      <c r="AO206" s="4">
        <v>0.000150619535762074</v>
      </c>
      <c r="AP206" s="3">
        <v>0.0927943459906102</v>
      </c>
      <c r="AQ206" s="3">
        <v>0.00475984706383851</v>
      </c>
      <c r="AR206" s="4">
        <v>0.395767455480282</v>
      </c>
      <c r="AS206" s="4">
        <v>0.00322938362709722</v>
      </c>
      <c r="AT206" s="3"/>
      <c r="AU206" s="3"/>
      <c r="AV206" s="4"/>
      <c r="AW206" s="4"/>
      <c r="AX206" s="3">
        <v>0.00107179024147705</v>
      </c>
      <c r="AY206" s="3">
        <v>0.0059318221323051</v>
      </c>
    </row>
    <row r="207" s="3" customFormat="1" spans="1:51">
      <c r="A207" s="4">
        <v>206</v>
      </c>
      <c r="B207" s="6">
        <v>38</v>
      </c>
      <c r="C207" s="24" t="s">
        <v>210</v>
      </c>
      <c r="D207" s="13" t="s">
        <v>211</v>
      </c>
      <c r="E207" s="3">
        <v>46.56</v>
      </c>
      <c r="F207" s="3">
        <v>126.98</v>
      </c>
      <c r="G207" s="26">
        <v>3.4</v>
      </c>
      <c r="H207" s="27">
        <v>511.2</v>
      </c>
      <c r="I207" s="3"/>
      <c r="J207" s="13" t="s">
        <v>181</v>
      </c>
      <c r="K207" s="5" t="s">
        <v>182</v>
      </c>
      <c r="L207" s="3">
        <v>2018</v>
      </c>
      <c r="M207" s="3">
        <v>9</v>
      </c>
      <c r="N207" s="13" t="s">
        <v>108</v>
      </c>
      <c r="O207" s="36" t="s">
        <v>80</v>
      </c>
      <c r="P207" s="7">
        <v>6.83</v>
      </c>
      <c r="Q207" s="3">
        <v>22.8</v>
      </c>
      <c r="R207" s="3">
        <v>1.63784</v>
      </c>
      <c r="S207" s="13">
        <v>13.9207737019489</v>
      </c>
      <c r="T207" s="21">
        <v>26</v>
      </c>
      <c r="U207" s="21">
        <v>46</v>
      </c>
      <c r="V207" s="21">
        <v>28</v>
      </c>
      <c r="W207" s="6"/>
      <c r="X207" s="3"/>
      <c r="Y207" s="13" t="s">
        <v>82</v>
      </c>
      <c r="Z207" s="3">
        <v>4</v>
      </c>
      <c r="AA207" s="3">
        <v>4</v>
      </c>
      <c r="AB207" s="9">
        <v>0.0909717782057268</v>
      </c>
      <c r="AC207" s="9">
        <v>1.20911642855</v>
      </c>
      <c r="AD207" s="25"/>
      <c r="AE207" s="25"/>
      <c r="AF207" s="9"/>
      <c r="AG207" s="9"/>
      <c r="AH207" s="25">
        <v>-0.0680534632450156</v>
      </c>
      <c r="AI207" s="25">
        <v>0.000833580918402006</v>
      </c>
      <c r="AJ207" s="4">
        <v>0.159025241450742</v>
      </c>
      <c r="AK207" s="4">
        <v>1.2099500094684</v>
      </c>
      <c r="AL207" s="3"/>
      <c r="AM207" s="3"/>
      <c r="AN207" s="4">
        <v>-0.142988224686784</v>
      </c>
      <c r="AO207" s="4">
        <v>0.000705963579913441</v>
      </c>
      <c r="AP207" s="3">
        <v>-0.112909684544425</v>
      </c>
      <c r="AQ207" s="3">
        <v>0.00663746412592665</v>
      </c>
      <c r="AR207" s="4">
        <v>0.404595527712841</v>
      </c>
      <c r="AS207" s="4">
        <v>0.0101476295040204</v>
      </c>
      <c r="AT207" s="3"/>
      <c r="AU207" s="3"/>
      <c r="AV207" s="4"/>
      <c r="AW207" s="4"/>
      <c r="AX207" s="3">
        <v>0.0448562212994096</v>
      </c>
      <c r="AY207" s="3">
        <v>0.00747104504432867</v>
      </c>
    </row>
    <row r="208" s="3" customFormat="1" spans="1:51">
      <c r="A208" s="4">
        <v>207</v>
      </c>
      <c r="B208" s="6">
        <v>38</v>
      </c>
      <c r="C208" s="24" t="s">
        <v>210</v>
      </c>
      <c r="D208" s="13" t="s">
        <v>211</v>
      </c>
      <c r="E208" s="3">
        <v>45.88</v>
      </c>
      <c r="F208" s="3">
        <v>126.47</v>
      </c>
      <c r="G208" s="26">
        <v>5.6</v>
      </c>
      <c r="H208" s="27">
        <v>423</v>
      </c>
      <c r="I208" s="3"/>
      <c r="J208" s="13" t="s">
        <v>181</v>
      </c>
      <c r="K208" s="5" t="s">
        <v>182</v>
      </c>
      <c r="L208" s="3">
        <v>2018</v>
      </c>
      <c r="M208" s="3">
        <v>9</v>
      </c>
      <c r="N208" s="13" t="s">
        <v>108</v>
      </c>
      <c r="O208" s="36" t="s">
        <v>80</v>
      </c>
      <c r="P208" s="7">
        <v>7.96</v>
      </c>
      <c r="Q208" s="3">
        <v>24.3</v>
      </c>
      <c r="R208" s="3">
        <v>1.6798</v>
      </c>
      <c r="S208" s="13">
        <v>14.4660078580783</v>
      </c>
      <c r="T208" s="21">
        <v>26</v>
      </c>
      <c r="U208" s="21">
        <v>34</v>
      </c>
      <c r="V208" s="21">
        <v>40</v>
      </c>
      <c r="W208" s="6"/>
      <c r="X208" s="3"/>
      <c r="Y208" s="13" t="s">
        <v>82</v>
      </c>
      <c r="Z208" s="3">
        <v>4</v>
      </c>
      <c r="AA208" s="3">
        <v>4</v>
      </c>
      <c r="AB208" s="9">
        <v>-0.0787808778531143</v>
      </c>
      <c r="AC208" s="9">
        <v>0.855299038613641</v>
      </c>
      <c r="AD208" s="25"/>
      <c r="AE208" s="25"/>
      <c r="AF208" s="9"/>
      <c r="AG208" s="9"/>
      <c r="AH208" s="25">
        <v>-0.0994338969881869</v>
      </c>
      <c r="AI208" s="25">
        <v>0.000912463930712257</v>
      </c>
      <c r="AJ208" s="4">
        <v>0.0206530191350714</v>
      </c>
      <c r="AK208" s="4">
        <v>0.856211502544355</v>
      </c>
      <c r="AL208" s="3"/>
      <c r="AM208" s="3"/>
      <c r="AN208" s="4">
        <v>-0.105919018883737</v>
      </c>
      <c r="AO208" s="4">
        <v>0.00013904423545058</v>
      </c>
      <c r="AP208" s="3">
        <v>-0.0320414027171082</v>
      </c>
      <c r="AQ208" s="3">
        <v>0.0121504711291869</v>
      </c>
      <c r="AR208" s="4">
        <v>0.0759830774792667</v>
      </c>
      <c r="AS208" s="4">
        <v>0.0012213611070656</v>
      </c>
      <c r="AT208" s="3"/>
      <c r="AU208" s="3"/>
      <c r="AV208" s="4"/>
      <c r="AW208" s="4"/>
      <c r="AX208" s="3">
        <v>-0.0673924942710734</v>
      </c>
      <c r="AY208" s="3">
        <v>0.0130629350598991</v>
      </c>
    </row>
    <row r="209" s="3" customFormat="1" spans="1:51">
      <c r="A209" s="4">
        <v>208</v>
      </c>
      <c r="B209" s="6">
        <v>38</v>
      </c>
      <c r="C209" s="24" t="s">
        <v>210</v>
      </c>
      <c r="D209" s="13" t="s">
        <v>211</v>
      </c>
      <c r="E209" s="3">
        <v>45.06</v>
      </c>
      <c r="F209" s="3">
        <v>126.18</v>
      </c>
      <c r="G209" s="26">
        <v>4.5</v>
      </c>
      <c r="H209" s="27">
        <v>145.8</v>
      </c>
      <c r="I209" s="3"/>
      <c r="J209" s="13" t="s">
        <v>181</v>
      </c>
      <c r="K209" s="5" t="s">
        <v>182</v>
      </c>
      <c r="L209" s="3">
        <v>2018</v>
      </c>
      <c r="M209" s="3">
        <v>9</v>
      </c>
      <c r="N209" s="13" t="s">
        <v>108</v>
      </c>
      <c r="O209" s="36" t="s">
        <v>80</v>
      </c>
      <c r="P209" s="7">
        <v>7.82</v>
      </c>
      <c r="Q209" s="3">
        <v>24.4</v>
      </c>
      <c r="R209" s="3">
        <v>1.66638</v>
      </c>
      <c r="S209" s="13">
        <v>14.6425185131843</v>
      </c>
      <c r="T209" s="21">
        <v>28</v>
      </c>
      <c r="U209" s="21">
        <v>38</v>
      </c>
      <c r="V209" s="21">
        <v>34</v>
      </c>
      <c r="W209" s="6"/>
      <c r="X209" s="3"/>
      <c r="Y209" s="13" t="s">
        <v>82</v>
      </c>
      <c r="Z209" s="3">
        <v>4</v>
      </c>
      <c r="AA209" s="3">
        <v>4</v>
      </c>
      <c r="AB209" s="9">
        <v>-0.171850256926659</v>
      </c>
      <c r="AC209" s="9">
        <v>0.711338539863227</v>
      </c>
      <c r="AD209" s="25"/>
      <c r="AE209" s="25"/>
      <c r="AF209" s="9"/>
      <c r="AG209" s="9"/>
      <c r="AH209" s="25">
        <v>-0.193863317234126</v>
      </c>
      <c r="AI209" s="25">
        <v>0.00628632494648299</v>
      </c>
      <c r="AJ209" s="4">
        <v>0.0220130603074656</v>
      </c>
      <c r="AK209" s="4">
        <v>0.717624864809708</v>
      </c>
      <c r="AL209" s="3"/>
      <c r="AM209" s="3"/>
      <c r="AN209" s="4">
        <v>-0.00384369467456283</v>
      </c>
      <c r="AO209" s="4">
        <v>0.000448679256490686</v>
      </c>
      <c r="AP209" s="3">
        <v>-0.311540489538503</v>
      </c>
      <c r="AQ209" s="3">
        <v>0.0294257902422686</v>
      </c>
      <c r="AR209" s="4">
        <v>-0.350211750920334</v>
      </c>
      <c r="AS209" s="4">
        <v>0.0278584846875317</v>
      </c>
      <c r="AT209" s="3"/>
      <c r="AU209" s="3"/>
      <c r="AV209" s="4"/>
      <c r="AW209" s="4"/>
      <c r="AX209" s="3">
        <v>0.117677172304375</v>
      </c>
      <c r="AY209" s="3">
        <v>0.0357121151887514</v>
      </c>
    </row>
    <row r="210" s="3" customFormat="1" spans="1:51">
      <c r="A210" s="4">
        <v>209</v>
      </c>
      <c r="B210" s="6">
        <v>38</v>
      </c>
      <c r="C210" s="24" t="s">
        <v>210</v>
      </c>
      <c r="D210" s="13" t="s">
        <v>211</v>
      </c>
      <c r="E210" s="3">
        <v>44.68</v>
      </c>
      <c r="F210" s="3">
        <v>125.91</v>
      </c>
      <c r="G210" s="26">
        <v>4</v>
      </c>
      <c r="H210" s="27">
        <v>520</v>
      </c>
      <c r="I210" s="3"/>
      <c r="J210" s="13" t="s">
        <v>181</v>
      </c>
      <c r="K210" s="5" t="s">
        <v>182</v>
      </c>
      <c r="L210" s="3">
        <v>2018</v>
      </c>
      <c r="M210" s="3">
        <v>9</v>
      </c>
      <c r="N210" s="13" t="s">
        <v>108</v>
      </c>
      <c r="O210" s="36" t="s">
        <v>80</v>
      </c>
      <c r="P210" s="7">
        <v>6.63</v>
      </c>
      <c r="Q210" s="3">
        <v>23.6</v>
      </c>
      <c r="R210" s="3">
        <v>1.87515</v>
      </c>
      <c r="S210" s="13">
        <v>12.5856598138816</v>
      </c>
      <c r="T210" s="21">
        <v>26</v>
      </c>
      <c r="U210" s="21">
        <v>46</v>
      </c>
      <c r="V210" s="21">
        <v>28</v>
      </c>
      <c r="W210" s="6"/>
      <c r="X210" s="3"/>
      <c r="Y210" s="13" t="s">
        <v>82</v>
      </c>
      <c r="Z210" s="3">
        <v>4</v>
      </c>
      <c r="AA210" s="3">
        <v>4</v>
      </c>
      <c r="AB210" s="9">
        <v>0.0988458346366326</v>
      </c>
      <c r="AC210" s="9">
        <v>1.21983228293748</v>
      </c>
      <c r="AD210" s="25"/>
      <c r="AE210" s="25"/>
      <c r="AF210" s="9"/>
      <c r="AG210" s="9"/>
      <c r="AH210" s="25">
        <v>-0.227389842195661</v>
      </c>
      <c r="AI210" s="25">
        <v>0.0060719339897151</v>
      </c>
      <c r="AJ210" s="4">
        <v>0.326235676832293</v>
      </c>
      <c r="AK210" s="4">
        <v>1.2259042169272</v>
      </c>
      <c r="AL210" s="3"/>
      <c r="AM210" s="3"/>
      <c r="AN210" s="4">
        <v>0.0179377006866673</v>
      </c>
      <c r="AO210" s="4">
        <v>0.000550701052874773</v>
      </c>
      <c r="AP210" s="3">
        <v>-0.370440543805421</v>
      </c>
      <c r="AQ210" s="3">
        <v>0.00904639622327692</v>
      </c>
      <c r="AR210" s="4">
        <v>0.0458172486479781</v>
      </c>
      <c r="AS210" s="4">
        <v>0.00774079084899791</v>
      </c>
      <c r="AT210" s="3"/>
      <c r="AU210" s="3"/>
      <c r="AV210" s="4"/>
      <c r="AW210" s="4"/>
      <c r="AX210" s="3">
        <v>0.143050701609755</v>
      </c>
      <c r="AY210" s="3">
        <v>0.015118330212992</v>
      </c>
    </row>
    <row r="211" s="3" customFormat="1" spans="1:51">
      <c r="A211" s="4">
        <v>210</v>
      </c>
      <c r="B211" s="6">
        <v>38</v>
      </c>
      <c r="C211" s="24" t="s">
        <v>210</v>
      </c>
      <c r="D211" s="13" t="s">
        <v>211</v>
      </c>
      <c r="E211" s="3">
        <v>44</v>
      </c>
      <c r="F211" s="3">
        <v>125.4</v>
      </c>
      <c r="G211" s="26">
        <v>4.6</v>
      </c>
      <c r="H211" s="27">
        <v>650</v>
      </c>
      <c r="I211" s="3"/>
      <c r="J211" s="13" t="s">
        <v>181</v>
      </c>
      <c r="K211" s="5" t="s">
        <v>182</v>
      </c>
      <c r="L211" s="3">
        <v>2018</v>
      </c>
      <c r="M211" s="3">
        <v>9</v>
      </c>
      <c r="N211" s="13" t="s">
        <v>108</v>
      </c>
      <c r="O211" s="36" t="s">
        <v>80</v>
      </c>
      <c r="P211" s="7">
        <v>7.11</v>
      </c>
      <c r="Q211" s="3">
        <v>18.2</v>
      </c>
      <c r="R211" s="3">
        <v>1.24572</v>
      </c>
      <c r="S211" s="13">
        <v>14.6100247246572</v>
      </c>
      <c r="T211" s="21">
        <v>26</v>
      </c>
      <c r="U211" s="21">
        <v>46</v>
      </c>
      <c r="V211" s="21">
        <v>28</v>
      </c>
      <c r="W211" s="6"/>
      <c r="X211" s="3"/>
      <c r="Y211" s="13" t="s">
        <v>82</v>
      </c>
      <c r="Z211" s="3">
        <v>4</v>
      </c>
      <c r="AA211" s="3">
        <v>4</v>
      </c>
      <c r="AB211" s="9">
        <v>-0.22314355131421</v>
      </c>
      <c r="AC211" s="9">
        <v>0.642869897959184</v>
      </c>
      <c r="AD211" s="25"/>
      <c r="AE211" s="25"/>
      <c r="AF211" s="9"/>
      <c r="AG211" s="9"/>
      <c r="AH211" s="25">
        <v>0.0271019297777912</v>
      </c>
      <c r="AI211" s="25">
        <v>0.00204652082877664</v>
      </c>
      <c r="AJ211" s="4">
        <v>-0.250245481092003</v>
      </c>
      <c r="AK211" s="4">
        <v>0.64491641878796</v>
      </c>
      <c r="AL211" s="3"/>
      <c r="AM211" s="3"/>
      <c r="AN211" s="4">
        <v>-0.0227605842384488</v>
      </c>
      <c r="AO211" s="4">
        <v>0.000109356653389712</v>
      </c>
      <c r="AP211" s="3">
        <v>0.248338049509473</v>
      </c>
      <c r="AQ211" s="3">
        <v>0.0219284613520254</v>
      </c>
      <c r="AR211" s="4">
        <v>0.489744760519371</v>
      </c>
      <c r="AS211" s="4">
        <v>0.0150976339121619</v>
      </c>
      <c r="AT211" s="3"/>
      <c r="AU211" s="3"/>
      <c r="AV211" s="4"/>
      <c r="AW211" s="4"/>
      <c r="AX211" s="3">
        <v>-0.221236119731682</v>
      </c>
      <c r="AY211" s="3">
        <v>0.0239749821808021</v>
      </c>
    </row>
    <row r="212" s="3" customFormat="1" spans="1:51">
      <c r="A212" s="4">
        <v>211</v>
      </c>
      <c r="B212" s="6">
        <v>38</v>
      </c>
      <c r="C212" s="24" t="s">
        <v>210</v>
      </c>
      <c r="D212" s="13" t="s">
        <v>211</v>
      </c>
      <c r="E212" s="3">
        <v>43.48</v>
      </c>
      <c r="F212" s="3">
        <v>124.86</v>
      </c>
      <c r="G212" s="26">
        <v>5.6</v>
      </c>
      <c r="H212" s="27">
        <v>594.8</v>
      </c>
      <c r="I212" s="3"/>
      <c r="J212" s="13" t="s">
        <v>181</v>
      </c>
      <c r="K212" s="5" t="s">
        <v>182</v>
      </c>
      <c r="L212" s="3">
        <v>2018</v>
      </c>
      <c r="M212" s="3">
        <v>9</v>
      </c>
      <c r="N212" s="13" t="s">
        <v>108</v>
      </c>
      <c r="O212" s="36" t="s">
        <v>80</v>
      </c>
      <c r="P212" s="7">
        <v>7.79</v>
      </c>
      <c r="Q212" s="3">
        <v>22.7</v>
      </c>
      <c r="R212" s="3">
        <v>1.6167</v>
      </c>
      <c r="S212" s="13">
        <v>14.0409476093276</v>
      </c>
      <c r="T212" s="21">
        <v>26</v>
      </c>
      <c r="U212" s="21">
        <v>46</v>
      </c>
      <c r="V212" s="21">
        <v>28</v>
      </c>
      <c r="W212" s="6"/>
      <c r="X212" s="3"/>
      <c r="Y212" s="13" t="s">
        <v>82</v>
      </c>
      <c r="Z212" s="3">
        <v>4</v>
      </c>
      <c r="AA212" s="3">
        <v>4</v>
      </c>
      <c r="AB212" s="9">
        <v>0.0289875368732522</v>
      </c>
      <c r="AC212" s="9">
        <v>1.06295388743733</v>
      </c>
      <c r="AD212" s="25"/>
      <c r="AE212" s="25"/>
      <c r="AF212" s="9"/>
      <c r="AG212" s="9"/>
      <c r="AH212" s="25">
        <v>-0.401069496635126</v>
      </c>
      <c r="AI212" s="25">
        <v>0.0050778167958994</v>
      </c>
      <c r="AJ212" s="4">
        <v>0.430057033508378</v>
      </c>
      <c r="AK212" s="4">
        <v>1.06803170423322</v>
      </c>
      <c r="AL212" s="3"/>
      <c r="AM212" s="3"/>
      <c r="AN212" s="4">
        <v>-0.12276977485709</v>
      </c>
      <c r="AO212" s="4">
        <v>0.0164977396015674</v>
      </c>
      <c r="AP212" s="3">
        <v>-0.375216537019884</v>
      </c>
      <c r="AQ212" s="3">
        <v>0.00122679436094351</v>
      </c>
      <c r="AR212" s="4">
        <v>0.406416042298644</v>
      </c>
      <c r="AS212" s="4">
        <v>0.0255309902668957</v>
      </c>
      <c r="AT212" s="3"/>
      <c r="AU212" s="3"/>
      <c r="AV212" s="4"/>
      <c r="AW212" s="4"/>
      <c r="AX212" s="3">
        <v>-0.0258529596152429</v>
      </c>
      <c r="AY212" s="3">
        <v>0.00630461115684296</v>
      </c>
    </row>
    <row r="213" s="3" customFormat="1" spans="1:51">
      <c r="A213" s="4">
        <v>212</v>
      </c>
      <c r="B213" s="6">
        <v>38</v>
      </c>
      <c r="C213" s="24" t="s">
        <v>210</v>
      </c>
      <c r="D213" s="13" t="s">
        <v>211</v>
      </c>
      <c r="E213" s="3">
        <v>43.08</v>
      </c>
      <c r="F213" s="3">
        <v>124.33</v>
      </c>
      <c r="G213" s="26">
        <v>7.3</v>
      </c>
      <c r="H213" s="27">
        <v>678.3</v>
      </c>
      <c r="I213" s="3"/>
      <c r="J213" s="13" t="s">
        <v>181</v>
      </c>
      <c r="K213" s="5" t="s">
        <v>182</v>
      </c>
      <c r="L213" s="3">
        <v>2018</v>
      </c>
      <c r="M213" s="3">
        <v>9</v>
      </c>
      <c r="N213" s="13" t="s">
        <v>108</v>
      </c>
      <c r="O213" s="36" t="s">
        <v>80</v>
      </c>
      <c r="P213" s="7">
        <v>7.35</v>
      </c>
      <c r="Q213" s="3">
        <v>20.8</v>
      </c>
      <c r="R213" s="3">
        <v>1.12136</v>
      </c>
      <c r="S213" s="13">
        <v>18.5489049011914</v>
      </c>
      <c r="T213" s="21">
        <v>26</v>
      </c>
      <c r="U213" s="21">
        <v>46</v>
      </c>
      <c r="V213" s="21">
        <v>28</v>
      </c>
      <c r="W213" s="6"/>
      <c r="X213" s="3"/>
      <c r="Y213" s="13" t="s">
        <v>82</v>
      </c>
      <c r="Z213" s="3">
        <v>4</v>
      </c>
      <c r="AA213" s="3">
        <v>4</v>
      </c>
      <c r="AB213" s="9">
        <v>-0.106972119552168</v>
      </c>
      <c r="AC213" s="9">
        <v>0.809734715881137</v>
      </c>
      <c r="AD213" s="25"/>
      <c r="AE213" s="25"/>
      <c r="AF213" s="9"/>
      <c r="AG213" s="9"/>
      <c r="AH213" s="25">
        <v>-0.637057713908902</v>
      </c>
      <c r="AI213" s="25">
        <v>0.00900560540857744</v>
      </c>
      <c r="AJ213" s="4">
        <v>0.530085594356735</v>
      </c>
      <c r="AK213" s="4">
        <v>0.818740321289714</v>
      </c>
      <c r="AL213" s="3"/>
      <c r="AM213" s="3"/>
      <c r="AN213" s="4">
        <v>-0.121360857004267</v>
      </c>
      <c r="AO213" s="4">
        <v>0.000797465156080908</v>
      </c>
      <c r="AP213" s="3">
        <v>-0.3692151532175</v>
      </c>
      <c r="AQ213" s="3">
        <v>0.00414442432036736</v>
      </c>
      <c r="AR213" s="4">
        <v>-0.126883012428722</v>
      </c>
      <c r="AS213" s="4">
        <v>0.0285722683009255</v>
      </c>
      <c r="AT213" s="3"/>
      <c r="AU213" s="3"/>
      <c r="AV213" s="4"/>
      <c r="AW213" s="4"/>
      <c r="AX213" s="3">
        <v>-0.267842560691404</v>
      </c>
      <c r="AY213" s="3">
        <v>0.0131500297289448</v>
      </c>
    </row>
    <row r="214" s="4" customFormat="1" spans="1:37">
      <c r="A214" s="4">
        <v>213</v>
      </c>
      <c r="B214" s="18">
        <v>39</v>
      </c>
      <c r="C214" s="19" t="s">
        <v>212</v>
      </c>
      <c r="D214" s="5" t="s">
        <v>213</v>
      </c>
      <c r="E214" s="4">
        <v>44.7333333333</v>
      </c>
      <c r="F214" s="4">
        <v>-0.76666666666</v>
      </c>
      <c r="G214" s="20">
        <v>13.5</v>
      </c>
      <c r="H214" s="21">
        <v>950</v>
      </c>
      <c r="I214" s="4">
        <v>60</v>
      </c>
      <c r="J214" s="5" t="s">
        <v>123</v>
      </c>
      <c r="K214" s="5" t="s">
        <v>78</v>
      </c>
      <c r="L214" s="4"/>
      <c r="M214" s="4"/>
      <c r="N214" s="4"/>
      <c r="O214" s="28" t="s">
        <v>80</v>
      </c>
      <c r="P214" s="20"/>
      <c r="Q214" s="5"/>
      <c r="R214" s="5"/>
      <c r="S214" s="13"/>
      <c r="T214" s="21">
        <v>6</v>
      </c>
      <c r="U214" s="21">
        <v>27</v>
      </c>
      <c r="V214" s="21">
        <v>67</v>
      </c>
      <c r="W214" s="4">
        <v>4</v>
      </c>
      <c r="X214" s="5" t="s">
        <v>81</v>
      </c>
      <c r="Y214" s="5" t="s">
        <v>82</v>
      </c>
      <c r="Z214" s="4">
        <v>4</v>
      </c>
      <c r="AA214" s="4">
        <v>4</v>
      </c>
      <c r="AB214" s="9">
        <v>0.479231592322561</v>
      </c>
      <c r="AC214" s="9">
        <v>0.0523681491461475</v>
      </c>
      <c r="AD214" s="9"/>
      <c r="AE214" s="9"/>
      <c r="AF214" s="9"/>
      <c r="AG214" s="9"/>
      <c r="AH214" s="9">
        <v>0.305383171212873</v>
      </c>
      <c r="AI214" s="9">
        <v>0.0107810185276311</v>
      </c>
      <c r="AJ214" s="4">
        <v>0.173848421109685</v>
      </c>
      <c r="AK214" s="4">
        <v>0.0631491676737785</v>
      </c>
    </row>
    <row r="215" s="4" customFormat="1" spans="1:37">
      <c r="A215" s="4">
        <v>214</v>
      </c>
      <c r="B215" s="18">
        <v>39</v>
      </c>
      <c r="C215" s="19" t="s">
        <v>212</v>
      </c>
      <c r="D215" s="5" t="s">
        <v>213</v>
      </c>
      <c r="E215" s="4">
        <v>44.7333333333</v>
      </c>
      <c r="F215" s="4">
        <v>-0.76666666666</v>
      </c>
      <c r="G215" s="20">
        <v>13.5</v>
      </c>
      <c r="H215" s="21">
        <v>950</v>
      </c>
      <c r="I215" s="4">
        <v>60</v>
      </c>
      <c r="J215" s="5" t="s">
        <v>123</v>
      </c>
      <c r="K215" s="5" t="s">
        <v>78</v>
      </c>
      <c r="L215" s="4"/>
      <c r="M215" s="4"/>
      <c r="N215" s="4"/>
      <c r="O215" s="28" t="s">
        <v>80</v>
      </c>
      <c r="P215" s="20"/>
      <c r="Q215" s="5"/>
      <c r="R215" s="5"/>
      <c r="S215" s="13"/>
      <c r="T215" s="21">
        <v>6</v>
      </c>
      <c r="U215" s="21">
        <v>27</v>
      </c>
      <c r="V215" s="21">
        <v>67</v>
      </c>
      <c r="W215" s="4">
        <v>8</v>
      </c>
      <c r="X215" s="5" t="s">
        <v>91</v>
      </c>
      <c r="Y215" s="5" t="s">
        <v>82</v>
      </c>
      <c r="Z215" s="4">
        <v>4</v>
      </c>
      <c r="AA215" s="4">
        <v>4</v>
      </c>
      <c r="AB215" s="9">
        <v>0.0359784449548455</v>
      </c>
      <c r="AC215" s="9">
        <v>0.00750987668714609</v>
      </c>
      <c r="AD215" s="9"/>
      <c r="AE215" s="9"/>
      <c r="AF215" s="9"/>
      <c r="AG215" s="9"/>
      <c r="AH215" s="9">
        <v>-0.07146156934439</v>
      </c>
      <c r="AI215" s="9">
        <v>0.0124663815904246</v>
      </c>
      <c r="AJ215" s="4">
        <v>0.107440014299235</v>
      </c>
      <c r="AK215" s="4">
        <v>0.0199762582775707</v>
      </c>
    </row>
    <row r="216" s="4" customFormat="1" spans="1:37">
      <c r="A216" s="4">
        <v>215</v>
      </c>
      <c r="B216" s="18">
        <v>39</v>
      </c>
      <c r="C216" s="19" t="s">
        <v>212</v>
      </c>
      <c r="D216" s="5" t="s">
        <v>213</v>
      </c>
      <c r="E216" s="4">
        <v>44.7333333333</v>
      </c>
      <c r="F216" s="4">
        <v>-0.76666666666</v>
      </c>
      <c r="G216" s="20">
        <v>13.5</v>
      </c>
      <c r="H216" s="21">
        <v>950</v>
      </c>
      <c r="I216" s="4">
        <v>60</v>
      </c>
      <c r="J216" s="5" t="s">
        <v>123</v>
      </c>
      <c r="K216" s="5" t="s">
        <v>78</v>
      </c>
      <c r="L216" s="4"/>
      <c r="M216" s="4"/>
      <c r="N216" s="4"/>
      <c r="O216" s="28" t="s">
        <v>80</v>
      </c>
      <c r="P216" s="20"/>
      <c r="Q216" s="5"/>
      <c r="R216" s="5"/>
      <c r="S216" s="13"/>
      <c r="T216" s="21">
        <v>6</v>
      </c>
      <c r="U216" s="21">
        <v>27</v>
      </c>
      <c r="V216" s="21">
        <v>67</v>
      </c>
      <c r="W216" s="4">
        <v>12</v>
      </c>
      <c r="X216" s="5" t="s">
        <v>91</v>
      </c>
      <c r="Y216" s="5" t="s">
        <v>82</v>
      </c>
      <c r="Z216" s="4">
        <v>4</v>
      </c>
      <c r="AA216" s="4">
        <v>4</v>
      </c>
      <c r="AB216" s="9">
        <v>0.303148730874778</v>
      </c>
      <c r="AC216" s="9">
        <v>0.00189459771323665</v>
      </c>
      <c r="AD216" s="9"/>
      <c r="AE216" s="9"/>
      <c r="AF216" s="9"/>
      <c r="AG216" s="9"/>
      <c r="AH216" s="9">
        <v>0.182321556793955</v>
      </c>
      <c r="AI216" s="9">
        <v>0.0194530163766791</v>
      </c>
      <c r="AJ216" s="4">
        <v>0.120827174080823</v>
      </c>
      <c r="AK216" s="4">
        <v>0.0213476140899157</v>
      </c>
    </row>
    <row r="217" s="4" customFormat="1" spans="1:37">
      <c r="A217" s="4">
        <v>216</v>
      </c>
      <c r="B217" s="18">
        <v>39</v>
      </c>
      <c r="C217" s="19" t="s">
        <v>212</v>
      </c>
      <c r="D217" s="5" t="s">
        <v>213</v>
      </c>
      <c r="E217" s="4">
        <v>44.7333333333</v>
      </c>
      <c r="F217" s="4">
        <v>-0.76666666666</v>
      </c>
      <c r="G217" s="20">
        <v>13.5</v>
      </c>
      <c r="H217" s="21">
        <v>950</v>
      </c>
      <c r="I217" s="4">
        <v>60</v>
      </c>
      <c r="J217" s="5" t="s">
        <v>123</v>
      </c>
      <c r="K217" s="5" t="s">
        <v>78</v>
      </c>
      <c r="L217" s="4"/>
      <c r="M217" s="4"/>
      <c r="N217" s="4"/>
      <c r="O217" s="28" t="s">
        <v>80</v>
      </c>
      <c r="P217" s="20"/>
      <c r="Q217" s="5"/>
      <c r="R217" s="5"/>
      <c r="S217" s="13"/>
      <c r="T217" s="21">
        <v>6</v>
      </c>
      <c r="U217" s="21">
        <v>27</v>
      </c>
      <c r="V217" s="21">
        <v>67</v>
      </c>
      <c r="W217" s="4">
        <v>16</v>
      </c>
      <c r="X217" s="5" t="s">
        <v>91</v>
      </c>
      <c r="Y217" s="5" t="s">
        <v>82</v>
      </c>
      <c r="Z217" s="4">
        <v>4</v>
      </c>
      <c r="AA217" s="4">
        <v>4</v>
      </c>
      <c r="AB217" s="9">
        <v>0.387607612977544</v>
      </c>
      <c r="AC217" s="9">
        <v>0.00199517025180445</v>
      </c>
      <c r="AD217" s="9"/>
      <c r="AE217" s="9"/>
      <c r="AF217" s="9"/>
      <c r="AG217" s="9"/>
      <c r="AH217" s="9">
        <v>-0.0774553256422253</v>
      </c>
      <c r="AI217" s="9">
        <v>0.0120417511013592</v>
      </c>
      <c r="AJ217" s="4">
        <v>0.46506293861977</v>
      </c>
      <c r="AK217" s="4">
        <v>0.0140369213531636</v>
      </c>
    </row>
    <row r="218" s="4" customFormat="1" spans="1:37">
      <c r="A218" s="4">
        <v>217</v>
      </c>
      <c r="B218" s="18">
        <v>39</v>
      </c>
      <c r="C218" s="19" t="s">
        <v>212</v>
      </c>
      <c r="D218" s="5" t="s">
        <v>213</v>
      </c>
      <c r="E218" s="4">
        <v>43.866666666</v>
      </c>
      <c r="F218" s="4">
        <v>-0.73333333333</v>
      </c>
      <c r="G218" s="20">
        <v>13.6</v>
      </c>
      <c r="H218" s="21">
        <v>917</v>
      </c>
      <c r="I218" s="4">
        <v>55</v>
      </c>
      <c r="J218" s="5" t="s">
        <v>123</v>
      </c>
      <c r="K218" s="5" t="s">
        <v>78</v>
      </c>
      <c r="L218" s="4"/>
      <c r="M218" s="4"/>
      <c r="N218" s="4"/>
      <c r="O218" s="28" t="s">
        <v>80</v>
      </c>
      <c r="P218" s="29">
        <v>7.3</v>
      </c>
      <c r="Q218" s="4">
        <v>9.3</v>
      </c>
      <c r="R218" s="5"/>
      <c r="S218" s="13"/>
      <c r="T218" s="34">
        <v>12</v>
      </c>
      <c r="U218" s="34">
        <v>51</v>
      </c>
      <c r="V218" s="34">
        <f t="shared" ref="V218:V222" si="2">100-12-51</f>
        <v>37</v>
      </c>
      <c r="W218" s="4">
        <v>4</v>
      </c>
      <c r="X218" s="5" t="s">
        <v>81</v>
      </c>
      <c r="Y218" s="5" t="s">
        <v>82</v>
      </c>
      <c r="Z218" s="4">
        <v>4</v>
      </c>
      <c r="AA218" s="4">
        <v>4</v>
      </c>
      <c r="AB218" s="9">
        <v>-0.0547772728093198</v>
      </c>
      <c r="AC218" s="9">
        <v>0.070332180955496</v>
      </c>
      <c r="AD218" s="9"/>
      <c r="AE218" s="9"/>
      <c r="AF218" s="9"/>
      <c r="AG218" s="9"/>
      <c r="AH218" s="9">
        <v>-0.191701319875919</v>
      </c>
      <c r="AI218" s="9">
        <v>0.00352768183001903</v>
      </c>
      <c r="AJ218" s="4">
        <v>0.136924047066603</v>
      </c>
      <c r="AK218" s="4">
        <v>0.073859862785515</v>
      </c>
    </row>
    <row r="219" s="4" customFormat="1" spans="1:37">
      <c r="A219" s="4">
        <v>218</v>
      </c>
      <c r="B219" s="18">
        <v>39</v>
      </c>
      <c r="C219" s="19" t="s">
        <v>212</v>
      </c>
      <c r="D219" s="5" t="s">
        <v>213</v>
      </c>
      <c r="E219" s="4">
        <v>43.866666666</v>
      </c>
      <c r="F219" s="4">
        <v>-0.73333333333</v>
      </c>
      <c r="G219" s="20">
        <v>13.6</v>
      </c>
      <c r="H219" s="21">
        <v>917</v>
      </c>
      <c r="I219" s="4">
        <v>55</v>
      </c>
      <c r="J219" s="5" t="s">
        <v>123</v>
      </c>
      <c r="K219" s="5" t="s">
        <v>78</v>
      </c>
      <c r="L219" s="4"/>
      <c r="M219" s="4"/>
      <c r="N219" s="4"/>
      <c r="O219" s="28" t="s">
        <v>80</v>
      </c>
      <c r="P219" s="29">
        <v>7.3</v>
      </c>
      <c r="Q219" s="4">
        <v>9.3</v>
      </c>
      <c r="R219" s="5"/>
      <c r="S219" s="13"/>
      <c r="T219" s="34">
        <v>12</v>
      </c>
      <c r="U219" s="34">
        <v>51</v>
      </c>
      <c r="V219" s="34">
        <f t="shared" si="2"/>
        <v>37</v>
      </c>
      <c r="W219" s="4">
        <v>8</v>
      </c>
      <c r="X219" s="5" t="s">
        <v>91</v>
      </c>
      <c r="Y219" s="5" t="s">
        <v>82</v>
      </c>
      <c r="Z219" s="4">
        <v>4</v>
      </c>
      <c r="AA219" s="4">
        <v>4</v>
      </c>
      <c r="AB219" s="9">
        <v>0.0921721902903491</v>
      </c>
      <c r="AC219" s="9">
        <v>0.174714422077337</v>
      </c>
      <c r="AD219" s="9"/>
      <c r="AE219" s="9"/>
      <c r="AF219" s="9"/>
      <c r="AG219" s="9"/>
      <c r="AH219" s="9">
        <v>-0.133497978948332</v>
      </c>
      <c r="AI219" s="9">
        <v>0.0167460768188036</v>
      </c>
      <c r="AJ219" s="4">
        <v>0.225670169238684</v>
      </c>
      <c r="AK219" s="4">
        <v>0.191460498896142</v>
      </c>
    </row>
    <row r="220" s="4" customFormat="1" spans="1:37">
      <c r="A220" s="4">
        <v>219</v>
      </c>
      <c r="B220" s="18">
        <v>39</v>
      </c>
      <c r="C220" s="19" t="s">
        <v>212</v>
      </c>
      <c r="D220" s="5" t="s">
        <v>213</v>
      </c>
      <c r="E220" s="4">
        <v>43.866666666</v>
      </c>
      <c r="F220" s="4">
        <v>-0.73333333333</v>
      </c>
      <c r="G220" s="20">
        <v>13.6</v>
      </c>
      <c r="H220" s="21">
        <v>917</v>
      </c>
      <c r="I220" s="4">
        <v>55</v>
      </c>
      <c r="J220" s="5" t="s">
        <v>123</v>
      </c>
      <c r="K220" s="5" t="s">
        <v>78</v>
      </c>
      <c r="L220" s="4"/>
      <c r="M220" s="4"/>
      <c r="N220" s="4"/>
      <c r="O220" s="28" t="s">
        <v>80</v>
      </c>
      <c r="P220" s="29">
        <v>7.3</v>
      </c>
      <c r="Q220" s="4">
        <v>9.3</v>
      </c>
      <c r="R220" s="5"/>
      <c r="S220" s="13"/>
      <c r="T220" s="34">
        <v>12</v>
      </c>
      <c r="U220" s="34">
        <v>51</v>
      </c>
      <c r="V220" s="34">
        <f t="shared" si="2"/>
        <v>37</v>
      </c>
      <c r="W220" s="4">
        <v>16</v>
      </c>
      <c r="X220" s="5" t="s">
        <v>91</v>
      </c>
      <c r="Y220" s="5" t="s">
        <v>82</v>
      </c>
      <c r="Z220" s="4">
        <v>4</v>
      </c>
      <c r="AA220" s="4">
        <v>4</v>
      </c>
      <c r="AB220" s="9">
        <v>0.193771090922042</v>
      </c>
      <c r="AC220" s="9">
        <v>0.0854933899467536</v>
      </c>
      <c r="AD220" s="9"/>
      <c r="AE220" s="9"/>
      <c r="AF220" s="9"/>
      <c r="AG220" s="9"/>
      <c r="AH220" s="9">
        <v>0.38787398307031</v>
      </c>
      <c r="AI220" s="9">
        <v>0.00329581498748452</v>
      </c>
      <c r="AJ220" s="4">
        <v>-0.19410289214827</v>
      </c>
      <c r="AK220" s="4">
        <v>0.0887892049342382</v>
      </c>
    </row>
    <row r="221" s="4" customFormat="1" spans="1:37">
      <c r="A221" s="4">
        <v>220</v>
      </c>
      <c r="B221" s="18">
        <v>39</v>
      </c>
      <c r="C221" s="19" t="s">
        <v>212</v>
      </c>
      <c r="D221" s="5" t="s">
        <v>213</v>
      </c>
      <c r="E221" s="4">
        <v>43.866666666</v>
      </c>
      <c r="F221" s="4">
        <v>-0.73333333333</v>
      </c>
      <c r="G221" s="20">
        <v>13.6</v>
      </c>
      <c r="H221" s="21">
        <v>917</v>
      </c>
      <c r="I221" s="4">
        <v>55</v>
      </c>
      <c r="J221" s="5" t="s">
        <v>123</v>
      </c>
      <c r="K221" s="5" t="s">
        <v>78</v>
      </c>
      <c r="L221" s="4"/>
      <c r="M221" s="4"/>
      <c r="N221" s="4"/>
      <c r="O221" s="28" t="s">
        <v>80</v>
      </c>
      <c r="P221" s="29">
        <v>7.3</v>
      </c>
      <c r="Q221" s="4">
        <v>9.3</v>
      </c>
      <c r="R221" s="5"/>
      <c r="S221" s="13"/>
      <c r="T221" s="34">
        <v>12</v>
      </c>
      <c r="U221" s="34">
        <v>51</v>
      </c>
      <c r="V221" s="34">
        <f t="shared" si="2"/>
        <v>37</v>
      </c>
      <c r="W221" s="4">
        <v>23</v>
      </c>
      <c r="X221" s="5" t="s">
        <v>91</v>
      </c>
      <c r="Y221" s="5" t="s">
        <v>82</v>
      </c>
      <c r="Z221" s="4">
        <v>4</v>
      </c>
      <c r="AA221" s="4">
        <v>4</v>
      </c>
      <c r="AB221" s="9">
        <v>-0.0445937804884264</v>
      </c>
      <c r="AC221" s="9">
        <v>0.00140071003695961</v>
      </c>
      <c r="AD221" s="9"/>
      <c r="AE221" s="9"/>
      <c r="AF221" s="9"/>
      <c r="AG221" s="9"/>
      <c r="AH221" s="9">
        <v>-0.127139258777327</v>
      </c>
      <c r="AI221" s="9">
        <v>0.0199246704860373</v>
      </c>
      <c r="AJ221" s="4">
        <v>0.0825454782889005</v>
      </c>
      <c r="AK221" s="4">
        <v>0.0213253805229969</v>
      </c>
    </row>
    <row r="222" s="4" customFormat="1" spans="1:37">
      <c r="A222" s="4">
        <v>221</v>
      </c>
      <c r="B222" s="18">
        <v>39</v>
      </c>
      <c r="C222" s="19" t="s">
        <v>212</v>
      </c>
      <c r="D222" s="5" t="s">
        <v>214</v>
      </c>
      <c r="E222" s="4">
        <v>43.866666666</v>
      </c>
      <c r="F222" s="4">
        <v>-0.73333333333</v>
      </c>
      <c r="G222" s="20">
        <v>13.6</v>
      </c>
      <c r="H222" s="21">
        <v>917</v>
      </c>
      <c r="I222" s="4">
        <v>55</v>
      </c>
      <c r="J222" s="5" t="s">
        <v>123</v>
      </c>
      <c r="K222" s="5" t="s">
        <v>78</v>
      </c>
      <c r="L222" s="4"/>
      <c r="M222" s="4"/>
      <c r="N222" s="4"/>
      <c r="O222" s="28" t="s">
        <v>80</v>
      </c>
      <c r="P222" s="29">
        <v>7.3</v>
      </c>
      <c r="Q222" s="4">
        <v>9.3</v>
      </c>
      <c r="R222" s="5"/>
      <c r="S222" s="13"/>
      <c r="T222" s="34">
        <v>12</v>
      </c>
      <c r="U222" s="34">
        <v>51</v>
      </c>
      <c r="V222" s="34">
        <f t="shared" si="2"/>
        <v>37</v>
      </c>
      <c r="W222" s="4">
        <v>28</v>
      </c>
      <c r="X222" s="5" t="s">
        <v>91</v>
      </c>
      <c r="Y222" s="5" t="s">
        <v>82</v>
      </c>
      <c r="Z222" s="4">
        <v>4</v>
      </c>
      <c r="AA222" s="4">
        <v>4</v>
      </c>
      <c r="AB222" s="9">
        <v>-0.0742301083153378</v>
      </c>
      <c r="AC222" s="9">
        <v>0.00238280562427061</v>
      </c>
      <c r="AD222" s="9"/>
      <c r="AE222" s="9"/>
      <c r="AF222" s="9"/>
      <c r="AG222" s="9"/>
      <c r="AH222" s="9">
        <v>-0.137192879885835</v>
      </c>
      <c r="AI222" s="9">
        <v>0.00898873623627519</v>
      </c>
      <c r="AJ222" s="4">
        <v>0.062962771570494</v>
      </c>
      <c r="AK222" s="4">
        <v>0.0113715418605458</v>
      </c>
    </row>
    <row r="223" s="4" customFormat="1" spans="1:68">
      <c r="A223" s="4">
        <v>222</v>
      </c>
      <c r="B223" s="18">
        <v>41</v>
      </c>
      <c r="C223" s="19" t="s">
        <v>215</v>
      </c>
      <c r="D223" s="5" t="s">
        <v>216</v>
      </c>
      <c r="E223" s="4">
        <v>24.2367</v>
      </c>
      <c r="F223" s="4">
        <v>83.0567</v>
      </c>
      <c r="G223" s="20">
        <v>27</v>
      </c>
      <c r="H223" s="21">
        <v>1215</v>
      </c>
      <c r="I223" s="4"/>
      <c r="J223" s="13" t="s">
        <v>188</v>
      </c>
      <c r="K223" s="5" t="s">
        <v>182</v>
      </c>
      <c r="L223" s="4">
        <v>2015</v>
      </c>
      <c r="M223" s="4">
        <v>6</v>
      </c>
      <c r="N223" s="5" t="s">
        <v>96</v>
      </c>
      <c r="O223" s="36" t="s">
        <v>80</v>
      </c>
      <c r="P223" s="29">
        <v>6.35</v>
      </c>
      <c r="Q223" s="20"/>
      <c r="R223" s="4">
        <v>1.100000024</v>
      </c>
      <c r="S223" s="13">
        <v>0</v>
      </c>
      <c r="T223" s="34">
        <v>20</v>
      </c>
      <c r="U223" s="34">
        <v>15</v>
      </c>
      <c r="V223" s="34">
        <v>60</v>
      </c>
      <c r="W223" s="4"/>
      <c r="X223" s="4"/>
      <c r="Y223" s="5" t="s">
        <v>82</v>
      </c>
      <c r="Z223" s="4">
        <v>10</v>
      </c>
      <c r="AA223" s="4">
        <v>10</v>
      </c>
      <c r="AB223" s="9">
        <v>-0.440899746747741</v>
      </c>
      <c r="AC223" s="9">
        <v>7.69085051970915e-5</v>
      </c>
      <c r="AD223" s="9"/>
      <c r="AE223" s="9"/>
      <c r="AF223" s="9"/>
      <c r="AG223" s="9"/>
      <c r="AH223" s="9">
        <v>-0.297634669493752</v>
      </c>
      <c r="AI223" s="9">
        <v>0.00208246563931695</v>
      </c>
      <c r="AJ223" s="4">
        <v>-0.143265077253988</v>
      </c>
      <c r="AK223" s="4">
        <v>0.00215937414451404</v>
      </c>
      <c r="AL223" s="4"/>
      <c r="AM223" s="4"/>
      <c r="AN223" s="4"/>
      <c r="AO223" s="4"/>
      <c r="AP223" s="4"/>
      <c r="AQ223" s="4"/>
      <c r="AR223" s="4"/>
      <c r="AS223" s="4"/>
      <c r="AT223" s="4"/>
      <c r="AU223" s="4"/>
      <c r="AV223" s="4"/>
      <c r="AW223" s="4"/>
      <c r="AX223" s="4">
        <v>0.112895922220097</v>
      </c>
      <c r="AY223" s="4">
        <v>0.0886141753875522</v>
      </c>
      <c r="BP223" s="4">
        <v>-0.505387373199562</v>
      </c>
    </row>
    <row r="224" s="4" customFormat="1" spans="1:68">
      <c r="A224" s="4">
        <v>223</v>
      </c>
      <c r="B224" s="18">
        <v>41</v>
      </c>
      <c r="C224" s="19" t="s">
        <v>215</v>
      </c>
      <c r="D224" s="5" t="s">
        <v>217</v>
      </c>
      <c r="E224" s="4">
        <v>24.2367</v>
      </c>
      <c r="F224" s="4">
        <v>83.0567</v>
      </c>
      <c r="G224" s="20">
        <v>27</v>
      </c>
      <c r="H224" s="21">
        <v>1215</v>
      </c>
      <c r="I224" s="4"/>
      <c r="J224" s="13" t="s">
        <v>188</v>
      </c>
      <c r="K224" s="5" t="s">
        <v>182</v>
      </c>
      <c r="L224" s="4">
        <v>2015</v>
      </c>
      <c r="M224" s="4">
        <v>6</v>
      </c>
      <c r="N224" s="5" t="s">
        <v>96</v>
      </c>
      <c r="O224" s="36" t="s">
        <v>80</v>
      </c>
      <c r="P224" s="29">
        <v>6.35</v>
      </c>
      <c r="Q224" s="20"/>
      <c r="R224" s="4">
        <v>1.100000024</v>
      </c>
      <c r="S224" s="13">
        <v>0</v>
      </c>
      <c r="T224" s="34">
        <v>20</v>
      </c>
      <c r="U224" s="34">
        <v>15</v>
      </c>
      <c r="V224" s="34">
        <v>60</v>
      </c>
      <c r="W224" s="4"/>
      <c r="X224" s="4"/>
      <c r="Y224" s="5" t="s">
        <v>82</v>
      </c>
      <c r="Z224" s="4">
        <v>10</v>
      </c>
      <c r="AA224" s="4">
        <v>10</v>
      </c>
      <c r="AB224" s="9">
        <v>-0.359426190087422</v>
      </c>
      <c r="AC224" s="9">
        <v>7.69085051970916e-5</v>
      </c>
      <c r="AD224" s="9"/>
      <c r="AE224" s="9"/>
      <c r="AF224" s="9"/>
      <c r="AG224" s="9"/>
      <c r="AH224" s="9">
        <v>-0.284323267916158</v>
      </c>
      <c r="AI224" s="9">
        <v>0.00208246563931695</v>
      </c>
      <c r="AJ224" s="4">
        <v>-0.0751029221712624</v>
      </c>
      <c r="AK224" s="4">
        <v>0.00215937414451404</v>
      </c>
      <c r="AL224" s="4"/>
      <c r="AM224" s="4"/>
      <c r="AN224" s="4"/>
      <c r="AO224" s="4"/>
      <c r="AP224" s="4"/>
      <c r="AQ224" s="4"/>
      <c r="AR224" s="4"/>
      <c r="AS224" s="4"/>
      <c r="AT224" s="4"/>
      <c r="AU224" s="4"/>
      <c r="AV224" s="4"/>
      <c r="AW224" s="4"/>
      <c r="AX224" s="4">
        <v>0.0740808152137635</v>
      </c>
      <c r="AY224" s="4">
        <v>0.0419053868497193</v>
      </c>
      <c r="BP224" s="4">
        <v>-0.405465108108164</v>
      </c>
    </row>
    <row r="225" s="4" customFormat="1" spans="1:68">
      <c r="A225" s="4">
        <v>224</v>
      </c>
      <c r="B225" s="18">
        <v>41</v>
      </c>
      <c r="C225" s="19" t="s">
        <v>215</v>
      </c>
      <c r="D225" s="5" t="s">
        <v>218</v>
      </c>
      <c r="E225" s="4">
        <v>24.2367</v>
      </c>
      <c r="F225" s="4">
        <v>83.0567</v>
      </c>
      <c r="G225" s="20">
        <v>27</v>
      </c>
      <c r="H225" s="21">
        <v>1215</v>
      </c>
      <c r="I225" s="4"/>
      <c r="J225" s="13" t="s">
        <v>188</v>
      </c>
      <c r="K225" s="5" t="s">
        <v>182</v>
      </c>
      <c r="L225" s="4">
        <v>2015</v>
      </c>
      <c r="M225" s="4">
        <v>6</v>
      </c>
      <c r="N225" s="5" t="s">
        <v>96</v>
      </c>
      <c r="O225" s="36" t="s">
        <v>80</v>
      </c>
      <c r="P225" s="29">
        <v>6.35</v>
      </c>
      <c r="Q225" s="20"/>
      <c r="R225" s="4">
        <v>1.100000024</v>
      </c>
      <c r="S225" s="13">
        <v>0</v>
      </c>
      <c r="T225" s="34">
        <v>20</v>
      </c>
      <c r="U225" s="34">
        <v>15</v>
      </c>
      <c r="V225" s="34">
        <v>60</v>
      </c>
      <c r="W225" s="4"/>
      <c r="X225" s="4"/>
      <c r="Y225" s="5" t="s">
        <v>82</v>
      </c>
      <c r="Z225" s="4">
        <v>10</v>
      </c>
      <c r="AA225" s="4">
        <v>10</v>
      </c>
      <c r="AB225" s="9">
        <v>-0.400955434254579</v>
      </c>
      <c r="AC225" s="9">
        <v>7.69085051970916e-5</v>
      </c>
      <c r="AD225" s="9"/>
      <c r="AE225" s="9"/>
      <c r="AF225" s="9"/>
      <c r="AG225" s="9"/>
      <c r="AH225" s="9">
        <v>-0.421615364162137</v>
      </c>
      <c r="AI225" s="9">
        <v>0.00208246563931695</v>
      </c>
      <c r="AJ225" s="4">
        <v>0.0206599299075576</v>
      </c>
      <c r="AK225" s="4">
        <v>0.00215937414451404</v>
      </c>
      <c r="AL225" s="4"/>
      <c r="AM225" s="4"/>
      <c r="AN225" s="4"/>
      <c r="AO225" s="4"/>
      <c r="AP225" s="4"/>
      <c r="AQ225" s="4"/>
      <c r="AR225" s="4"/>
      <c r="AS225" s="4"/>
      <c r="AT225" s="4"/>
      <c r="AU225" s="4"/>
      <c r="AV225" s="4"/>
      <c r="AW225" s="4"/>
      <c r="AX225" s="4">
        <v>0.496309763449473</v>
      </c>
      <c r="AY225" s="4">
        <v>0.091018956415089</v>
      </c>
      <c r="BP225" s="4">
        <v>-0.640144069151453</v>
      </c>
    </row>
    <row r="226" s="4" customFormat="1" spans="1:68">
      <c r="A226" s="4">
        <v>225</v>
      </c>
      <c r="B226" s="18">
        <v>41</v>
      </c>
      <c r="C226" s="19" t="s">
        <v>215</v>
      </c>
      <c r="D226" s="5" t="s">
        <v>219</v>
      </c>
      <c r="E226" s="4">
        <v>24.2367</v>
      </c>
      <c r="F226" s="4">
        <v>83.0567</v>
      </c>
      <c r="G226" s="20">
        <v>27</v>
      </c>
      <c r="H226" s="21">
        <v>1215</v>
      </c>
      <c r="I226" s="4"/>
      <c r="J226" s="13" t="s">
        <v>188</v>
      </c>
      <c r="K226" s="5" t="s">
        <v>182</v>
      </c>
      <c r="L226" s="4">
        <v>2015</v>
      </c>
      <c r="M226" s="4">
        <v>6</v>
      </c>
      <c r="N226" s="5" t="s">
        <v>96</v>
      </c>
      <c r="O226" s="36" t="s">
        <v>80</v>
      </c>
      <c r="P226" s="29">
        <v>6.35</v>
      </c>
      <c r="Q226" s="20"/>
      <c r="R226" s="4">
        <v>1.100000024</v>
      </c>
      <c r="S226" s="13">
        <v>0</v>
      </c>
      <c r="T226" s="34">
        <v>20</v>
      </c>
      <c r="U226" s="34">
        <v>15</v>
      </c>
      <c r="V226" s="34">
        <v>60</v>
      </c>
      <c r="W226" s="4"/>
      <c r="X226" s="4"/>
      <c r="Y226" s="5" t="s">
        <v>82</v>
      </c>
      <c r="Z226" s="4">
        <v>10</v>
      </c>
      <c r="AA226" s="4">
        <v>10</v>
      </c>
      <c r="AB226" s="9">
        <v>-0.414423899118219</v>
      </c>
      <c r="AC226" s="9">
        <v>7.69085051970915e-5</v>
      </c>
      <c r="AD226" s="9"/>
      <c r="AE226" s="9"/>
      <c r="AF226" s="9"/>
      <c r="AG226" s="9"/>
      <c r="AH226" s="9">
        <v>-0.486517922210315</v>
      </c>
      <c r="AI226" s="9">
        <v>0.00208246563931695</v>
      </c>
      <c r="AJ226" s="4">
        <v>0.0720940230920961</v>
      </c>
      <c r="AK226" s="4">
        <v>0.00215937414451404</v>
      </c>
      <c r="AL226" s="4"/>
      <c r="AM226" s="4"/>
      <c r="AN226" s="4"/>
      <c r="AO226" s="4"/>
      <c r="AP226" s="4"/>
      <c r="AQ226" s="4"/>
      <c r="AR226" s="4"/>
      <c r="AS226" s="4"/>
      <c r="AT226" s="4"/>
      <c r="AU226" s="4"/>
      <c r="AV226" s="4"/>
      <c r="AW226" s="4"/>
      <c r="AX226" s="4">
        <v>0.216650190663561</v>
      </c>
      <c r="AY226" s="4">
        <v>0.0517726134282539</v>
      </c>
      <c r="BP226" s="4">
        <v>-0.488856890930622</v>
      </c>
    </row>
    <row r="227" s="4" customFormat="1" spans="1:68">
      <c r="A227" s="4">
        <v>226</v>
      </c>
      <c r="B227" s="18">
        <v>41</v>
      </c>
      <c r="C227" s="19" t="s">
        <v>215</v>
      </c>
      <c r="D227" s="5" t="s">
        <v>220</v>
      </c>
      <c r="E227" s="4">
        <v>24.2367</v>
      </c>
      <c r="F227" s="4">
        <v>83.0567</v>
      </c>
      <c r="G227" s="20">
        <v>27</v>
      </c>
      <c r="H227" s="21">
        <v>1215</v>
      </c>
      <c r="I227" s="4"/>
      <c r="J227" s="13" t="s">
        <v>188</v>
      </c>
      <c r="K227" s="5" t="s">
        <v>182</v>
      </c>
      <c r="L227" s="4">
        <v>2015</v>
      </c>
      <c r="M227" s="4">
        <v>6</v>
      </c>
      <c r="N227" s="5" t="s">
        <v>96</v>
      </c>
      <c r="O227" s="36" t="s">
        <v>80</v>
      </c>
      <c r="P227" s="29">
        <v>6.35</v>
      </c>
      <c r="Q227" s="20"/>
      <c r="R227" s="4">
        <v>1.100000024</v>
      </c>
      <c r="S227" s="13">
        <v>0</v>
      </c>
      <c r="T227" s="34">
        <v>20</v>
      </c>
      <c r="U227" s="34">
        <v>15</v>
      </c>
      <c r="V227" s="34">
        <v>60</v>
      </c>
      <c r="W227" s="4"/>
      <c r="X227" s="4"/>
      <c r="Y227" s="5" t="s">
        <v>82</v>
      </c>
      <c r="Z227" s="4">
        <v>10</v>
      </c>
      <c r="AA227" s="4">
        <v>10</v>
      </c>
      <c r="AB227" s="9">
        <v>-0.586285698834964</v>
      </c>
      <c r="AC227" s="9">
        <v>7.69085051970916e-5</v>
      </c>
      <c r="AD227" s="9"/>
      <c r="AE227" s="9"/>
      <c r="AF227" s="9"/>
      <c r="AG227" s="9"/>
      <c r="AH227" s="9">
        <v>-0.562782465409866</v>
      </c>
      <c r="AI227" s="9">
        <v>0.00208246563931695</v>
      </c>
      <c r="AJ227" s="4">
        <v>-0.0235032334250964</v>
      </c>
      <c r="AK227" s="4">
        <v>0.00215937414451404</v>
      </c>
      <c r="AL227" s="4"/>
      <c r="AM227" s="4"/>
      <c r="AN227" s="4"/>
      <c r="AO227" s="4"/>
      <c r="AP227" s="4"/>
      <c r="AQ227" s="4"/>
      <c r="AR227" s="4"/>
      <c r="AS227" s="4"/>
      <c r="AT227" s="4"/>
      <c r="AU227" s="4"/>
      <c r="AV227" s="4"/>
      <c r="AW227" s="4"/>
      <c r="AX227" s="4">
        <v>-0.333724691830326</v>
      </c>
      <c r="AY227" s="4">
        <v>0.040882088582024</v>
      </c>
      <c r="BP227" s="4">
        <v>-0.703961883481492</v>
      </c>
    </row>
    <row r="228" s="4" customFormat="1" spans="1:68">
      <c r="A228" s="4">
        <v>227</v>
      </c>
      <c r="B228" s="18">
        <v>41</v>
      </c>
      <c r="C228" s="19" t="s">
        <v>215</v>
      </c>
      <c r="D228" s="5" t="s">
        <v>221</v>
      </c>
      <c r="E228" s="4">
        <v>24.2367</v>
      </c>
      <c r="F228" s="4">
        <v>83.0567</v>
      </c>
      <c r="G228" s="20">
        <v>27</v>
      </c>
      <c r="H228" s="21">
        <v>1215</v>
      </c>
      <c r="I228" s="4"/>
      <c r="J228" s="13" t="s">
        <v>188</v>
      </c>
      <c r="K228" s="5" t="s">
        <v>182</v>
      </c>
      <c r="L228" s="4">
        <v>2015</v>
      </c>
      <c r="M228" s="4">
        <v>6</v>
      </c>
      <c r="N228" s="5" t="s">
        <v>96</v>
      </c>
      <c r="O228" s="36" t="s">
        <v>80</v>
      </c>
      <c r="P228" s="29">
        <v>6.35</v>
      </c>
      <c r="Q228" s="20"/>
      <c r="R228" s="4">
        <v>1.100000024</v>
      </c>
      <c r="S228" s="13">
        <v>0</v>
      </c>
      <c r="T228" s="34">
        <v>20</v>
      </c>
      <c r="U228" s="34">
        <v>15</v>
      </c>
      <c r="V228" s="34">
        <v>60</v>
      </c>
      <c r="W228" s="4"/>
      <c r="X228" s="4"/>
      <c r="Y228" s="5" t="s">
        <v>82</v>
      </c>
      <c r="Z228" s="4">
        <v>10</v>
      </c>
      <c r="AA228" s="4">
        <v>10</v>
      </c>
      <c r="AB228" s="9">
        <v>-0.475052821205356</v>
      </c>
      <c r="AC228" s="9">
        <v>7.69085051970916e-5</v>
      </c>
      <c r="AD228" s="9"/>
      <c r="AE228" s="9"/>
      <c r="AF228" s="9"/>
      <c r="AG228" s="9"/>
      <c r="AH228" s="9">
        <v>-0.575349839468211</v>
      </c>
      <c r="AI228" s="9">
        <v>0.00208246563931695</v>
      </c>
      <c r="AJ228" s="4">
        <v>0.100297018262855</v>
      </c>
      <c r="AK228" s="4">
        <v>0.00215937414451404</v>
      </c>
      <c r="AL228" s="4"/>
      <c r="AM228" s="4"/>
      <c r="AN228" s="4"/>
      <c r="AO228" s="4"/>
      <c r="AP228" s="4"/>
      <c r="AQ228" s="4"/>
      <c r="AR228" s="4"/>
      <c r="AS228" s="4"/>
      <c r="AT228" s="4"/>
      <c r="AU228" s="4"/>
      <c r="AV228" s="4"/>
      <c r="AW228" s="4"/>
      <c r="AX228" s="4">
        <v>0.254356128977066</v>
      </c>
      <c r="AY228" s="4">
        <v>0.0662104418370807</v>
      </c>
      <c r="BP228" s="4">
        <v>-0.492181332207271</v>
      </c>
    </row>
    <row r="229" s="4" customFormat="1" spans="1:68">
      <c r="A229" s="4">
        <v>228</v>
      </c>
      <c r="B229" s="18">
        <v>41</v>
      </c>
      <c r="C229" s="19" t="s">
        <v>215</v>
      </c>
      <c r="D229" s="5" t="s">
        <v>222</v>
      </c>
      <c r="E229" s="4">
        <v>24.2367</v>
      </c>
      <c r="F229" s="4">
        <v>83.0567</v>
      </c>
      <c r="G229" s="20">
        <v>27</v>
      </c>
      <c r="H229" s="21">
        <v>1215</v>
      </c>
      <c r="I229" s="4"/>
      <c r="J229" s="13" t="s">
        <v>188</v>
      </c>
      <c r="K229" s="5" t="s">
        <v>182</v>
      </c>
      <c r="L229" s="4">
        <v>2015</v>
      </c>
      <c r="M229" s="4">
        <v>6</v>
      </c>
      <c r="N229" s="5" t="s">
        <v>96</v>
      </c>
      <c r="O229" s="36" t="s">
        <v>80</v>
      </c>
      <c r="P229" s="29">
        <v>6.35</v>
      </c>
      <c r="Q229" s="20"/>
      <c r="R229" s="4">
        <v>1.100000024</v>
      </c>
      <c r="S229" s="13">
        <v>0</v>
      </c>
      <c r="T229" s="34">
        <v>20</v>
      </c>
      <c r="U229" s="34">
        <v>15</v>
      </c>
      <c r="V229" s="34">
        <v>60</v>
      </c>
      <c r="W229" s="4"/>
      <c r="X229" s="4"/>
      <c r="Y229" s="5" t="s">
        <v>82</v>
      </c>
      <c r="Z229" s="4">
        <v>10</v>
      </c>
      <c r="AA229" s="4">
        <v>10</v>
      </c>
      <c r="AB229" s="9">
        <v>-0.405404818113271</v>
      </c>
      <c r="AC229" s="9">
        <v>7.69085051970918e-5</v>
      </c>
      <c r="AD229" s="9"/>
      <c r="AE229" s="9"/>
      <c r="AF229" s="9"/>
      <c r="AG229" s="9"/>
      <c r="AH229" s="9">
        <v>-0.267092456703625</v>
      </c>
      <c r="AI229" s="9">
        <v>0.00208246563931695</v>
      </c>
      <c r="AJ229" s="4">
        <v>-0.138312361409648</v>
      </c>
      <c r="AK229" s="4">
        <v>0.00215937414451404</v>
      </c>
      <c r="AL229" s="4"/>
      <c r="AM229" s="4"/>
      <c r="AN229" s="4"/>
      <c r="AO229" s="4"/>
      <c r="AP229" s="4"/>
      <c r="AQ229" s="4"/>
      <c r="AR229" s="4"/>
      <c r="AS229" s="4"/>
      <c r="AT229" s="4"/>
      <c r="AU229" s="4"/>
      <c r="AV229" s="4"/>
      <c r="AW229" s="4"/>
      <c r="AX229" s="4"/>
      <c r="AY229" s="4"/>
      <c r="BP229" s="4">
        <v>-0.505387373199562</v>
      </c>
    </row>
    <row r="230" s="4" customFormat="1" spans="1:68">
      <c r="A230" s="4">
        <v>229</v>
      </c>
      <c r="B230" s="18">
        <v>41</v>
      </c>
      <c r="C230" s="19" t="s">
        <v>215</v>
      </c>
      <c r="D230" s="5" t="s">
        <v>223</v>
      </c>
      <c r="E230" s="4">
        <v>24.2367</v>
      </c>
      <c r="F230" s="4">
        <v>83.0567</v>
      </c>
      <c r="G230" s="20">
        <v>27</v>
      </c>
      <c r="H230" s="21">
        <v>1215</v>
      </c>
      <c r="I230" s="4"/>
      <c r="J230" s="13" t="s">
        <v>188</v>
      </c>
      <c r="K230" s="5" t="s">
        <v>182</v>
      </c>
      <c r="L230" s="4">
        <v>2015</v>
      </c>
      <c r="M230" s="4">
        <v>6</v>
      </c>
      <c r="N230" s="5" t="s">
        <v>96</v>
      </c>
      <c r="O230" s="36" t="s">
        <v>80</v>
      </c>
      <c r="P230" s="29">
        <v>6.35</v>
      </c>
      <c r="Q230" s="20"/>
      <c r="R230" s="4">
        <v>1.100000024</v>
      </c>
      <c r="S230" s="13">
        <v>0</v>
      </c>
      <c r="T230" s="34">
        <v>20</v>
      </c>
      <c r="U230" s="34">
        <v>15</v>
      </c>
      <c r="V230" s="34">
        <v>60</v>
      </c>
      <c r="W230" s="4"/>
      <c r="X230" s="4"/>
      <c r="Y230" s="5" t="s">
        <v>82</v>
      </c>
      <c r="Z230" s="4">
        <v>10</v>
      </c>
      <c r="AA230" s="4">
        <v>10</v>
      </c>
      <c r="AB230" s="9">
        <v>-0.315638149718371</v>
      </c>
      <c r="AC230" s="9">
        <v>7.69085051970916e-5</v>
      </c>
      <c r="AD230" s="9"/>
      <c r="AE230" s="9"/>
      <c r="AF230" s="9"/>
      <c r="AG230" s="9"/>
      <c r="AH230" s="9">
        <v>-0.323873867711587</v>
      </c>
      <c r="AI230" s="9">
        <v>0.00208246563931695</v>
      </c>
      <c r="AJ230" s="4">
        <v>0.00823571799321365</v>
      </c>
      <c r="AK230" s="4">
        <v>0.00215937414451404</v>
      </c>
      <c r="AL230" s="4"/>
      <c r="AM230" s="4"/>
      <c r="AN230" s="4"/>
      <c r="AO230" s="4"/>
      <c r="AP230" s="4"/>
      <c r="AQ230" s="4"/>
      <c r="AR230" s="4"/>
      <c r="AS230" s="4"/>
      <c r="AT230" s="4"/>
      <c r="AU230" s="4"/>
      <c r="AV230" s="4"/>
      <c r="AW230" s="4"/>
      <c r="AX230" s="4"/>
      <c r="AY230" s="4"/>
      <c r="BP230" s="4">
        <v>-0.405465108108164</v>
      </c>
    </row>
    <row r="231" s="4" customFormat="1" spans="1:68">
      <c r="A231" s="4">
        <v>230</v>
      </c>
      <c r="B231" s="18">
        <v>41</v>
      </c>
      <c r="C231" s="19" t="s">
        <v>215</v>
      </c>
      <c r="D231" s="5" t="s">
        <v>224</v>
      </c>
      <c r="E231" s="4">
        <v>24.2367</v>
      </c>
      <c r="F231" s="4">
        <v>83.0567</v>
      </c>
      <c r="G231" s="20">
        <v>27</v>
      </c>
      <c r="H231" s="21">
        <v>1215</v>
      </c>
      <c r="I231" s="4"/>
      <c r="J231" s="13" t="s">
        <v>188</v>
      </c>
      <c r="K231" s="5" t="s">
        <v>182</v>
      </c>
      <c r="L231" s="4">
        <v>2015</v>
      </c>
      <c r="M231" s="4">
        <v>6</v>
      </c>
      <c r="N231" s="5" t="s">
        <v>96</v>
      </c>
      <c r="O231" s="36" t="s">
        <v>80</v>
      </c>
      <c r="P231" s="29">
        <v>6.35</v>
      </c>
      <c r="Q231" s="20"/>
      <c r="R231" s="4">
        <v>1.100000024</v>
      </c>
      <c r="S231" s="13">
        <v>0</v>
      </c>
      <c r="T231" s="34">
        <v>20</v>
      </c>
      <c r="U231" s="34">
        <v>15</v>
      </c>
      <c r="V231" s="34">
        <v>60</v>
      </c>
      <c r="W231" s="4"/>
      <c r="X231" s="4"/>
      <c r="Y231" s="5" t="s">
        <v>82</v>
      </c>
      <c r="Z231" s="4">
        <v>10</v>
      </c>
      <c r="AA231" s="4">
        <v>10</v>
      </c>
      <c r="AB231" s="9">
        <v>-0.430412075047859</v>
      </c>
      <c r="AC231" s="9">
        <v>7.69085051970917e-5</v>
      </c>
      <c r="AD231" s="9"/>
      <c r="AE231" s="9"/>
      <c r="AF231" s="9"/>
      <c r="AG231" s="9"/>
      <c r="AH231" s="9">
        <v>-0.483634111527813</v>
      </c>
      <c r="AI231" s="9">
        <v>0.00208246563931695</v>
      </c>
      <c r="AJ231" s="4">
        <v>0.0532220364799536</v>
      </c>
      <c r="AK231" s="4">
        <v>0.00215937414451404</v>
      </c>
      <c r="AL231" s="4"/>
      <c r="AM231" s="4"/>
      <c r="AN231" s="4"/>
      <c r="AO231" s="4"/>
      <c r="AP231" s="4"/>
      <c r="AQ231" s="4"/>
      <c r="AR231" s="4"/>
      <c r="AS231" s="4"/>
      <c r="AT231" s="4"/>
      <c r="AU231" s="4"/>
      <c r="AV231" s="4"/>
      <c r="AW231" s="4"/>
      <c r="AX231" s="4"/>
      <c r="AY231" s="4"/>
      <c r="BP231" s="4">
        <v>-0.640144069151453</v>
      </c>
    </row>
    <row r="232" s="4" customFormat="1" spans="1:68">
      <c r="A232" s="4">
        <v>231</v>
      </c>
      <c r="B232" s="18">
        <v>41</v>
      </c>
      <c r="C232" s="19" t="s">
        <v>215</v>
      </c>
      <c r="D232" s="5" t="s">
        <v>225</v>
      </c>
      <c r="E232" s="4">
        <v>24.2367</v>
      </c>
      <c r="F232" s="4">
        <v>83.0567</v>
      </c>
      <c r="G232" s="20">
        <v>27</v>
      </c>
      <c r="H232" s="21">
        <v>1215</v>
      </c>
      <c r="I232" s="4"/>
      <c r="J232" s="13" t="s">
        <v>188</v>
      </c>
      <c r="K232" s="5" t="s">
        <v>182</v>
      </c>
      <c r="L232" s="4">
        <v>2015</v>
      </c>
      <c r="M232" s="4">
        <v>6</v>
      </c>
      <c r="N232" s="5" t="s">
        <v>96</v>
      </c>
      <c r="O232" s="36" t="s">
        <v>80</v>
      </c>
      <c r="P232" s="29">
        <v>6.35</v>
      </c>
      <c r="Q232" s="20"/>
      <c r="R232" s="4">
        <v>1.100000024</v>
      </c>
      <c r="S232" s="13">
        <v>0</v>
      </c>
      <c r="T232" s="34">
        <v>20</v>
      </c>
      <c r="U232" s="34">
        <v>15</v>
      </c>
      <c r="V232" s="34">
        <v>60</v>
      </c>
      <c r="W232" s="4"/>
      <c r="X232" s="4"/>
      <c r="Y232" s="5" t="s">
        <v>82</v>
      </c>
      <c r="Z232" s="4">
        <v>10</v>
      </c>
      <c r="AA232" s="4">
        <v>10</v>
      </c>
      <c r="AB232" s="9">
        <v>-0.435339349211758</v>
      </c>
      <c r="AC232" s="9">
        <v>7.69085051970916e-5</v>
      </c>
      <c r="AD232" s="9"/>
      <c r="AE232" s="9"/>
      <c r="AF232" s="9"/>
      <c r="AG232" s="9"/>
      <c r="AH232" s="9">
        <v>-0.543756103456785</v>
      </c>
      <c r="AI232" s="9">
        <v>0.00208246563931694</v>
      </c>
      <c r="AJ232" s="4">
        <v>0.108416754245024</v>
      </c>
      <c r="AK232" s="4">
        <v>0.00215937414451403</v>
      </c>
      <c r="AL232" s="4"/>
      <c r="AM232" s="4"/>
      <c r="AN232" s="4"/>
      <c r="AO232" s="4"/>
      <c r="AP232" s="4"/>
      <c r="AQ232" s="4"/>
      <c r="AR232" s="4"/>
      <c r="AS232" s="4"/>
      <c r="AT232" s="4"/>
      <c r="AU232" s="4"/>
      <c r="AV232" s="4"/>
      <c r="AW232" s="4"/>
      <c r="AX232" s="4"/>
      <c r="AY232" s="4"/>
      <c r="BP232" s="4">
        <v>-0.488856890930622</v>
      </c>
    </row>
    <row r="233" s="4" customFormat="1" spans="1:68">
      <c r="A233" s="4">
        <v>232</v>
      </c>
      <c r="B233" s="18">
        <v>41</v>
      </c>
      <c r="C233" s="19" t="s">
        <v>215</v>
      </c>
      <c r="D233" s="5" t="s">
        <v>226</v>
      </c>
      <c r="E233" s="4">
        <v>24.2367</v>
      </c>
      <c r="F233" s="4">
        <v>83.0567</v>
      </c>
      <c r="G233" s="20">
        <v>27</v>
      </c>
      <c r="H233" s="21">
        <v>1215</v>
      </c>
      <c r="I233" s="4"/>
      <c r="J233" s="13" t="s">
        <v>188</v>
      </c>
      <c r="K233" s="5" t="s">
        <v>182</v>
      </c>
      <c r="L233" s="4">
        <v>2015</v>
      </c>
      <c r="M233" s="4">
        <v>6</v>
      </c>
      <c r="N233" s="5" t="s">
        <v>96</v>
      </c>
      <c r="O233" s="36" t="s">
        <v>80</v>
      </c>
      <c r="P233" s="29">
        <v>6.35</v>
      </c>
      <c r="Q233" s="20"/>
      <c r="R233" s="4">
        <v>1.100000024</v>
      </c>
      <c r="S233" s="13">
        <v>0</v>
      </c>
      <c r="T233" s="34">
        <v>20</v>
      </c>
      <c r="U233" s="34">
        <v>15</v>
      </c>
      <c r="V233" s="34">
        <v>60</v>
      </c>
      <c r="W233" s="4"/>
      <c r="X233" s="4"/>
      <c r="Y233" s="5" t="s">
        <v>82</v>
      </c>
      <c r="Z233" s="4">
        <v>10</v>
      </c>
      <c r="AA233" s="4">
        <v>10</v>
      </c>
      <c r="AB233" s="9">
        <v>-0.730250930763322</v>
      </c>
      <c r="AC233" s="9">
        <v>7.69085051970916e-5</v>
      </c>
      <c r="AD233" s="9"/>
      <c r="AE233" s="9"/>
      <c r="AF233" s="9"/>
      <c r="AG233" s="9"/>
      <c r="AH233" s="9">
        <v>-0.663995174170333</v>
      </c>
      <c r="AI233" s="9">
        <v>0.00208246563931695</v>
      </c>
      <c r="AJ233" s="4">
        <v>-0.0662557565929913</v>
      </c>
      <c r="AK233" s="4">
        <v>0.00215937414451404</v>
      </c>
      <c r="AL233" s="4"/>
      <c r="AM233" s="4"/>
      <c r="AN233" s="4"/>
      <c r="AO233" s="4"/>
      <c r="AP233" s="4"/>
      <c r="AQ233" s="4"/>
      <c r="AR233" s="4"/>
      <c r="AS233" s="4"/>
      <c r="AT233" s="4"/>
      <c r="AU233" s="4"/>
      <c r="AV233" s="4"/>
      <c r="AW233" s="4"/>
      <c r="AX233" s="4"/>
      <c r="AY233" s="4"/>
      <c r="BP233" s="4">
        <v>-0.703961883481492</v>
      </c>
    </row>
    <row r="234" s="4" customFormat="1" spans="1:68">
      <c r="A234" s="4">
        <v>233</v>
      </c>
      <c r="B234" s="18">
        <v>41</v>
      </c>
      <c r="C234" s="19" t="s">
        <v>215</v>
      </c>
      <c r="D234" s="5" t="s">
        <v>227</v>
      </c>
      <c r="E234" s="4">
        <v>24.2367</v>
      </c>
      <c r="F234" s="4">
        <v>83.0567</v>
      </c>
      <c r="G234" s="20">
        <v>27</v>
      </c>
      <c r="H234" s="21">
        <v>1215</v>
      </c>
      <c r="I234" s="4"/>
      <c r="J234" s="13" t="s">
        <v>188</v>
      </c>
      <c r="K234" s="5" t="s">
        <v>182</v>
      </c>
      <c r="L234" s="4">
        <v>2015</v>
      </c>
      <c r="M234" s="4">
        <v>6</v>
      </c>
      <c r="N234" s="5" t="s">
        <v>96</v>
      </c>
      <c r="O234" s="36" t="s">
        <v>80</v>
      </c>
      <c r="P234" s="29">
        <v>6.35</v>
      </c>
      <c r="Q234" s="20"/>
      <c r="R234" s="4">
        <v>1.100000024</v>
      </c>
      <c r="S234" s="13">
        <v>0</v>
      </c>
      <c r="T234" s="34">
        <v>20</v>
      </c>
      <c r="U234" s="34">
        <v>15</v>
      </c>
      <c r="V234" s="34">
        <v>60</v>
      </c>
      <c r="W234" s="4"/>
      <c r="X234" s="4"/>
      <c r="Y234" s="5" t="s">
        <v>82</v>
      </c>
      <c r="Z234" s="4">
        <v>10</v>
      </c>
      <c r="AA234" s="4">
        <v>10</v>
      </c>
      <c r="AB234" s="9">
        <v>-0.555187736419691</v>
      </c>
      <c r="AC234" s="9">
        <v>7.69085051970917e-5</v>
      </c>
      <c r="AD234" s="9"/>
      <c r="AE234" s="9"/>
      <c r="AF234" s="9"/>
      <c r="AG234" s="9"/>
      <c r="AH234" s="9">
        <v>-0.621238763437448</v>
      </c>
      <c r="AI234" s="9">
        <v>0.00208246563931695</v>
      </c>
      <c r="AJ234" s="4">
        <v>0.0660510270177561</v>
      </c>
      <c r="AK234" s="4">
        <v>0.00215937414451404</v>
      </c>
      <c r="AL234" s="4"/>
      <c r="AM234" s="4"/>
      <c r="AN234" s="4"/>
      <c r="AO234" s="4"/>
      <c r="AP234" s="4"/>
      <c r="AQ234" s="4"/>
      <c r="AR234" s="4"/>
      <c r="AS234" s="4"/>
      <c r="AT234" s="4"/>
      <c r="AU234" s="4"/>
      <c r="AV234" s="4"/>
      <c r="AW234" s="4"/>
      <c r="AX234" s="4"/>
      <c r="AY234" s="4"/>
      <c r="BP234" s="4">
        <v>-0.492181332207271</v>
      </c>
    </row>
    <row r="235" s="3" customFormat="1" spans="1:53">
      <c r="A235" s="4">
        <v>234</v>
      </c>
      <c r="B235" s="6">
        <v>42</v>
      </c>
      <c r="C235" s="24" t="s">
        <v>228</v>
      </c>
      <c r="D235" s="13" t="s">
        <v>229</v>
      </c>
      <c r="E235" s="3">
        <v>-24.1930166666667</v>
      </c>
      <c r="F235" s="3">
        <v>-54.1136277777778</v>
      </c>
      <c r="G235" s="20">
        <v>21</v>
      </c>
      <c r="H235" s="21">
        <v>1586</v>
      </c>
      <c r="I235" s="3"/>
      <c r="J235" s="13" t="s">
        <v>185</v>
      </c>
      <c r="K235" s="5" t="s">
        <v>182</v>
      </c>
      <c r="L235" s="3"/>
      <c r="M235" s="3">
        <v>8</v>
      </c>
      <c r="N235" s="13" t="s">
        <v>79</v>
      </c>
      <c r="O235" s="36" t="s">
        <v>80</v>
      </c>
      <c r="P235" s="7">
        <v>5.5</v>
      </c>
      <c r="Q235" s="3">
        <v>7</v>
      </c>
      <c r="R235" s="5"/>
      <c r="S235" s="13"/>
      <c r="T235" s="8">
        <v>12</v>
      </c>
      <c r="U235" s="8">
        <v>21</v>
      </c>
      <c r="V235" s="8">
        <v>67</v>
      </c>
      <c r="W235" s="3"/>
      <c r="X235" s="3"/>
      <c r="Y235" s="13" t="s">
        <v>82</v>
      </c>
      <c r="Z235" s="3">
        <v>5</v>
      </c>
      <c r="AA235" s="3">
        <v>5</v>
      </c>
      <c r="AB235" s="9">
        <v>1.4147863169142</v>
      </c>
      <c r="AC235" s="9">
        <v>0.000153817010394183</v>
      </c>
      <c r="AD235" s="25">
        <v>0.55083095837969</v>
      </c>
      <c r="AE235" s="25">
        <v>0.00320069368170994</v>
      </c>
      <c r="AF235" s="9">
        <v>-0.863955358534507</v>
      </c>
      <c r="AG235" s="9">
        <v>0.00335451069210413</v>
      </c>
      <c r="AH235" s="25">
        <v>0.832909122935104</v>
      </c>
      <c r="AI235" s="25">
        <v>0.00416493127863389</v>
      </c>
      <c r="AJ235" s="4">
        <v>0.581877193979092</v>
      </c>
      <c r="AK235" s="4">
        <v>0.00431874828902809</v>
      </c>
      <c r="AL235" s="3">
        <v>-0.282078164555415</v>
      </c>
      <c r="AM235" s="3">
        <v>0.00736562496034384</v>
      </c>
      <c r="AN235" s="4">
        <v>0.0531098253139483</v>
      </c>
      <c r="AO235" s="4">
        <v>0.000225730435227927</v>
      </c>
      <c r="AP235" s="3"/>
      <c r="AQ235" s="3"/>
      <c r="AR235" s="4"/>
      <c r="AS235" s="4"/>
      <c r="AT235" s="3"/>
      <c r="AU235" s="3"/>
      <c r="AV235" s="4"/>
      <c r="AW235" s="4"/>
      <c r="AX235" s="3"/>
      <c r="AY235" s="3"/>
      <c r="AZ235" s="3">
        <v>0.334854295098407</v>
      </c>
      <c r="BA235" s="3">
        <v>0.00250545465957953</v>
      </c>
    </row>
    <row r="236" s="3" customFormat="1" spans="1:53">
      <c r="A236" s="4">
        <v>235</v>
      </c>
      <c r="B236" s="6">
        <v>42</v>
      </c>
      <c r="C236" s="24" t="s">
        <v>228</v>
      </c>
      <c r="D236" s="13" t="s">
        <v>230</v>
      </c>
      <c r="E236" s="3">
        <v>-24.1875611111111</v>
      </c>
      <c r="F236" s="3">
        <v>-54.1131833333333</v>
      </c>
      <c r="G236" s="20">
        <v>20.9416675567627</v>
      </c>
      <c r="H236" s="21">
        <v>1587</v>
      </c>
      <c r="I236" s="3"/>
      <c r="J236" s="13" t="s">
        <v>181</v>
      </c>
      <c r="K236" s="5" t="s">
        <v>182</v>
      </c>
      <c r="L236" s="3"/>
      <c r="M236" s="3">
        <v>8</v>
      </c>
      <c r="N236" s="13" t="s">
        <v>79</v>
      </c>
      <c r="O236" s="36" t="s">
        <v>80</v>
      </c>
      <c r="P236" s="7">
        <v>5.5</v>
      </c>
      <c r="Q236" s="3">
        <v>7</v>
      </c>
      <c r="R236" s="5"/>
      <c r="S236" s="13"/>
      <c r="T236" s="8">
        <v>12</v>
      </c>
      <c r="U236" s="8">
        <v>21</v>
      </c>
      <c r="V236" s="8">
        <v>67</v>
      </c>
      <c r="W236" s="3"/>
      <c r="X236" s="3"/>
      <c r="Y236" s="13" t="s">
        <v>82</v>
      </c>
      <c r="Z236" s="3">
        <v>5</v>
      </c>
      <c r="AA236" s="3">
        <v>5</v>
      </c>
      <c r="AB236" s="9">
        <v>0.690252822533581</v>
      </c>
      <c r="AC236" s="9">
        <v>0.000153817010394183</v>
      </c>
      <c r="AD236" s="25">
        <v>-0.280902385466402</v>
      </c>
      <c r="AE236" s="25">
        <v>0.00320069368170995</v>
      </c>
      <c r="AF236" s="9">
        <v>-0.971155207999984</v>
      </c>
      <c r="AG236" s="9">
        <v>0.00335451069210413</v>
      </c>
      <c r="AH236" s="25">
        <v>-0.17095779814364</v>
      </c>
      <c r="AI236" s="25">
        <v>0.0041649312786339</v>
      </c>
      <c r="AJ236" s="4">
        <v>0.86121062067722</v>
      </c>
      <c r="AK236" s="4">
        <v>0.00431874828902809</v>
      </c>
      <c r="AL236" s="3">
        <v>-0.109944587322762</v>
      </c>
      <c r="AM236" s="3">
        <v>0.00736562496034384</v>
      </c>
      <c r="AN236" s="4">
        <v>0.212174519943636</v>
      </c>
      <c r="AO236" s="4">
        <v>0.000225730435227927</v>
      </c>
      <c r="AP236" s="3"/>
      <c r="AQ236" s="3"/>
      <c r="AR236" s="4"/>
      <c r="AS236" s="4"/>
      <c r="AT236" s="3"/>
      <c r="AU236" s="3"/>
      <c r="AV236" s="4"/>
      <c r="AW236" s="4"/>
      <c r="AX236" s="3"/>
      <c r="AY236" s="3"/>
      <c r="AZ236" s="3">
        <v>0.281606894075613</v>
      </c>
      <c r="BA236" s="3">
        <v>0.00250545465957953</v>
      </c>
    </row>
    <row r="237" s="3" customFormat="1" spans="1:53">
      <c r="A237" s="4">
        <v>236</v>
      </c>
      <c r="B237" s="6">
        <v>42</v>
      </c>
      <c r="C237" s="24" t="s">
        <v>228</v>
      </c>
      <c r="D237" s="13" t="s">
        <v>231</v>
      </c>
      <c r="E237" s="3">
        <v>-24.1930166666667</v>
      </c>
      <c r="F237" s="3">
        <v>-54.1136277777778</v>
      </c>
      <c r="G237" s="20">
        <v>21</v>
      </c>
      <c r="H237" s="21">
        <v>1586</v>
      </c>
      <c r="I237" s="3"/>
      <c r="J237" s="13" t="s">
        <v>181</v>
      </c>
      <c r="K237" s="5" t="s">
        <v>182</v>
      </c>
      <c r="L237" s="3"/>
      <c r="M237" s="3">
        <v>8</v>
      </c>
      <c r="N237" s="13" t="s">
        <v>79</v>
      </c>
      <c r="O237" s="36" t="s">
        <v>80</v>
      </c>
      <c r="P237" s="7">
        <v>5.5</v>
      </c>
      <c r="Q237" s="3">
        <v>7</v>
      </c>
      <c r="R237" s="5"/>
      <c r="S237" s="13"/>
      <c r="T237" s="8">
        <v>12</v>
      </c>
      <c r="U237" s="8">
        <v>21</v>
      </c>
      <c r="V237" s="8">
        <v>67</v>
      </c>
      <c r="W237" s="3"/>
      <c r="X237" s="3"/>
      <c r="Y237" s="13" t="s">
        <v>82</v>
      </c>
      <c r="Z237" s="3">
        <v>5</v>
      </c>
      <c r="AA237" s="3">
        <v>5</v>
      </c>
      <c r="AB237" s="9">
        <v>0.765602259775368</v>
      </c>
      <c r="AC237" s="9">
        <v>0.000153817010394183</v>
      </c>
      <c r="AD237" s="25">
        <v>-0.0631789016215316</v>
      </c>
      <c r="AE237" s="25">
        <v>0.00320069368170995</v>
      </c>
      <c r="AF237" s="9">
        <v>-0.828781161396896</v>
      </c>
      <c r="AG237" s="9">
        <v>0.00335451069210412</v>
      </c>
      <c r="AH237" s="25">
        <v>0.170345365747239</v>
      </c>
      <c r="AI237" s="25">
        <v>0.0041649312786339</v>
      </c>
      <c r="AJ237" s="4">
        <v>0.595256894028129</v>
      </c>
      <c r="AK237" s="4">
        <v>0.00431874828902809</v>
      </c>
      <c r="AL237" s="3">
        <v>-0.233524267368772</v>
      </c>
      <c r="AM237" s="3">
        <v>0.00736562496034385</v>
      </c>
      <c r="AN237" s="4">
        <v>0.182321556793955</v>
      </c>
      <c r="AO237" s="4">
        <v>0.000225730435227927</v>
      </c>
      <c r="AP237" s="3"/>
      <c r="AQ237" s="3"/>
      <c r="AR237" s="4"/>
      <c r="AS237" s="4"/>
      <c r="AT237" s="3"/>
      <c r="AU237" s="3"/>
      <c r="AV237" s="4"/>
      <c r="AW237" s="4"/>
      <c r="AX237" s="3"/>
      <c r="AY237" s="3"/>
      <c r="AZ237" s="3">
        <v>0.5469200227784</v>
      </c>
      <c r="BA237" s="3">
        <v>0.00250545465957954</v>
      </c>
    </row>
    <row r="238" s="3" customFormat="1" spans="1:53">
      <c r="A238" s="4">
        <v>237</v>
      </c>
      <c r="B238" s="6">
        <v>42</v>
      </c>
      <c r="C238" s="24" t="s">
        <v>228</v>
      </c>
      <c r="D238" s="13" t="s">
        <v>232</v>
      </c>
      <c r="E238" s="3">
        <v>-24.1930166666667</v>
      </c>
      <c r="F238" s="3">
        <v>-54.1136277777778</v>
      </c>
      <c r="G238" s="20">
        <v>21</v>
      </c>
      <c r="H238" s="21">
        <v>1586</v>
      </c>
      <c r="I238" s="3"/>
      <c r="J238" s="13" t="s">
        <v>185</v>
      </c>
      <c r="K238" s="5" t="s">
        <v>182</v>
      </c>
      <c r="L238" s="3"/>
      <c r="M238" s="3">
        <v>8</v>
      </c>
      <c r="N238" s="13" t="s">
        <v>79</v>
      </c>
      <c r="O238" s="36" t="s">
        <v>80</v>
      </c>
      <c r="P238" s="7">
        <v>5.5</v>
      </c>
      <c r="Q238" s="3">
        <v>7</v>
      </c>
      <c r="R238" s="5"/>
      <c r="S238" s="13"/>
      <c r="T238" s="8">
        <v>12</v>
      </c>
      <c r="U238" s="8">
        <v>21</v>
      </c>
      <c r="V238" s="8">
        <v>67</v>
      </c>
      <c r="W238" s="3"/>
      <c r="X238" s="3"/>
      <c r="Y238" s="13" t="s">
        <v>82</v>
      </c>
      <c r="Z238" s="3">
        <v>5</v>
      </c>
      <c r="AA238" s="3">
        <v>5</v>
      </c>
      <c r="AB238" s="9">
        <v>1.47386361817978</v>
      </c>
      <c r="AC238" s="9">
        <v>0.000153817010394183</v>
      </c>
      <c r="AD238" s="25">
        <v>0.735111379658978</v>
      </c>
      <c r="AE238" s="25">
        <v>0.00320069368170995</v>
      </c>
      <c r="AF238" s="9">
        <v>-0.738752238520801</v>
      </c>
      <c r="AG238" s="9">
        <v>0.00335451069210413</v>
      </c>
      <c r="AH238" s="25"/>
      <c r="AI238" s="25"/>
      <c r="AJ238" s="4"/>
      <c r="AK238" s="4"/>
      <c r="AL238" s="3"/>
      <c r="AM238" s="3"/>
      <c r="AN238" s="4"/>
      <c r="AO238" s="4"/>
      <c r="AP238" s="3"/>
      <c r="AQ238" s="3"/>
      <c r="AR238" s="4"/>
      <c r="AS238" s="4"/>
      <c r="AT238" s="3"/>
      <c r="AU238" s="3"/>
      <c r="AV238" s="4"/>
      <c r="AW238" s="4"/>
      <c r="AX238" s="3"/>
      <c r="AY238" s="3"/>
      <c r="AZ238" s="3">
        <v>-0.545017397603601</v>
      </c>
      <c r="BA238" s="3">
        <v>0.00250545465957954</v>
      </c>
    </row>
    <row r="239" s="3" customFormat="1" spans="1:53">
      <c r="A239" s="4">
        <v>238</v>
      </c>
      <c r="B239" s="6">
        <v>42</v>
      </c>
      <c r="C239" s="24" t="s">
        <v>228</v>
      </c>
      <c r="D239" s="13" t="s">
        <v>233</v>
      </c>
      <c r="E239" s="3">
        <v>-24.1875611111111</v>
      </c>
      <c r="F239" s="3">
        <v>-54.1131833333333</v>
      </c>
      <c r="G239" s="20">
        <v>20.9416675567627</v>
      </c>
      <c r="H239" s="21">
        <v>1587</v>
      </c>
      <c r="I239" s="3"/>
      <c r="J239" s="13" t="s">
        <v>181</v>
      </c>
      <c r="K239" s="5" t="s">
        <v>182</v>
      </c>
      <c r="L239" s="3"/>
      <c r="M239" s="3">
        <v>8</v>
      </c>
      <c r="N239" s="13" t="s">
        <v>79</v>
      </c>
      <c r="O239" s="36" t="s">
        <v>80</v>
      </c>
      <c r="P239" s="7">
        <v>5.5</v>
      </c>
      <c r="Q239" s="3">
        <v>7</v>
      </c>
      <c r="R239" s="5"/>
      <c r="S239" s="13"/>
      <c r="T239" s="8">
        <v>12</v>
      </c>
      <c r="U239" s="8">
        <v>21</v>
      </c>
      <c r="V239" s="8">
        <v>67</v>
      </c>
      <c r="W239" s="3"/>
      <c r="X239" s="3"/>
      <c r="Y239" s="13" t="s">
        <v>82</v>
      </c>
      <c r="Z239" s="3">
        <v>5</v>
      </c>
      <c r="AA239" s="3">
        <v>5</v>
      </c>
      <c r="AB239" s="9">
        <v>0.757964680636416</v>
      </c>
      <c r="AC239" s="9">
        <v>0.000153817010394183</v>
      </c>
      <c r="AD239" s="25">
        <v>0.0822380982369722</v>
      </c>
      <c r="AE239" s="25">
        <v>0.00320069368170995</v>
      </c>
      <c r="AF239" s="9">
        <v>-0.675726582399441</v>
      </c>
      <c r="AG239" s="9">
        <v>0.00335451069210413</v>
      </c>
      <c r="AH239" s="25"/>
      <c r="AI239" s="25"/>
      <c r="AJ239" s="4"/>
      <c r="AK239" s="4"/>
      <c r="AL239" s="3"/>
      <c r="AM239" s="3"/>
      <c r="AN239" s="4"/>
      <c r="AO239" s="4"/>
      <c r="AP239" s="3"/>
      <c r="AQ239" s="3"/>
      <c r="AR239" s="4"/>
      <c r="AS239" s="4"/>
      <c r="AT239" s="3"/>
      <c r="AU239" s="3"/>
      <c r="AV239" s="4"/>
      <c r="AW239" s="4"/>
      <c r="AX239" s="3"/>
      <c r="AY239" s="3"/>
      <c r="AZ239" s="3">
        <v>-0.120698648651831</v>
      </c>
      <c r="BA239" s="3">
        <v>0.00250545465957954</v>
      </c>
    </row>
    <row r="240" s="3" customFormat="1" spans="1:53">
      <c r="A240" s="4">
        <v>239</v>
      </c>
      <c r="B240" s="6">
        <v>42</v>
      </c>
      <c r="C240" s="24" t="s">
        <v>228</v>
      </c>
      <c r="D240" s="13" t="s">
        <v>234</v>
      </c>
      <c r="E240" s="3">
        <v>-24.1930166666667</v>
      </c>
      <c r="F240" s="3">
        <v>-54.1136277777778</v>
      </c>
      <c r="G240" s="20">
        <v>21</v>
      </c>
      <c r="H240" s="21">
        <v>1586</v>
      </c>
      <c r="I240" s="3"/>
      <c r="J240" s="13" t="s">
        <v>181</v>
      </c>
      <c r="K240" s="5" t="s">
        <v>182</v>
      </c>
      <c r="L240" s="3"/>
      <c r="M240" s="3">
        <v>8</v>
      </c>
      <c r="N240" s="13" t="s">
        <v>79</v>
      </c>
      <c r="O240" s="36" t="s">
        <v>80</v>
      </c>
      <c r="P240" s="7">
        <v>5.5</v>
      </c>
      <c r="Q240" s="3">
        <v>7</v>
      </c>
      <c r="R240" s="5"/>
      <c r="S240" s="13"/>
      <c r="T240" s="8">
        <v>12</v>
      </c>
      <c r="U240" s="8">
        <v>21</v>
      </c>
      <c r="V240" s="8">
        <v>67</v>
      </c>
      <c r="W240" s="3"/>
      <c r="X240" s="3"/>
      <c r="Y240" s="13" t="s">
        <v>82</v>
      </c>
      <c r="Z240" s="3">
        <v>5</v>
      </c>
      <c r="AA240" s="3">
        <v>5</v>
      </c>
      <c r="AB240" s="9">
        <v>0.87992308770328</v>
      </c>
      <c r="AC240" s="9">
        <v>0.000153817010394183</v>
      </c>
      <c r="AD240" s="25">
        <v>0.0555698511548108</v>
      </c>
      <c r="AE240" s="25">
        <v>0.00320069368170995</v>
      </c>
      <c r="AF240" s="9">
        <v>-0.82435323654847</v>
      </c>
      <c r="AG240" s="9">
        <v>0.00335451069210414</v>
      </c>
      <c r="AH240" s="25"/>
      <c r="AI240" s="25"/>
      <c r="AJ240" s="4"/>
      <c r="AK240" s="4"/>
      <c r="AL240" s="3"/>
      <c r="AM240" s="3"/>
      <c r="AN240" s="4"/>
      <c r="AO240" s="4"/>
      <c r="AP240" s="3"/>
      <c r="AQ240" s="3"/>
      <c r="AR240" s="4"/>
      <c r="AS240" s="4"/>
      <c r="AT240" s="3"/>
      <c r="AU240" s="3"/>
      <c r="AV240" s="4"/>
      <c r="AW240" s="4"/>
      <c r="AX240" s="3"/>
      <c r="AY240" s="3"/>
      <c r="AZ240" s="3">
        <v>0.446623654848166</v>
      </c>
      <c r="BA240" s="3">
        <v>0.00250545465957955</v>
      </c>
    </row>
    <row r="241" s="4" customFormat="1" spans="1:61">
      <c r="A241" s="4">
        <v>240</v>
      </c>
      <c r="B241" s="18">
        <v>43</v>
      </c>
      <c r="C241" s="19" t="s">
        <v>215</v>
      </c>
      <c r="D241" s="5" t="s">
        <v>235</v>
      </c>
      <c r="E241" s="4">
        <v>21.463611</v>
      </c>
      <c r="F241" s="4">
        <v>11.905</v>
      </c>
      <c r="G241" s="20">
        <v>23</v>
      </c>
      <c r="H241" s="21">
        <v>2000</v>
      </c>
      <c r="I241" s="4"/>
      <c r="J241" s="5" t="s">
        <v>199</v>
      </c>
      <c r="K241" s="5" t="s">
        <v>182</v>
      </c>
      <c r="L241" s="4"/>
      <c r="M241" s="4">
        <v>6</v>
      </c>
      <c r="N241" s="5" t="s">
        <v>96</v>
      </c>
      <c r="O241" s="36" t="s">
        <v>80</v>
      </c>
      <c r="P241" s="29"/>
      <c r="Q241" s="4"/>
      <c r="R241" s="4"/>
      <c r="S241" s="13"/>
      <c r="T241" s="21"/>
      <c r="U241" s="34"/>
      <c r="V241" s="34"/>
      <c r="W241" s="18">
        <v>57</v>
      </c>
      <c r="X241" s="5" t="s">
        <v>141</v>
      </c>
      <c r="Y241" s="5" t="s">
        <v>82</v>
      </c>
      <c r="Z241" s="4">
        <v>5</v>
      </c>
      <c r="AA241" s="4">
        <v>5</v>
      </c>
      <c r="AB241" s="9">
        <v>-1.71035341856951</v>
      </c>
      <c r="AC241" s="9">
        <v>0.00351584861844209</v>
      </c>
      <c r="AD241" s="9">
        <v>-2.25595055382972</v>
      </c>
      <c r="AE241" s="9">
        <v>0.262452981197497</v>
      </c>
      <c r="AF241" s="9">
        <v>-0.54559713526021</v>
      </c>
      <c r="AG241" s="9">
        <v>0.265968829815938</v>
      </c>
      <c r="AH241" s="9">
        <v>-2.57769676223541</v>
      </c>
      <c r="AI241" s="9">
        <v>0.0246101395738613</v>
      </c>
      <c r="AJ241" s="4">
        <v>0.867343343665898</v>
      </c>
      <c r="AK241" s="4">
        <v>0.0281259881923036</v>
      </c>
      <c r="AL241" s="4">
        <v>0.321746208405688</v>
      </c>
      <c r="AM241" s="4">
        <v>0.287063120771358</v>
      </c>
      <c r="AN241" s="4"/>
      <c r="AO241" s="4"/>
      <c r="AP241" s="4">
        <v>-2.15507895588546</v>
      </c>
      <c r="AQ241" s="4">
        <v>0.00804866238412386</v>
      </c>
      <c r="AR241" s="4">
        <v>-1.56397553835734</v>
      </c>
      <c r="AS241" s="4">
        <v>0.145724415600024</v>
      </c>
      <c r="AT241" s="4"/>
      <c r="AU241" s="4"/>
      <c r="AV241" s="4"/>
      <c r="AW241" s="4"/>
      <c r="AX241" s="4"/>
      <c r="AY241" s="4"/>
      <c r="AZ241" s="4">
        <v>1.18130400451322</v>
      </c>
      <c r="BA241" s="4">
        <v>0.01885826885473</v>
      </c>
      <c r="BF241" s="4">
        <v>-2.24457069793342</v>
      </c>
      <c r="BG241" s="4">
        <v>0.0204374263589355</v>
      </c>
      <c r="BH241" s="4">
        <v>-2.63986868868614</v>
      </c>
      <c r="BI241" s="4">
        <v>0.0204898645093137</v>
      </c>
    </row>
    <row r="242" s="4" customFormat="1" spans="1:61">
      <c r="A242" s="4">
        <v>241</v>
      </c>
      <c r="B242" s="18">
        <v>43</v>
      </c>
      <c r="C242" s="19" t="s">
        <v>215</v>
      </c>
      <c r="D242" s="5" t="s">
        <v>235</v>
      </c>
      <c r="E242" s="4">
        <v>21.463611</v>
      </c>
      <c r="F242" s="4">
        <v>11.905</v>
      </c>
      <c r="G242" s="20">
        <v>23</v>
      </c>
      <c r="H242" s="21">
        <v>2000</v>
      </c>
      <c r="I242" s="4"/>
      <c r="J242" s="13" t="s">
        <v>188</v>
      </c>
      <c r="K242" s="5" t="s">
        <v>182</v>
      </c>
      <c r="L242" s="4"/>
      <c r="M242" s="4">
        <v>6</v>
      </c>
      <c r="N242" s="5" t="s">
        <v>96</v>
      </c>
      <c r="O242" s="36" t="s">
        <v>80</v>
      </c>
      <c r="P242" s="29"/>
      <c r="Q242" s="4"/>
      <c r="R242" s="4"/>
      <c r="S242" s="13"/>
      <c r="T242" s="21"/>
      <c r="U242" s="34"/>
      <c r="V242" s="34"/>
      <c r="W242" s="18">
        <v>42</v>
      </c>
      <c r="X242" s="5" t="s">
        <v>141</v>
      </c>
      <c r="Y242" s="5" t="s">
        <v>82</v>
      </c>
      <c r="Z242" s="4">
        <v>5</v>
      </c>
      <c r="AA242" s="4">
        <v>5</v>
      </c>
      <c r="AB242" s="9">
        <v>-0.634345525425509</v>
      </c>
      <c r="AC242" s="9">
        <v>0.00359078375287043</v>
      </c>
      <c r="AD242" s="9">
        <v>-0.897596616929245</v>
      </c>
      <c r="AE242" s="9">
        <v>0.0402083142262435</v>
      </c>
      <c r="AF242" s="9">
        <v>-0.263251091503735</v>
      </c>
      <c r="AG242" s="9">
        <v>0.0437990979791139</v>
      </c>
      <c r="AH242" s="9">
        <v>-0.950737393561811</v>
      </c>
      <c r="AI242" s="9">
        <v>0.00496229167781358</v>
      </c>
      <c r="AJ242" s="4">
        <v>0.316391868136301</v>
      </c>
      <c r="AK242" s="4">
        <v>0.00855307543068401</v>
      </c>
      <c r="AL242" s="4">
        <v>0.0531407766325669</v>
      </c>
      <c r="AM242" s="4">
        <v>0.0451706059040569</v>
      </c>
      <c r="AN242" s="4"/>
      <c r="AO242" s="4"/>
      <c r="AP242" s="4">
        <v>-1.07569802914523</v>
      </c>
      <c r="AQ242" s="4">
        <v>0.00409506888149515</v>
      </c>
      <c r="AR242" s="4">
        <v>-1.45861502269952</v>
      </c>
      <c r="AS242" s="4">
        <v>0.394613304488911</v>
      </c>
      <c r="AT242" s="4"/>
      <c r="AU242" s="4"/>
      <c r="AV242" s="4"/>
      <c r="AW242" s="4"/>
      <c r="AX242" s="4"/>
      <c r="AY242" s="4"/>
      <c r="AZ242" s="4">
        <v>1.43261843279413</v>
      </c>
      <c r="BA242" s="4">
        <v>0.0126652973309074</v>
      </c>
      <c r="BF242" s="4">
        <v>-1.02168692932178</v>
      </c>
      <c r="BG242" s="4">
        <v>0.0237051124738303</v>
      </c>
      <c r="BH242" s="4">
        <v>-3.4117967470992</v>
      </c>
      <c r="BI242" s="4">
        <v>0.043564138897919</v>
      </c>
    </row>
    <row r="243" s="4" customFormat="1" spans="1:61">
      <c r="A243" s="4">
        <v>242</v>
      </c>
      <c r="B243" s="18">
        <v>43</v>
      </c>
      <c r="C243" s="19" t="s">
        <v>215</v>
      </c>
      <c r="D243" s="5" t="s">
        <v>235</v>
      </c>
      <c r="E243" s="4">
        <v>21.463611</v>
      </c>
      <c r="F243" s="4">
        <v>11.905</v>
      </c>
      <c r="G243" s="20">
        <v>23</v>
      </c>
      <c r="H243" s="21">
        <v>2000</v>
      </c>
      <c r="I243" s="4"/>
      <c r="J243" s="13" t="s">
        <v>188</v>
      </c>
      <c r="K243" s="5" t="s">
        <v>182</v>
      </c>
      <c r="L243" s="4"/>
      <c r="M243" s="4">
        <v>6</v>
      </c>
      <c r="N243" s="5" t="s">
        <v>96</v>
      </c>
      <c r="O243" s="36" t="s">
        <v>80</v>
      </c>
      <c r="P243" s="29"/>
      <c r="Q243" s="4"/>
      <c r="R243" s="4"/>
      <c r="S243" s="13"/>
      <c r="T243" s="21"/>
      <c r="U243" s="34"/>
      <c r="V243" s="34"/>
      <c r="W243" s="18">
        <v>1</v>
      </c>
      <c r="X243" s="5" t="s">
        <v>81</v>
      </c>
      <c r="Y243" s="5" t="s">
        <v>82</v>
      </c>
      <c r="Z243" s="4">
        <v>5</v>
      </c>
      <c r="AA243" s="4">
        <v>5</v>
      </c>
      <c r="AB243" s="9">
        <v>-0.0649720888902016</v>
      </c>
      <c r="AC243" s="9">
        <v>0.00292695035517668</v>
      </c>
      <c r="AD243" s="9">
        <v>0.162054029442912</v>
      </c>
      <c r="AE243" s="9">
        <v>0.00275273004632061</v>
      </c>
      <c r="AF243" s="9">
        <v>0.227026118333112</v>
      </c>
      <c r="AG243" s="9">
        <v>0.00567968040149732</v>
      </c>
      <c r="AH243" s="9">
        <v>-0.110887069175959</v>
      </c>
      <c r="AI243" s="9">
        <v>0.00218583039221922</v>
      </c>
      <c r="AJ243" s="4">
        <v>0.0459149802857553</v>
      </c>
      <c r="AK243" s="4">
        <v>0.00511278074739592</v>
      </c>
      <c r="AL243" s="4">
        <v>0.272941098618871</v>
      </c>
      <c r="AM243" s="4">
        <v>0.00493856043853984</v>
      </c>
      <c r="AN243" s="4"/>
      <c r="AO243" s="4"/>
      <c r="AP243" s="4">
        <v>-0.339788989247207</v>
      </c>
      <c r="AQ243" s="4">
        <v>0.00245402214836487</v>
      </c>
      <c r="AR243" s="4">
        <v>-0.870828357797398</v>
      </c>
      <c r="AS243" s="4">
        <v>0.284613304488913</v>
      </c>
      <c r="AT243" s="4"/>
      <c r="AU243" s="4"/>
      <c r="AV243" s="4"/>
      <c r="AW243" s="4"/>
      <c r="AX243" s="4"/>
      <c r="AY243" s="4"/>
      <c r="AZ243" s="4">
        <v>1.38197469997537</v>
      </c>
      <c r="BA243" s="4">
        <v>0.013126346456141</v>
      </c>
      <c r="BF243" s="4">
        <v>0.204342349206677</v>
      </c>
      <c r="BG243" s="4">
        <v>0.0277559722294113</v>
      </c>
      <c r="BH243" s="4">
        <v>-0.91197456655475</v>
      </c>
      <c r="BI243" s="4">
        <v>0.0118280145195483</v>
      </c>
    </row>
    <row r="244" s="3" customFormat="1" spans="1:71">
      <c r="A244" s="4">
        <v>243</v>
      </c>
      <c r="B244" s="6">
        <v>44</v>
      </c>
      <c r="C244" s="37" t="s">
        <v>179</v>
      </c>
      <c r="D244" s="13" t="s">
        <v>236</v>
      </c>
      <c r="E244" s="3">
        <v>-14.1543</v>
      </c>
      <c r="F244" s="3">
        <v>-47.6261</v>
      </c>
      <c r="G244" s="20">
        <v>21.0708332061768</v>
      </c>
      <c r="H244" s="21">
        <v>1658</v>
      </c>
      <c r="I244" s="3"/>
      <c r="J244" s="13" t="s">
        <v>237</v>
      </c>
      <c r="K244" s="5" t="s">
        <v>78</v>
      </c>
      <c r="L244" s="3">
        <v>2017</v>
      </c>
      <c r="M244" s="3">
        <v>11</v>
      </c>
      <c r="N244" s="13" t="s">
        <v>113</v>
      </c>
      <c r="O244" s="28" t="s">
        <v>80</v>
      </c>
      <c r="P244" s="20"/>
      <c r="Q244" s="20"/>
      <c r="R244" s="5"/>
      <c r="S244" s="13"/>
      <c r="T244" s="21">
        <v>29</v>
      </c>
      <c r="U244" s="21">
        <v>29</v>
      </c>
      <c r="V244" s="21">
        <v>42</v>
      </c>
      <c r="W244" s="6"/>
      <c r="X244" s="3"/>
      <c r="Y244" s="13" t="s">
        <v>82</v>
      </c>
      <c r="Z244" s="3">
        <v>6</v>
      </c>
      <c r="AA244" s="3">
        <v>6</v>
      </c>
      <c r="AB244" s="9">
        <v>-0.215707902106078</v>
      </c>
      <c r="AC244" s="9">
        <v>0.0176457356635475</v>
      </c>
      <c r="AD244" s="25"/>
      <c r="AE244" s="25"/>
      <c r="AF244" s="9"/>
      <c r="AG244" s="9"/>
      <c r="AH244" s="25"/>
      <c r="AI244" s="25"/>
      <c r="AJ244" s="4"/>
      <c r="AK244" s="4"/>
      <c r="AL244" s="3"/>
      <c r="AM244" s="3"/>
      <c r="AN244" s="4"/>
      <c r="AO244" s="4"/>
      <c r="AP244" s="3"/>
      <c r="AQ244" s="3"/>
      <c r="AR244" s="4"/>
      <c r="AS244" s="4"/>
      <c r="AT244" s="3"/>
      <c r="AU244" s="3"/>
      <c r="AV244" s="4"/>
      <c r="AW244" s="4"/>
      <c r="AX244" s="3"/>
      <c r="AY244" s="3"/>
      <c r="BP244" s="3">
        <v>-0.916289799181457</v>
      </c>
      <c r="BQ244" s="3">
        <v>0.0697138948376688</v>
      </c>
      <c r="BR244" s="3">
        <v>0.343001444887406</v>
      </c>
      <c r="BS244" s="3">
        <v>0.0155519315823708</v>
      </c>
    </row>
    <row r="245" s="3" customFormat="1" spans="1:71">
      <c r="A245" s="4">
        <v>244</v>
      </c>
      <c r="B245" s="6">
        <v>44</v>
      </c>
      <c r="C245" s="37" t="s">
        <v>179</v>
      </c>
      <c r="D245" s="13" t="s">
        <v>238</v>
      </c>
      <c r="E245" s="3">
        <v>-14.1543</v>
      </c>
      <c r="F245" s="3">
        <v>-47.6261</v>
      </c>
      <c r="G245" s="20">
        <v>21.0708332061768</v>
      </c>
      <c r="H245" s="21">
        <v>1658</v>
      </c>
      <c r="I245" s="3"/>
      <c r="J245" s="13" t="s">
        <v>237</v>
      </c>
      <c r="K245" s="5" t="s">
        <v>78</v>
      </c>
      <c r="L245" s="3">
        <v>2018</v>
      </c>
      <c r="M245" s="3">
        <v>3</v>
      </c>
      <c r="N245" s="13" t="s">
        <v>96</v>
      </c>
      <c r="O245" s="28" t="s">
        <v>80</v>
      </c>
      <c r="P245" s="20"/>
      <c r="Q245" s="20"/>
      <c r="R245" s="5"/>
      <c r="S245" s="13"/>
      <c r="T245" s="21">
        <v>29</v>
      </c>
      <c r="U245" s="21">
        <v>29</v>
      </c>
      <c r="V245" s="21">
        <v>42</v>
      </c>
      <c r="W245" s="6"/>
      <c r="X245" s="3"/>
      <c r="Y245" s="13" t="s">
        <v>82</v>
      </c>
      <c r="Z245" s="3">
        <v>6</v>
      </c>
      <c r="AA245" s="3">
        <v>6</v>
      </c>
      <c r="AB245" s="9">
        <v>1e-7</v>
      </c>
      <c r="AC245" s="9">
        <v>0.000383097350600133</v>
      </c>
      <c r="AD245" s="25"/>
      <c r="AE245" s="25"/>
      <c r="AF245" s="9"/>
      <c r="AG245" s="9"/>
      <c r="AH245" s="25"/>
      <c r="AI245" s="25"/>
      <c r="AJ245" s="4"/>
      <c r="AK245" s="4"/>
      <c r="AL245" s="3"/>
      <c r="AM245" s="3"/>
      <c r="AN245" s="4"/>
      <c r="AO245" s="4"/>
      <c r="AP245" s="3"/>
      <c r="AQ245" s="3"/>
      <c r="AR245" s="4"/>
      <c r="AS245" s="4"/>
      <c r="AT245" s="3"/>
      <c r="AU245" s="3"/>
      <c r="AV245" s="4"/>
      <c r="AW245" s="4"/>
      <c r="AX245" s="3"/>
      <c r="AY245" s="3"/>
      <c r="BP245" s="3">
        <v>-0.792239036427687</v>
      </c>
      <c r="BQ245" s="3">
        <v>0.00427140155664622</v>
      </c>
      <c r="BR245" s="3">
        <v>0.767021171898375</v>
      </c>
      <c r="BS245" s="3">
        <v>0.00554624307750654</v>
      </c>
    </row>
    <row r="246" s="3" customFormat="1" spans="1:71">
      <c r="A246" s="4">
        <v>245</v>
      </c>
      <c r="B246" s="6">
        <v>44</v>
      </c>
      <c r="C246" s="37" t="s">
        <v>179</v>
      </c>
      <c r="D246" s="13" t="s">
        <v>239</v>
      </c>
      <c r="E246" s="3">
        <v>-14.1543</v>
      </c>
      <c r="F246" s="3">
        <v>-47.6261</v>
      </c>
      <c r="G246" s="20">
        <v>21.0708332061768</v>
      </c>
      <c r="H246" s="21">
        <v>1658</v>
      </c>
      <c r="I246" s="3"/>
      <c r="J246" s="13" t="s">
        <v>237</v>
      </c>
      <c r="K246" s="5" t="s">
        <v>78</v>
      </c>
      <c r="L246" s="3">
        <v>2018</v>
      </c>
      <c r="M246" s="3">
        <v>6</v>
      </c>
      <c r="N246" s="13" t="s">
        <v>79</v>
      </c>
      <c r="O246" s="28" t="s">
        <v>80</v>
      </c>
      <c r="P246" s="20"/>
      <c r="Q246" s="20"/>
      <c r="R246" s="5"/>
      <c r="S246" s="13"/>
      <c r="T246" s="21">
        <v>29</v>
      </c>
      <c r="U246" s="21">
        <v>29</v>
      </c>
      <c r="V246" s="21">
        <v>42</v>
      </c>
      <c r="W246" s="6"/>
      <c r="X246" s="3"/>
      <c r="Y246" s="13" t="s">
        <v>82</v>
      </c>
      <c r="Z246" s="3">
        <v>6</v>
      </c>
      <c r="AA246" s="3">
        <v>6</v>
      </c>
      <c r="AB246" s="9">
        <v>-0.206922068082865</v>
      </c>
      <c r="AC246" s="9">
        <v>0.00177323038779281</v>
      </c>
      <c r="AD246" s="25"/>
      <c r="AE246" s="25"/>
      <c r="AF246" s="9"/>
      <c r="AG246" s="9"/>
      <c r="AH246" s="25"/>
      <c r="AI246" s="25"/>
      <c r="AJ246" s="4"/>
      <c r="AK246" s="4"/>
      <c r="AL246" s="3"/>
      <c r="AM246" s="3"/>
      <c r="AN246" s="4"/>
      <c r="AO246" s="4"/>
      <c r="AP246" s="3"/>
      <c r="AQ246" s="3"/>
      <c r="AR246" s="4"/>
      <c r="AS246" s="4"/>
      <c r="AT246" s="3"/>
      <c r="AU246" s="3"/>
      <c r="AV246" s="4"/>
      <c r="AW246" s="4"/>
      <c r="AX246" s="3"/>
      <c r="AY246" s="3"/>
      <c r="BP246" s="3">
        <v>-0.567378338725606</v>
      </c>
      <c r="BQ246" s="3">
        <v>0.0234735415851274</v>
      </c>
      <c r="BR246" s="3">
        <v>0.595686908578709</v>
      </c>
      <c r="BS246" s="3">
        <v>0.00565506518974718</v>
      </c>
    </row>
    <row r="247" s="3" customFormat="1" spans="1:71">
      <c r="A247" s="4">
        <v>246</v>
      </c>
      <c r="B247" s="6">
        <v>44</v>
      </c>
      <c r="C247" s="37" t="s">
        <v>179</v>
      </c>
      <c r="D247" s="13" t="s">
        <v>240</v>
      </c>
      <c r="E247" s="3">
        <v>-14.1543</v>
      </c>
      <c r="F247" s="3">
        <v>-47.6261</v>
      </c>
      <c r="G247" s="20">
        <v>21.0708332061768</v>
      </c>
      <c r="H247" s="21">
        <v>1658</v>
      </c>
      <c r="I247" s="3"/>
      <c r="J247" s="13" t="s">
        <v>237</v>
      </c>
      <c r="K247" s="5" t="s">
        <v>78</v>
      </c>
      <c r="L247" s="3">
        <v>2018</v>
      </c>
      <c r="M247" s="3">
        <v>11</v>
      </c>
      <c r="N247" s="13" t="s">
        <v>113</v>
      </c>
      <c r="O247" s="28" t="s">
        <v>80</v>
      </c>
      <c r="P247" s="20"/>
      <c r="Q247" s="20"/>
      <c r="R247" s="5"/>
      <c r="S247" s="13"/>
      <c r="T247" s="21">
        <v>29</v>
      </c>
      <c r="U247" s="21">
        <v>29</v>
      </c>
      <c r="V247" s="21">
        <v>42</v>
      </c>
      <c r="W247" s="6"/>
      <c r="X247" s="3"/>
      <c r="Y247" s="13" t="s">
        <v>82</v>
      </c>
      <c r="Z247" s="3">
        <v>6</v>
      </c>
      <c r="AA247" s="3">
        <v>6</v>
      </c>
      <c r="AB247" s="9">
        <v>0.0109284002421106</v>
      </c>
      <c r="AC247" s="9">
        <v>0.00225295540745442</v>
      </c>
      <c r="AD247" s="25"/>
      <c r="AE247" s="25"/>
      <c r="AF247" s="9"/>
      <c r="AG247" s="9"/>
      <c r="AH247" s="25"/>
      <c r="AI247" s="25"/>
      <c r="AJ247" s="4"/>
      <c r="AK247" s="4"/>
      <c r="AL247" s="3"/>
      <c r="AM247" s="3"/>
      <c r="AN247" s="4"/>
      <c r="AO247" s="4"/>
      <c r="AP247" s="3"/>
      <c r="AQ247" s="3"/>
      <c r="AR247" s="4"/>
      <c r="AS247" s="4"/>
      <c r="AT247" s="3"/>
      <c r="AU247" s="3"/>
      <c r="AV247" s="4"/>
      <c r="AW247" s="4"/>
      <c r="AX247" s="3">
        <v>-0.422617806349954</v>
      </c>
      <c r="AY247" s="3">
        <v>0.0326588019579851</v>
      </c>
      <c r="BP247" s="3">
        <v>-0.0629136141737642</v>
      </c>
      <c r="BQ247" s="3">
        <v>0.0103276111490971</v>
      </c>
      <c r="BR247" s="3">
        <v>0.00257564844593009</v>
      </c>
      <c r="BS247" s="3">
        <v>0.018239777188214</v>
      </c>
    </row>
    <row r="248" s="3" customFormat="1" spans="1:71">
      <c r="A248" s="4">
        <v>247</v>
      </c>
      <c r="B248" s="6">
        <v>44</v>
      </c>
      <c r="C248" s="37" t="s">
        <v>179</v>
      </c>
      <c r="D248" s="13" t="s">
        <v>236</v>
      </c>
      <c r="E248" s="3">
        <v>-14.1468</v>
      </c>
      <c r="F248" s="3">
        <v>-47.6272</v>
      </c>
      <c r="G248" s="20">
        <v>20.9249992370605</v>
      </c>
      <c r="H248" s="21">
        <v>1659</v>
      </c>
      <c r="I248" s="3"/>
      <c r="J248" s="13" t="s">
        <v>237</v>
      </c>
      <c r="K248" s="5" t="s">
        <v>78</v>
      </c>
      <c r="L248" s="3">
        <v>2017</v>
      </c>
      <c r="M248" s="3">
        <v>11</v>
      </c>
      <c r="N248" s="13" t="s">
        <v>113</v>
      </c>
      <c r="O248" s="28" t="s">
        <v>80</v>
      </c>
      <c r="P248" s="20"/>
      <c r="Q248" s="20"/>
      <c r="R248" s="5"/>
      <c r="S248" s="13"/>
      <c r="T248" s="21">
        <v>29</v>
      </c>
      <c r="U248" s="21">
        <v>29</v>
      </c>
      <c r="V248" s="21">
        <v>42</v>
      </c>
      <c r="W248" s="3"/>
      <c r="X248" s="3"/>
      <c r="Y248" s="13" t="s">
        <v>82</v>
      </c>
      <c r="Z248" s="3">
        <v>6</v>
      </c>
      <c r="AA248" s="3">
        <v>6</v>
      </c>
      <c r="AB248" s="9">
        <v>0.149941515496495</v>
      </c>
      <c r="AC248" s="9">
        <v>0.016425449388531</v>
      </c>
      <c r="AD248" s="25"/>
      <c r="AE248" s="25"/>
      <c r="AF248" s="9"/>
      <c r="AG248" s="9"/>
      <c r="AH248" s="25"/>
      <c r="AI248" s="25"/>
      <c r="AJ248" s="4"/>
      <c r="AK248" s="4"/>
      <c r="AL248" s="3"/>
      <c r="AM248" s="3"/>
      <c r="AN248" s="4"/>
      <c r="AO248" s="4"/>
      <c r="AP248" s="3"/>
      <c r="AQ248" s="3"/>
      <c r="AR248" s="4"/>
      <c r="AS248" s="4"/>
      <c r="AT248" s="3"/>
      <c r="AU248" s="3"/>
      <c r="AV248" s="4"/>
      <c r="AW248" s="4"/>
      <c r="AX248" s="3">
        <v>0.124960635583422</v>
      </c>
      <c r="AY248" s="3">
        <v>0.00905736055930872</v>
      </c>
      <c r="BP248" s="3">
        <v>-0.0560898949724243</v>
      </c>
      <c r="BQ248" s="3">
        <v>0.0589171057949544</v>
      </c>
      <c r="BR248" s="3">
        <v>0.127841250302539</v>
      </c>
      <c r="BS248" s="3">
        <v>0.0147973574283567</v>
      </c>
    </row>
    <row r="249" s="3" customFormat="1" spans="1:71">
      <c r="A249" s="4">
        <v>248</v>
      </c>
      <c r="B249" s="6">
        <v>44</v>
      </c>
      <c r="C249" s="37" t="s">
        <v>179</v>
      </c>
      <c r="D249" s="13" t="s">
        <v>238</v>
      </c>
      <c r="E249" s="3">
        <v>-14.1468</v>
      </c>
      <c r="F249" s="3">
        <v>-47.6272</v>
      </c>
      <c r="G249" s="20">
        <v>20.9249992370605</v>
      </c>
      <c r="H249" s="21">
        <v>1659</v>
      </c>
      <c r="I249" s="3"/>
      <c r="J249" s="13" t="s">
        <v>237</v>
      </c>
      <c r="K249" s="5" t="s">
        <v>78</v>
      </c>
      <c r="L249" s="3">
        <v>2018</v>
      </c>
      <c r="M249" s="3">
        <v>3</v>
      </c>
      <c r="N249" s="13" t="s">
        <v>96</v>
      </c>
      <c r="O249" s="28" t="s">
        <v>80</v>
      </c>
      <c r="P249" s="20"/>
      <c r="Q249" s="20"/>
      <c r="R249" s="5"/>
      <c r="S249" s="13"/>
      <c r="T249" s="21">
        <v>29</v>
      </c>
      <c r="U249" s="21">
        <v>29</v>
      </c>
      <c r="V249" s="21">
        <v>42</v>
      </c>
      <c r="W249" s="3"/>
      <c r="X249" s="3"/>
      <c r="Y249" s="13" t="s">
        <v>82</v>
      </c>
      <c r="Z249" s="3">
        <v>6</v>
      </c>
      <c r="AA249" s="3">
        <v>6</v>
      </c>
      <c r="AB249" s="9">
        <v>0.097637888168398</v>
      </c>
      <c r="AC249" s="9">
        <v>0.00143248575876324</v>
      </c>
      <c r="AD249" s="25"/>
      <c r="AE249" s="25"/>
      <c r="AF249" s="9"/>
      <c r="AG249" s="9"/>
      <c r="AH249" s="25"/>
      <c r="AI249" s="25"/>
      <c r="AJ249" s="4"/>
      <c r="AK249" s="4"/>
      <c r="AL249" s="3"/>
      <c r="AM249" s="3"/>
      <c r="AN249" s="4"/>
      <c r="AO249" s="4"/>
      <c r="AP249" s="3"/>
      <c r="AQ249" s="3"/>
      <c r="AR249" s="4"/>
      <c r="AS249" s="4"/>
      <c r="AT249" s="3"/>
      <c r="AU249" s="3"/>
      <c r="AV249" s="4"/>
      <c r="AW249" s="4"/>
      <c r="AX249" s="3">
        <v>0.228901920071246</v>
      </c>
      <c r="AY249" s="3">
        <v>0.00463985254058409</v>
      </c>
      <c r="BP249" s="3">
        <v>-0.116410900277716</v>
      </c>
      <c r="BQ249" s="3">
        <v>0.00220259620339322</v>
      </c>
      <c r="BR249" s="3">
        <v>0.0800417817480392</v>
      </c>
      <c r="BS249" s="3">
        <v>0.00595448013508279</v>
      </c>
    </row>
    <row r="250" s="3" customFormat="1" spans="1:71">
      <c r="A250" s="4">
        <v>249</v>
      </c>
      <c r="B250" s="6">
        <v>44</v>
      </c>
      <c r="C250" s="37" t="s">
        <v>179</v>
      </c>
      <c r="D250" s="13" t="s">
        <v>239</v>
      </c>
      <c r="E250" s="3">
        <v>-14.1468</v>
      </c>
      <c r="F250" s="3">
        <v>-47.6272</v>
      </c>
      <c r="G250" s="20">
        <v>20.9249992370605</v>
      </c>
      <c r="H250" s="21">
        <v>1659</v>
      </c>
      <c r="I250" s="3"/>
      <c r="J250" s="13" t="s">
        <v>237</v>
      </c>
      <c r="K250" s="5" t="s">
        <v>78</v>
      </c>
      <c r="L250" s="3">
        <v>2018</v>
      </c>
      <c r="M250" s="3">
        <v>6</v>
      </c>
      <c r="N250" s="13" t="s">
        <v>79</v>
      </c>
      <c r="O250" s="28" t="s">
        <v>80</v>
      </c>
      <c r="P250" s="20"/>
      <c r="Q250" s="20"/>
      <c r="R250" s="5"/>
      <c r="S250" s="13"/>
      <c r="T250" s="21">
        <v>29</v>
      </c>
      <c r="U250" s="21">
        <v>29</v>
      </c>
      <c r="V250" s="21">
        <v>42</v>
      </c>
      <c r="W250" s="3"/>
      <c r="X250" s="3"/>
      <c r="Y250" s="13" t="s">
        <v>82</v>
      </c>
      <c r="Z250" s="3">
        <v>6</v>
      </c>
      <c r="AA250" s="3">
        <v>6</v>
      </c>
      <c r="AB250" s="9">
        <v>0.150823971129977</v>
      </c>
      <c r="AC250" s="9">
        <v>0.00191338942611774</v>
      </c>
      <c r="AD250" s="25"/>
      <c r="AE250" s="25"/>
      <c r="AF250" s="9"/>
      <c r="AG250" s="9"/>
      <c r="AH250" s="25"/>
      <c r="AI250" s="25"/>
      <c r="AJ250" s="4"/>
      <c r="AK250" s="4"/>
      <c r="AL250" s="3"/>
      <c r="AM250" s="3"/>
      <c r="AN250" s="4"/>
      <c r="AO250" s="4"/>
      <c r="AP250" s="3"/>
      <c r="AQ250" s="3"/>
      <c r="AR250" s="4"/>
      <c r="AS250" s="4"/>
      <c r="AT250" s="3"/>
      <c r="AU250" s="3"/>
      <c r="AV250" s="4"/>
      <c r="AW250" s="4"/>
      <c r="AX250" s="3"/>
      <c r="AY250" s="3"/>
      <c r="BP250" s="3">
        <v>0.0215068284866031</v>
      </c>
      <c r="BQ250" s="3">
        <v>0.00314651344346567</v>
      </c>
      <c r="BR250" s="3">
        <v>0.417739506635946</v>
      </c>
      <c r="BS250" s="3">
        <v>0.0120951471123668</v>
      </c>
    </row>
    <row r="251" s="3" customFormat="1" spans="1:71">
      <c r="A251" s="4">
        <v>250</v>
      </c>
      <c r="B251" s="6">
        <v>44</v>
      </c>
      <c r="C251" s="37" t="s">
        <v>179</v>
      </c>
      <c r="D251" s="13" t="s">
        <v>240</v>
      </c>
      <c r="E251" s="3">
        <v>-14.1468</v>
      </c>
      <c r="F251" s="3">
        <v>-47.6272</v>
      </c>
      <c r="G251" s="20">
        <v>20.9249992370605</v>
      </c>
      <c r="H251" s="21">
        <v>1659</v>
      </c>
      <c r="I251" s="3"/>
      <c r="J251" s="13" t="s">
        <v>237</v>
      </c>
      <c r="K251" s="5" t="s">
        <v>78</v>
      </c>
      <c r="L251" s="3">
        <v>2018</v>
      </c>
      <c r="M251" s="3">
        <v>11</v>
      </c>
      <c r="N251" s="13" t="s">
        <v>113</v>
      </c>
      <c r="O251" s="28" t="s">
        <v>80</v>
      </c>
      <c r="P251" s="20"/>
      <c r="Q251" s="20"/>
      <c r="R251" s="5"/>
      <c r="S251" s="13"/>
      <c r="T251" s="21">
        <v>29</v>
      </c>
      <c r="U251" s="21">
        <v>29</v>
      </c>
      <c r="V251" s="21">
        <v>42</v>
      </c>
      <c r="W251" s="3"/>
      <c r="X251" s="3"/>
      <c r="Y251" s="13" t="s">
        <v>82</v>
      </c>
      <c r="Z251" s="3">
        <v>6</v>
      </c>
      <c r="AA251" s="3">
        <v>6</v>
      </c>
      <c r="AB251" s="9">
        <v>0.0227276892796455</v>
      </c>
      <c r="AC251" s="9">
        <v>0.00183645881554461</v>
      </c>
      <c r="AD251" s="25"/>
      <c r="AE251" s="25"/>
      <c r="AF251" s="9"/>
      <c r="AG251" s="9"/>
      <c r="AH251" s="25"/>
      <c r="AI251" s="25"/>
      <c r="AJ251" s="4"/>
      <c r="AK251" s="4"/>
      <c r="AL251" s="3"/>
      <c r="AM251" s="3"/>
      <c r="AN251" s="4"/>
      <c r="AO251" s="4"/>
      <c r="AP251" s="3"/>
      <c r="AQ251" s="3"/>
      <c r="AR251" s="4"/>
      <c r="AS251" s="4"/>
      <c r="AT251" s="3"/>
      <c r="AU251" s="3"/>
      <c r="AV251" s="4"/>
      <c r="AW251" s="4"/>
      <c r="AX251" s="3"/>
      <c r="AY251" s="3"/>
      <c r="BP251" s="3">
        <v>0.0377391064727166</v>
      </c>
      <c r="BQ251" s="3">
        <v>0.025694166077259</v>
      </c>
      <c r="BR251" s="3">
        <v>-0.0870138391190024</v>
      </c>
      <c r="BS251" s="3">
        <v>0.00666743755060298</v>
      </c>
    </row>
    <row r="252" s="3" customFormat="1" spans="1:71">
      <c r="A252" s="4">
        <v>251</v>
      </c>
      <c r="B252" s="6">
        <v>44</v>
      </c>
      <c r="C252" s="37" t="s">
        <v>179</v>
      </c>
      <c r="D252" s="13" t="s">
        <v>236</v>
      </c>
      <c r="E252" s="3">
        <v>-14.1567</v>
      </c>
      <c r="F252" s="3">
        <v>-47.6268</v>
      </c>
      <c r="G252" s="20">
        <v>21.0708332061768</v>
      </c>
      <c r="H252" s="21">
        <v>1658</v>
      </c>
      <c r="I252" s="3"/>
      <c r="J252" s="13" t="s">
        <v>237</v>
      </c>
      <c r="K252" s="5" t="s">
        <v>78</v>
      </c>
      <c r="L252" s="3">
        <v>2017</v>
      </c>
      <c r="M252" s="3">
        <v>11</v>
      </c>
      <c r="N252" s="13" t="s">
        <v>113</v>
      </c>
      <c r="O252" s="28" t="s">
        <v>80</v>
      </c>
      <c r="P252" s="20"/>
      <c r="Q252" s="20"/>
      <c r="R252" s="5"/>
      <c r="S252" s="13"/>
      <c r="T252" s="21">
        <v>29</v>
      </c>
      <c r="U252" s="21">
        <v>29</v>
      </c>
      <c r="V252" s="21">
        <v>42</v>
      </c>
      <c r="W252" s="3"/>
      <c r="X252" s="3"/>
      <c r="Y252" s="13" t="s">
        <v>82</v>
      </c>
      <c r="Z252" s="3">
        <v>6</v>
      </c>
      <c r="AA252" s="3">
        <v>6</v>
      </c>
      <c r="AB252" s="9">
        <v>-0.124298478073203</v>
      </c>
      <c r="AC252" s="9">
        <v>0.00641071160012448</v>
      </c>
      <c r="AD252" s="25"/>
      <c r="AE252" s="25"/>
      <c r="AF252" s="9"/>
      <c r="AG252" s="9"/>
      <c r="AH252" s="25"/>
      <c r="AI252" s="25"/>
      <c r="AJ252" s="4"/>
      <c r="AK252" s="4"/>
      <c r="AL252" s="3"/>
      <c r="AM252" s="3"/>
      <c r="AN252" s="4"/>
      <c r="AO252" s="4"/>
      <c r="AP252" s="3"/>
      <c r="AQ252" s="3"/>
      <c r="AR252" s="4"/>
      <c r="AS252" s="4"/>
      <c r="AT252" s="3"/>
      <c r="AU252" s="3"/>
      <c r="AV252" s="4"/>
      <c r="AW252" s="4"/>
      <c r="AX252" s="3"/>
      <c r="AY252" s="3"/>
      <c r="BP252" s="3">
        <v>-0.310155667696968</v>
      </c>
      <c r="BQ252" s="3">
        <v>0.0948199727008519</v>
      </c>
      <c r="BR252" s="3">
        <v>-0.405465108108164</v>
      </c>
      <c r="BS252" s="3">
        <v>0.0432421073933688</v>
      </c>
    </row>
    <row r="253" s="3" customFormat="1" spans="1:71">
      <c r="A253" s="4">
        <v>252</v>
      </c>
      <c r="B253" s="6">
        <v>44</v>
      </c>
      <c r="C253" s="37" t="s">
        <v>179</v>
      </c>
      <c r="D253" s="13" t="s">
        <v>238</v>
      </c>
      <c r="E253" s="3">
        <v>-14.1567</v>
      </c>
      <c r="F253" s="3">
        <v>-47.6268</v>
      </c>
      <c r="G253" s="20">
        <v>21.0708332061768</v>
      </c>
      <c r="H253" s="21">
        <v>1658</v>
      </c>
      <c r="I253" s="3"/>
      <c r="J253" s="13" t="s">
        <v>237</v>
      </c>
      <c r="K253" s="5" t="s">
        <v>78</v>
      </c>
      <c r="L253" s="3">
        <v>2018</v>
      </c>
      <c r="M253" s="3">
        <v>3</v>
      </c>
      <c r="N253" s="13" t="s">
        <v>96</v>
      </c>
      <c r="O253" s="28" t="s">
        <v>80</v>
      </c>
      <c r="P253" s="20"/>
      <c r="Q253" s="20"/>
      <c r="R253" s="5"/>
      <c r="S253" s="13"/>
      <c r="T253" s="21">
        <v>29</v>
      </c>
      <c r="U253" s="21">
        <v>29</v>
      </c>
      <c r="V253" s="21">
        <v>42</v>
      </c>
      <c r="W253" s="3"/>
      <c r="X253" s="3"/>
      <c r="Y253" s="13" t="s">
        <v>82</v>
      </c>
      <c r="Z253" s="3">
        <v>6</v>
      </c>
      <c r="AA253" s="3">
        <v>6</v>
      </c>
      <c r="AB253" s="9">
        <v>0.129211998518312</v>
      </c>
      <c r="AC253" s="9">
        <v>0.00010509214410965</v>
      </c>
      <c r="AD253" s="25"/>
      <c r="AE253" s="25"/>
      <c r="AF253" s="9"/>
      <c r="AG253" s="9"/>
      <c r="AH253" s="25"/>
      <c r="AI253" s="25"/>
      <c r="AJ253" s="4"/>
      <c r="AK253" s="4"/>
      <c r="AL253" s="3"/>
      <c r="AM253" s="3"/>
      <c r="AN253" s="4"/>
      <c r="AO253" s="4"/>
      <c r="AP253" s="3"/>
      <c r="AQ253" s="3"/>
      <c r="AR253" s="4"/>
      <c r="AS253" s="4"/>
      <c r="AT253" s="3"/>
      <c r="AU253" s="3"/>
      <c r="AV253" s="4"/>
      <c r="AW253" s="4"/>
      <c r="AX253" s="3"/>
      <c r="AY253" s="3"/>
      <c r="BP253" s="3">
        <v>-0.185718918192136</v>
      </c>
      <c r="BQ253" s="3">
        <v>0.0302019683301978</v>
      </c>
      <c r="BR253" s="3">
        <v>0.168821757310759</v>
      </c>
      <c r="BS253" s="3">
        <v>0.00602984685651075</v>
      </c>
    </row>
    <row r="254" s="3" customFormat="1" spans="1:71">
      <c r="A254" s="4">
        <v>253</v>
      </c>
      <c r="B254" s="6">
        <v>44</v>
      </c>
      <c r="C254" s="37" t="s">
        <v>179</v>
      </c>
      <c r="D254" s="13" t="s">
        <v>239</v>
      </c>
      <c r="E254" s="3">
        <v>-14.1567</v>
      </c>
      <c r="F254" s="3">
        <v>-47.6268</v>
      </c>
      <c r="G254" s="20">
        <v>21.0708332061768</v>
      </c>
      <c r="H254" s="21">
        <v>1658</v>
      </c>
      <c r="I254" s="3"/>
      <c r="J254" s="13" t="s">
        <v>237</v>
      </c>
      <c r="K254" s="5" t="s">
        <v>78</v>
      </c>
      <c r="L254" s="3">
        <v>2018</v>
      </c>
      <c r="M254" s="3">
        <v>6</v>
      </c>
      <c r="N254" s="13" t="s">
        <v>79</v>
      </c>
      <c r="O254" s="28" t="s">
        <v>80</v>
      </c>
      <c r="P254" s="20"/>
      <c r="Q254" s="20"/>
      <c r="R254" s="5"/>
      <c r="S254" s="13"/>
      <c r="T254" s="21">
        <v>29</v>
      </c>
      <c r="U254" s="21">
        <v>29</v>
      </c>
      <c r="V254" s="21">
        <v>42</v>
      </c>
      <c r="W254" s="3"/>
      <c r="X254" s="3"/>
      <c r="Y254" s="13" t="s">
        <v>82</v>
      </c>
      <c r="Z254" s="3">
        <v>6</v>
      </c>
      <c r="AA254" s="3">
        <v>6</v>
      </c>
      <c r="AB254" s="9">
        <v>0.0287097969124269</v>
      </c>
      <c r="AC254" s="9">
        <v>0.0015394532064233</v>
      </c>
      <c r="AD254" s="25"/>
      <c r="AE254" s="25"/>
      <c r="AF254" s="9"/>
      <c r="AG254" s="9"/>
      <c r="AH254" s="25"/>
      <c r="AI254" s="25"/>
      <c r="AJ254" s="4"/>
      <c r="AK254" s="4"/>
      <c r="AL254" s="3"/>
      <c r="AM254" s="3"/>
      <c r="AN254" s="4"/>
      <c r="AO254" s="4"/>
      <c r="AP254" s="3"/>
      <c r="AQ254" s="3"/>
      <c r="AR254" s="4"/>
      <c r="AS254" s="4"/>
      <c r="AT254" s="3"/>
      <c r="AU254" s="3"/>
      <c r="AV254" s="4"/>
      <c r="AW254" s="4"/>
      <c r="AX254" s="3"/>
      <c r="AY254" s="3"/>
      <c r="BP254" s="3">
        <v>0.176624499532301</v>
      </c>
      <c r="BQ254" s="3">
        <v>0.00647719199674349</v>
      </c>
      <c r="BR254" s="3">
        <v>0.624156697962745</v>
      </c>
      <c r="BS254" s="3">
        <v>0.0237851558596114</v>
      </c>
    </row>
    <row r="255" s="3" customFormat="1" spans="1:71">
      <c r="A255" s="4">
        <v>254</v>
      </c>
      <c r="B255" s="6">
        <v>44</v>
      </c>
      <c r="C255" s="37" t="s">
        <v>179</v>
      </c>
      <c r="D255" s="13" t="s">
        <v>240</v>
      </c>
      <c r="E255" s="3">
        <v>-14.1567</v>
      </c>
      <c r="F255" s="3">
        <v>-47.6268</v>
      </c>
      <c r="G255" s="20">
        <v>21.0708332061768</v>
      </c>
      <c r="H255" s="21">
        <v>1658</v>
      </c>
      <c r="I255" s="3"/>
      <c r="J255" s="13" t="s">
        <v>237</v>
      </c>
      <c r="K255" s="5" t="s">
        <v>78</v>
      </c>
      <c r="L255" s="3">
        <v>2018</v>
      </c>
      <c r="M255" s="3">
        <v>11</v>
      </c>
      <c r="N255" s="13" t="s">
        <v>113</v>
      </c>
      <c r="O255" s="28" t="s">
        <v>80</v>
      </c>
      <c r="P255" s="20"/>
      <c r="Q255" s="20"/>
      <c r="R255" s="5"/>
      <c r="S255" s="13"/>
      <c r="T255" s="21">
        <v>29</v>
      </c>
      <c r="U255" s="21">
        <v>29</v>
      </c>
      <c r="V255" s="21">
        <v>42</v>
      </c>
      <c r="W255" s="3"/>
      <c r="X255" s="3"/>
      <c r="Y255" s="13" t="s">
        <v>82</v>
      </c>
      <c r="Z255" s="3">
        <v>6</v>
      </c>
      <c r="AA255" s="3">
        <v>6</v>
      </c>
      <c r="AB255" s="9">
        <v>0.0208349188796372</v>
      </c>
      <c r="AC255" s="9">
        <v>0.00361808854452464</v>
      </c>
      <c r="AD255" s="25"/>
      <c r="AE255" s="25"/>
      <c r="AF255" s="9"/>
      <c r="AG255" s="9"/>
      <c r="AH255" s="25"/>
      <c r="AI255" s="25"/>
      <c r="AJ255" s="4"/>
      <c r="AK255" s="4"/>
      <c r="AL255" s="3"/>
      <c r="AM255" s="3"/>
      <c r="AN255" s="4"/>
      <c r="AO255" s="4"/>
      <c r="AP255" s="3"/>
      <c r="AQ255" s="3"/>
      <c r="AR255" s="4"/>
      <c r="AS255" s="4"/>
      <c r="AT255" s="3"/>
      <c r="AU255" s="3"/>
      <c r="AV255" s="4"/>
      <c r="AW255" s="4"/>
      <c r="AX255" s="3"/>
      <c r="AY255" s="3"/>
      <c r="BP255" s="3">
        <v>0.156346144479744</v>
      </c>
      <c r="BQ255" s="3">
        <v>0.0235897061296904</v>
      </c>
      <c r="BR255" s="3">
        <v>-0.0896123506542245</v>
      </c>
      <c r="BS255" s="3">
        <v>0.0311769798331525</v>
      </c>
    </row>
    <row r="256" s="3" customFormat="1" spans="1:71">
      <c r="A256" s="4">
        <v>255</v>
      </c>
      <c r="B256" s="6">
        <v>44</v>
      </c>
      <c r="C256" s="37" t="s">
        <v>179</v>
      </c>
      <c r="D256" s="13" t="s">
        <v>236</v>
      </c>
      <c r="E256" s="3">
        <v>-14.0664</v>
      </c>
      <c r="F256" s="3">
        <v>-47.6381</v>
      </c>
      <c r="G256" s="20">
        <v>21.0125007629395</v>
      </c>
      <c r="H256" s="21">
        <v>1672</v>
      </c>
      <c r="I256" s="3"/>
      <c r="J256" s="13" t="s">
        <v>237</v>
      </c>
      <c r="K256" s="5" t="s">
        <v>78</v>
      </c>
      <c r="L256" s="3">
        <v>2017</v>
      </c>
      <c r="M256" s="3">
        <v>11</v>
      </c>
      <c r="N256" s="13" t="s">
        <v>113</v>
      </c>
      <c r="O256" s="28" t="s">
        <v>80</v>
      </c>
      <c r="P256" s="20"/>
      <c r="Q256" s="20"/>
      <c r="R256" s="5"/>
      <c r="S256" s="13"/>
      <c r="T256" s="21">
        <v>29</v>
      </c>
      <c r="U256" s="21">
        <v>29</v>
      </c>
      <c r="V256" s="21">
        <v>42</v>
      </c>
      <c r="W256" s="3"/>
      <c r="X256" s="3"/>
      <c r="Y256" s="13" t="s">
        <v>82</v>
      </c>
      <c r="Z256" s="3">
        <v>6</v>
      </c>
      <c r="AA256" s="3">
        <v>6</v>
      </c>
      <c r="AB256" s="9">
        <v>0.0408215685940413</v>
      </c>
      <c r="AC256" s="9">
        <v>0.00902258426216547</v>
      </c>
      <c r="AD256" s="25"/>
      <c r="AE256" s="25"/>
      <c r="AF256" s="9"/>
      <c r="AG256" s="9"/>
      <c r="AH256" s="25"/>
      <c r="AI256" s="25"/>
      <c r="AJ256" s="4"/>
      <c r="AK256" s="4"/>
      <c r="AL256" s="3"/>
      <c r="AM256" s="3"/>
      <c r="AN256" s="4"/>
      <c r="AO256" s="4"/>
      <c r="AP256" s="3"/>
      <c r="AQ256" s="3"/>
      <c r="AR256" s="4"/>
      <c r="AS256" s="4"/>
      <c r="AT256" s="3"/>
      <c r="AU256" s="3"/>
      <c r="AV256" s="4"/>
      <c r="AW256" s="4"/>
      <c r="AX256" s="3"/>
      <c r="AY256" s="3"/>
      <c r="BP256" s="3">
        <v>-0.267062708080736</v>
      </c>
      <c r="BQ256" s="3">
        <v>0.0259673800538267</v>
      </c>
      <c r="BR256" s="3">
        <v>0.0915974025525355</v>
      </c>
      <c r="BS256" s="3">
        <v>0.0946177228281264</v>
      </c>
    </row>
    <row r="257" s="3" customFormat="1" spans="1:71">
      <c r="A257" s="4">
        <v>256</v>
      </c>
      <c r="B257" s="6">
        <v>44</v>
      </c>
      <c r="C257" s="37" t="s">
        <v>179</v>
      </c>
      <c r="D257" s="13" t="s">
        <v>238</v>
      </c>
      <c r="E257" s="3">
        <v>-14.0664</v>
      </c>
      <c r="F257" s="3">
        <v>-47.6381</v>
      </c>
      <c r="G257" s="20">
        <v>21.0125007629395</v>
      </c>
      <c r="H257" s="21">
        <v>1672</v>
      </c>
      <c r="I257" s="3"/>
      <c r="J257" s="13" t="s">
        <v>237</v>
      </c>
      <c r="K257" s="5" t="s">
        <v>78</v>
      </c>
      <c r="L257" s="3">
        <v>2018</v>
      </c>
      <c r="M257" s="3">
        <v>3</v>
      </c>
      <c r="N257" s="13" t="s">
        <v>96</v>
      </c>
      <c r="O257" s="28" t="s">
        <v>80</v>
      </c>
      <c r="P257" s="20"/>
      <c r="Q257" s="20"/>
      <c r="R257" s="5"/>
      <c r="S257" s="13"/>
      <c r="T257" s="21">
        <v>29</v>
      </c>
      <c r="U257" s="21">
        <v>29</v>
      </c>
      <c r="V257" s="21">
        <v>42</v>
      </c>
      <c r="W257" s="3"/>
      <c r="X257" s="3"/>
      <c r="Y257" s="13" t="s">
        <v>82</v>
      </c>
      <c r="Z257" s="3">
        <v>6</v>
      </c>
      <c r="AA257" s="3">
        <v>6</v>
      </c>
      <c r="AB257" s="9">
        <v>-0.0335223282356859</v>
      </c>
      <c r="AC257" s="9">
        <v>0.00100771041064952</v>
      </c>
      <c r="AD257" s="25"/>
      <c r="AE257" s="25"/>
      <c r="AF257" s="9"/>
      <c r="AG257" s="9"/>
      <c r="AH257" s="25"/>
      <c r="AI257" s="25"/>
      <c r="AJ257" s="4"/>
      <c r="AK257" s="4"/>
      <c r="AL257" s="3"/>
      <c r="AM257" s="3"/>
      <c r="AN257" s="4"/>
      <c r="AO257" s="4"/>
      <c r="AP257" s="3"/>
      <c r="AQ257" s="3"/>
      <c r="AR257" s="4"/>
      <c r="AS257" s="4"/>
      <c r="AT257" s="3"/>
      <c r="AU257" s="3"/>
      <c r="AV257" s="4"/>
      <c r="AW257" s="4"/>
      <c r="AX257" s="3"/>
      <c r="AY257" s="3"/>
      <c r="BP257" s="3">
        <v>0.0697961059183622</v>
      </c>
      <c r="BQ257" s="3">
        <v>0.00137487680915889</v>
      </c>
      <c r="BR257" s="3">
        <v>1.21569825657473</v>
      </c>
      <c r="BS257" s="3">
        <v>0.00538842077082991</v>
      </c>
    </row>
    <row r="258" s="3" customFormat="1" spans="1:71">
      <c r="A258" s="4">
        <v>257</v>
      </c>
      <c r="B258" s="6">
        <v>44</v>
      </c>
      <c r="C258" s="37" t="s">
        <v>179</v>
      </c>
      <c r="D258" s="13" t="s">
        <v>239</v>
      </c>
      <c r="E258" s="3">
        <v>-14.0664</v>
      </c>
      <c r="F258" s="3">
        <v>-47.6381</v>
      </c>
      <c r="G258" s="20">
        <v>21.0125007629395</v>
      </c>
      <c r="H258" s="21">
        <v>1672</v>
      </c>
      <c r="I258" s="3"/>
      <c r="J258" s="13" t="s">
        <v>237</v>
      </c>
      <c r="K258" s="5" t="s">
        <v>78</v>
      </c>
      <c r="L258" s="3">
        <v>2018</v>
      </c>
      <c r="M258" s="3">
        <v>6</v>
      </c>
      <c r="N258" s="13" t="s">
        <v>79</v>
      </c>
      <c r="O258" s="28" t="s">
        <v>80</v>
      </c>
      <c r="P258" s="20"/>
      <c r="Q258" s="20"/>
      <c r="R258" s="5"/>
      <c r="S258" s="13"/>
      <c r="T258" s="21">
        <v>29</v>
      </c>
      <c r="U258" s="21">
        <v>29</v>
      </c>
      <c r="V258" s="21">
        <v>42</v>
      </c>
      <c r="W258" s="3"/>
      <c r="X258" s="3"/>
      <c r="Y258" s="13" t="s">
        <v>82</v>
      </c>
      <c r="Z258" s="3">
        <v>6</v>
      </c>
      <c r="AA258" s="3">
        <v>6</v>
      </c>
      <c r="AB258" s="9">
        <v>-0.139262737065443</v>
      </c>
      <c r="AC258" s="9">
        <v>0.00043869576011888</v>
      </c>
      <c r="AD258" s="25"/>
      <c r="AE258" s="25"/>
      <c r="AF258" s="9"/>
      <c r="AG258" s="9"/>
      <c r="AH258" s="25"/>
      <c r="AI258" s="25"/>
      <c r="AJ258" s="4"/>
      <c r="AK258" s="4"/>
      <c r="AL258" s="3"/>
      <c r="AM258" s="3"/>
      <c r="AN258" s="4"/>
      <c r="AO258" s="4"/>
      <c r="AP258" s="3"/>
      <c r="AQ258" s="3"/>
      <c r="AR258" s="4"/>
      <c r="AS258" s="4"/>
      <c r="AT258" s="3"/>
      <c r="AU258" s="3"/>
      <c r="AV258" s="4"/>
      <c r="AW258" s="4"/>
      <c r="AX258" s="3"/>
      <c r="AY258" s="3"/>
      <c r="BP258" s="3">
        <v>-0.132267427771432</v>
      </c>
      <c r="BQ258" s="3">
        <v>0.000542597909625742</v>
      </c>
      <c r="BR258" s="3">
        <v>1.493158581483</v>
      </c>
      <c r="BS258" s="3">
        <v>0.00706856094483336</v>
      </c>
    </row>
    <row r="259" s="3" customFormat="1" spans="1:71">
      <c r="A259" s="4">
        <v>258</v>
      </c>
      <c r="B259" s="6">
        <v>44</v>
      </c>
      <c r="C259" s="37" t="s">
        <v>179</v>
      </c>
      <c r="D259" s="13" t="s">
        <v>240</v>
      </c>
      <c r="E259" s="3">
        <v>-14.0664</v>
      </c>
      <c r="F259" s="3">
        <v>-47.6381</v>
      </c>
      <c r="G259" s="20">
        <v>21.0125007629395</v>
      </c>
      <c r="H259" s="21">
        <v>1672</v>
      </c>
      <c r="I259" s="3"/>
      <c r="J259" s="13" t="s">
        <v>237</v>
      </c>
      <c r="K259" s="5" t="s">
        <v>78</v>
      </c>
      <c r="L259" s="3">
        <v>2018</v>
      </c>
      <c r="M259" s="3">
        <v>11</v>
      </c>
      <c r="N259" s="13" t="s">
        <v>113</v>
      </c>
      <c r="O259" s="28" t="s">
        <v>80</v>
      </c>
      <c r="P259" s="20"/>
      <c r="Q259" s="20"/>
      <c r="R259" s="5"/>
      <c r="S259" s="13"/>
      <c r="T259" s="21">
        <v>29</v>
      </c>
      <c r="U259" s="21">
        <v>29</v>
      </c>
      <c r="V259" s="21">
        <v>42</v>
      </c>
      <c r="W259" s="3"/>
      <c r="X259" s="3"/>
      <c r="Y259" s="13" t="s">
        <v>82</v>
      </c>
      <c r="Z259" s="3">
        <v>6</v>
      </c>
      <c r="AA259" s="3">
        <v>6</v>
      </c>
      <c r="AB259" s="9">
        <v>0.0618763171935603</v>
      </c>
      <c r="AC259" s="9">
        <v>0.00162386297815626</v>
      </c>
      <c r="AD259" s="25"/>
      <c r="AE259" s="25"/>
      <c r="AF259" s="9"/>
      <c r="AG259" s="9"/>
      <c r="AH259" s="25"/>
      <c r="AI259" s="25"/>
      <c r="AJ259" s="4"/>
      <c r="AK259" s="4"/>
      <c r="AL259" s="3"/>
      <c r="AM259" s="3"/>
      <c r="AN259" s="4"/>
      <c r="AO259" s="4"/>
      <c r="AP259" s="3"/>
      <c r="AQ259" s="3"/>
      <c r="AR259" s="4"/>
      <c r="AS259" s="4"/>
      <c r="AT259" s="3"/>
      <c r="AU259" s="3"/>
      <c r="AV259" s="4"/>
      <c r="AW259" s="4"/>
      <c r="AX259" s="3"/>
      <c r="AY259" s="3"/>
      <c r="BP259" s="3">
        <v>-0.137621151178026</v>
      </c>
      <c r="BQ259" s="3">
        <v>0.0284485066015249</v>
      </c>
      <c r="BR259" s="3">
        <v>0.66647900990952</v>
      </c>
      <c r="BS259" s="3">
        <v>0.356935505919915</v>
      </c>
    </row>
    <row r="260" s="3" customFormat="1" spans="1:71">
      <c r="A260" s="4">
        <v>259</v>
      </c>
      <c r="B260" s="6">
        <v>44</v>
      </c>
      <c r="C260" s="37" t="s">
        <v>179</v>
      </c>
      <c r="D260" s="13" t="s">
        <v>236</v>
      </c>
      <c r="E260" s="3">
        <v>-14.0611</v>
      </c>
      <c r="F260" s="3">
        <v>-47.6381</v>
      </c>
      <c r="G260" s="20">
        <v>21.0125007629395</v>
      </c>
      <c r="H260" s="21">
        <v>1672</v>
      </c>
      <c r="I260" s="3"/>
      <c r="J260" s="13" t="s">
        <v>237</v>
      </c>
      <c r="K260" s="5" t="s">
        <v>78</v>
      </c>
      <c r="L260" s="3">
        <v>2017</v>
      </c>
      <c r="M260" s="3">
        <v>11</v>
      </c>
      <c r="N260" s="13" t="s">
        <v>113</v>
      </c>
      <c r="O260" s="28" t="s">
        <v>80</v>
      </c>
      <c r="P260" s="20"/>
      <c r="Q260" s="20"/>
      <c r="R260" s="5"/>
      <c r="S260" s="13"/>
      <c r="T260" s="21">
        <v>29</v>
      </c>
      <c r="U260" s="21">
        <v>29</v>
      </c>
      <c r="V260" s="21">
        <v>42</v>
      </c>
      <c r="W260" s="3"/>
      <c r="X260" s="3"/>
      <c r="Y260" s="13" t="s">
        <v>82</v>
      </c>
      <c r="Z260" s="3">
        <v>6</v>
      </c>
      <c r="AA260" s="3">
        <v>6</v>
      </c>
      <c r="AB260" s="9">
        <v>-0.105359392200544</v>
      </c>
      <c r="AC260" s="9">
        <v>0.00446737534842018</v>
      </c>
      <c r="AD260" s="25"/>
      <c r="AE260" s="25"/>
      <c r="AF260" s="9"/>
      <c r="AG260" s="9"/>
      <c r="AH260" s="25"/>
      <c r="AI260" s="25"/>
      <c r="AJ260" s="4"/>
      <c r="AK260" s="4"/>
      <c r="AL260" s="3"/>
      <c r="AM260" s="3"/>
      <c r="AN260" s="4"/>
      <c r="AO260" s="4"/>
      <c r="AP260" s="3"/>
      <c r="AQ260" s="3"/>
      <c r="AR260" s="4"/>
      <c r="AS260" s="4"/>
      <c r="AT260" s="3"/>
      <c r="AU260" s="3"/>
      <c r="AV260" s="4"/>
      <c r="AW260" s="4"/>
      <c r="AX260" s="3"/>
      <c r="AY260" s="3"/>
      <c r="BP260" s="3">
        <v>-0.275410822679193</v>
      </c>
      <c r="BQ260" s="3">
        <v>0.0887959072574614</v>
      </c>
      <c r="BR260" s="3">
        <v>-0.258688204681535</v>
      </c>
      <c r="BS260" s="3">
        <v>0.0345751721148974</v>
      </c>
    </row>
    <row r="261" s="3" customFormat="1" spans="1:71">
      <c r="A261" s="4">
        <v>260</v>
      </c>
      <c r="B261" s="6">
        <v>44</v>
      </c>
      <c r="C261" s="37" t="s">
        <v>179</v>
      </c>
      <c r="D261" s="13" t="s">
        <v>238</v>
      </c>
      <c r="E261" s="3">
        <v>-14.0611</v>
      </c>
      <c r="F261" s="3">
        <v>-47.6381</v>
      </c>
      <c r="G261" s="20">
        <v>21.0125007629395</v>
      </c>
      <c r="H261" s="21">
        <v>1672</v>
      </c>
      <c r="I261" s="3"/>
      <c r="J261" s="13" t="s">
        <v>237</v>
      </c>
      <c r="K261" s="5" t="s">
        <v>78</v>
      </c>
      <c r="L261" s="3">
        <v>2018</v>
      </c>
      <c r="M261" s="3">
        <v>3</v>
      </c>
      <c r="N261" s="13" t="s">
        <v>96</v>
      </c>
      <c r="O261" s="28" t="s">
        <v>80</v>
      </c>
      <c r="P261" s="20"/>
      <c r="Q261" s="20"/>
      <c r="R261" s="5"/>
      <c r="S261" s="13"/>
      <c r="T261" s="21">
        <v>29</v>
      </c>
      <c r="U261" s="21">
        <v>29</v>
      </c>
      <c r="V261" s="21">
        <v>42</v>
      </c>
      <c r="W261" s="3"/>
      <c r="X261" s="3"/>
      <c r="Y261" s="13" t="s">
        <v>82</v>
      </c>
      <c r="Z261" s="3">
        <v>6</v>
      </c>
      <c r="AA261" s="3">
        <v>6</v>
      </c>
      <c r="AB261" s="9">
        <v>-0.0106946298473042</v>
      </c>
      <c r="AC261" s="9">
        <v>0.00223989846348104</v>
      </c>
      <c r="AD261" s="25"/>
      <c r="AE261" s="25"/>
      <c r="AF261" s="9"/>
      <c r="AG261" s="9"/>
      <c r="AH261" s="25"/>
      <c r="AI261" s="25"/>
      <c r="AJ261" s="4"/>
      <c r="AK261" s="4"/>
      <c r="AL261" s="3"/>
      <c r="AM261" s="3"/>
      <c r="AN261" s="4"/>
      <c r="AO261" s="4"/>
      <c r="AP261" s="3"/>
      <c r="AQ261" s="3"/>
      <c r="AR261" s="4"/>
      <c r="AS261" s="4"/>
      <c r="AT261" s="3"/>
      <c r="AU261" s="3"/>
      <c r="AV261" s="4"/>
      <c r="AW261" s="4"/>
      <c r="AX261" s="3"/>
      <c r="AY261" s="3"/>
      <c r="BP261" s="3">
        <v>-0.0372711499685571</v>
      </c>
      <c r="BQ261" s="3">
        <v>0.00869858011408189</v>
      </c>
      <c r="BR261" s="3">
        <v>-0.0251317707595381</v>
      </c>
      <c r="BS261" s="3">
        <v>0.0149161615659152</v>
      </c>
    </row>
    <row r="262" s="3" customFormat="1" spans="1:71">
      <c r="A262" s="4">
        <v>261</v>
      </c>
      <c r="B262" s="6">
        <v>44</v>
      </c>
      <c r="C262" s="37" t="s">
        <v>179</v>
      </c>
      <c r="D262" s="13" t="s">
        <v>239</v>
      </c>
      <c r="E262" s="3">
        <v>-14.0611</v>
      </c>
      <c r="F262" s="3">
        <v>-47.6381</v>
      </c>
      <c r="G262" s="20">
        <v>21.0125007629395</v>
      </c>
      <c r="H262" s="21">
        <v>1672</v>
      </c>
      <c r="I262" s="3"/>
      <c r="J262" s="13" t="s">
        <v>237</v>
      </c>
      <c r="K262" s="5" t="s">
        <v>78</v>
      </c>
      <c r="L262" s="3">
        <v>2018</v>
      </c>
      <c r="M262" s="3">
        <v>6</v>
      </c>
      <c r="N262" s="13" t="s">
        <v>79</v>
      </c>
      <c r="O262" s="28" t="s">
        <v>80</v>
      </c>
      <c r="P262" s="20"/>
      <c r="Q262" s="20"/>
      <c r="R262" s="5"/>
      <c r="S262" s="13"/>
      <c r="T262" s="21">
        <v>29</v>
      </c>
      <c r="U262" s="21">
        <v>29</v>
      </c>
      <c r="V262" s="21">
        <v>42</v>
      </c>
      <c r="W262" s="3"/>
      <c r="X262" s="3"/>
      <c r="Y262" s="13" t="s">
        <v>82</v>
      </c>
      <c r="Z262" s="3">
        <v>6</v>
      </c>
      <c r="AA262" s="3">
        <v>6</v>
      </c>
      <c r="AB262" s="9">
        <v>0.132172887842908</v>
      </c>
      <c r="AC262" s="9">
        <v>0.00641429460051445</v>
      </c>
      <c r="AD262" s="25"/>
      <c r="AE262" s="25"/>
      <c r="AF262" s="9"/>
      <c r="AG262" s="9"/>
      <c r="AH262" s="25"/>
      <c r="AI262" s="25"/>
      <c r="AJ262" s="4"/>
      <c r="AK262" s="4"/>
      <c r="AL262" s="3"/>
      <c r="AM262" s="3"/>
      <c r="AN262" s="4"/>
      <c r="AO262" s="4"/>
      <c r="AP262" s="3"/>
      <c r="AQ262" s="3"/>
      <c r="AR262" s="4"/>
      <c r="AS262" s="4"/>
      <c r="AT262" s="3"/>
      <c r="AU262" s="3"/>
      <c r="AV262" s="4"/>
      <c r="AW262" s="4"/>
      <c r="AX262" s="3"/>
      <c r="AY262" s="3"/>
      <c r="BP262" s="3">
        <v>0.127000425279616</v>
      </c>
      <c r="BQ262" s="3">
        <v>0.00367080653322203</v>
      </c>
      <c r="BR262" s="3">
        <v>0.130557067526985</v>
      </c>
      <c r="BS262" s="3">
        <v>0.0120366602153358</v>
      </c>
    </row>
    <row r="263" s="3" customFormat="1" spans="1:71">
      <c r="A263" s="4">
        <v>262</v>
      </c>
      <c r="B263" s="6">
        <v>44</v>
      </c>
      <c r="C263" s="37" t="s">
        <v>179</v>
      </c>
      <c r="D263" s="13" t="s">
        <v>240</v>
      </c>
      <c r="E263" s="3">
        <v>-14.0611</v>
      </c>
      <c r="F263" s="3">
        <v>-47.6381</v>
      </c>
      <c r="G263" s="20">
        <v>21.0125007629395</v>
      </c>
      <c r="H263" s="21">
        <v>1672</v>
      </c>
      <c r="I263" s="3"/>
      <c r="J263" s="13" t="s">
        <v>237</v>
      </c>
      <c r="K263" s="5" t="s">
        <v>78</v>
      </c>
      <c r="L263" s="3">
        <v>2018</v>
      </c>
      <c r="M263" s="3">
        <v>11</v>
      </c>
      <c r="N263" s="13" t="s">
        <v>113</v>
      </c>
      <c r="O263" s="28" t="s">
        <v>80</v>
      </c>
      <c r="P263" s="20"/>
      <c r="Q263" s="20"/>
      <c r="R263" s="5"/>
      <c r="S263" s="13"/>
      <c r="T263" s="21">
        <v>29</v>
      </c>
      <c r="U263" s="21">
        <v>29</v>
      </c>
      <c r="V263" s="21">
        <v>42</v>
      </c>
      <c r="W263" s="3"/>
      <c r="X263" s="3"/>
      <c r="Y263" s="13" t="s">
        <v>82</v>
      </c>
      <c r="Z263" s="3">
        <v>6</v>
      </c>
      <c r="AA263" s="3">
        <v>6</v>
      </c>
      <c r="AB263" s="9">
        <v>-0.0558804394455852</v>
      </c>
      <c r="AC263" s="9">
        <v>0.00338604187193531</v>
      </c>
      <c r="AD263" s="25"/>
      <c r="AE263" s="25"/>
      <c r="AF263" s="9"/>
      <c r="AG263" s="9"/>
      <c r="AH263" s="25"/>
      <c r="AI263" s="25"/>
      <c r="AJ263" s="4"/>
      <c r="AK263" s="4"/>
      <c r="AL263" s="3"/>
      <c r="AM263" s="3"/>
      <c r="AN263" s="4"/>
      <c r="AO263" s="4"/>
      <c r="AP263" s="3"/>
      <c r="AQ263" s="3"/>
      <c r="AR263" s="4"/>
      <c r="AS263" s="4"/>
      <c r="AT263" s="3"/>
      <c r="AU263" s="3"/>
      <c r="AV263" s="4"/>
      <c r="AW263" s="4"/>
      <c r="AX263" s="3"/>
      <c r="AY263" s="3"/>
      <c r="BP263" s="3">
        <v>0.07654134673959</v>
      </c>
      <c r="BQ263" s="3">
        <v>0.0115090774411642</v>
      </c>
      <c r="BR263" s="3">
        <v>0.236294423128078</v>
      </c>
      <c r="BS263" s="3">
        <v>0.0242098118684906</v>
      </c>
    </row>
    <row r="264" s="4" customFormat="1" spans="1:73">
      <c r="A264" s="4">
        <v>263</v>
      </c>
      <c r="B264" s="18">
        <v>45</v>
      </c>
      <c r="C264" s="19" t="s">
        <v>241</v>
      </c>
      <c r="D264" s="5" t="s">
        <v>242</v>
      </c>
      <c r="E264" s="4">
        <v>-21.995</v>
      </c>
      <c r="F264" s="4">
        <v>-42.9144444444444</v>
      </c>
      <c r="G264" s="20">
        <v>25</v>
      </c>
      <c r="H264" s="21">
        <v>1451</v>
      </c>
      <c r="I264" s="4"/>
      <c r="J264" s="13" t="s">
        <v>185</v>
      </c>
      <c r="K264" s="5" t="s">
        <v>182</v>
      </c>
      <c r="L264" s="4"/>
      <c r="M264" s="4">
        <v>4</v>
      </c>
      <c r="N264" s="5" t="s">
        <v>108</v>
      </c>
      <c r="O264" s="36" t="s">
        <v>80</v>
      </c>
      <c r="P264" s="20"/>
      <c r="Q264" s="4">
        <v>23.5</v>
      </c>
      <c r="R264" s="5"/>
      <c r="S264" s="13"/>
      <c r="T264" s="34">
        <v>33</v>
      </c>
      <c r="U264" s="34">
        <v>10.5</v>
      </c>
      <c r="V264" s="34">
        <v>56.5</v>
      </c>
      <c r="W264" s="18">
        <v>7</v>
      </c>
      <c r="X264" s="5" t="s">
        <v>91</v>
      </c>
      <c r="Y264" s="5" t="s">
        <v>82</v>
      </c>
      <c r="Z264" s="4">
        <v>4</v>
      </c>
      <c r="AA264" s="4">
        <v>4</v>
      </c>
      <c r="AB264" s="9">
        <v>0.511615825308492</v>
      </c>
      <c r="AC264" s="9">
        <v>0.0102604046198821</v>
      </c>
      <c r="AD264" s="9">
        <v>0.158605030176639</v>
      </c>
      <c r="AE264" s="9">
        <v>0.00956303168402778</v>
      </c>
      <c r="AF264" s="9">
        <v>-0.353010795131853</v>
      </c>
      <c r="AG264" s="9">
        <v>0.0198234363039097</v>
      </c>
      <c r="AH264" s="9">
        <v>-0.0171678036223653</v>
      </c>
      <c r="AI264" s="9">
        <v>0.0017789515995956</v>
      </c>
      <c r="AJ264" s="4">
        <v>0.52878362893086</v>
      </c>
      <c r="AK264" s="4">
        <v>0.0120393562194777</v>
      </c>
      <c r="AL264" s="4">
        <v>0.175772833799003</v>
      </c>
      <c r="AM264" s="4">
        <v>0.0113419832836234</v>
      </c>
      <c r="AN264" s="4"/>
      <c r="AO264" s="4"/>
      <c r="AP264" s="4"/>
      <c r="AQ264" s="4"/>
      <c r="AR264" s="4"/>
      <c r="AS264" s="4"/>
      <c r="AT264" s="4"/>
      <c r="AU264" s="4"/>
      <c r="AV264" s="4"/>
      <c r="AW264" s="4"/>
      <c r="AX264" s="4"/>
      <c r="AY264" s="4"/>
      <c r="BT264" s="4">
        <v>0.42377393151098</v>
      </c>
      <c r="BU264" s="4">
        <v>0.135236485386483</v>
      </c>
    </row>
    <row r="265" s="4" customFormat="1" spans="1:73">
      <c r="A265" s="4">
        <v>264</v>
      </c>
      <c r="B265" s="18">
        <v>45</v>
      </c>
      <c r="C265" s="19" t="s">
        <v>241</v>
      </c>
      <c r="D265" s="5" t="s">
        <v>242</v>
      </c>
      <c r="E265" s="4">
        <v>-21.995</v>
      </c>
      <c r="F265" s="4">
        <v>-42.9144444444444</v>
      </c>
      <c r="G265" s="20">
        <v>25</v>
      </c>
      <c r="H265" s="21">
        <v>1451</v>
      </c>
      <c r="I265" s="4"/>
      <c r="J265" s="13" t="s">
        <v>181</v>
      </c>
      <c r="K265" s="5" t="s">
        <v>182</v>
      </c>
      <c r="L265" s="4"/>
      <c r="M265" s="4">
        <v>4</v>
      </c>
      <c r="N265" s="5" t="s">
        <v>108</v>
      </c>
      <c r="O265" s="36" t="s">
        <v>80</v>
      </c>
      <c r="P265" s="20"/>
      <c r="Q265" s="4">
        <v>23.5</v>
      </c>
      <c r="R265" s="5"/>
      <c r="S265" s="13"/>
      <c r="T265" s="34">
        <v>33</v>
      </c>
      <c r="U265" s="34">
        <v>10.5</v>
      </c>
      <c r="V265" s="34">
        <v>56.5</v>
      </c>
      <c r="W265" s="18">
        <v>30</v>
      </c>
      <c r="X265" s="5" t="s">
        <v>91</v>
      </c>
      <c r="Y265" s="5" t="s">
        <v>82</v>
      </c>
      <c r="Z265" s="4">
        <v>4</v>
      </c>
      <c r="AA265" s="4">
        <v>4</v>
      </c>
      <c r="AB265" s="9">
        <v>0.0387645434502443</v>
      </c>
      <c r="AC265" s="9">
        <v>0.0151002424591318</v>
      </c>
      <c r="AD265" s="9">
        <v>0.259957524436926</v>
      </c>
      <c r="AE265" s="9">
        <v>0.0166754266453994</v>
      </c>
      <c r="AF265" s="9">
        <v>0.221192980986682</v>
      </c>
      <c r="AG265" s="9">
        <v>0.0317756691045311</v>
      </c>
      <c r="AH265" s="9">
        <v>0.175204089025091</v>
      </c>
      <c r="AI265" s="9">
        <v>0.00171634044631886</v>
      </c>
      <c r="AJ265" s="4">
        <v>-0.136439545574846</v>
      </c>
      <c r="AK265" s="4">
        <v>0.0168165829054508</v>
      </c>
      <c r="AL265" s="4">
        <v>0.0847534354118353</v>
      </c>
      <c r="AM265" s="4">
        <v>0.0183917670917182</v>
      </c>
      <c r="AN265" s="4"/>
      <c r="AO265" s="4"/>
      <c r="AP265" s="4"/>
      <c r="AQ265" s="4"/>
      <c r="AR265" s="4"/>
      <c r="AS265" s="4"/>
      <c r="AT265" s="4"/>
      <c r="AU265" s="4"/>
      <c r="AV265" s="4"/>
      <c r="AW265" s="4"/>
      <c r="AX265" s="4"/>
      <c r="AY265" s="4"/>
      <c r="BT265" s="4">
        <v>-0.200670695462151</v>
      </c>
      <c r="BU265" s="4">
        <v>0.180527733909559</v>
      </c>
    </row>
    <row r="266" s="4" customFormat="1" spans="1:73">
      <c r="A266" s="4">
        <v>265</v>
      </c>
      <c r="B266" s="18">
        <v>45</v>
      </c>
      <c r="C266" s="19" t="s">
        <v>241</v>
      </c>
      <c r="D266" s="5" t="s">
        <v>242</v>
      </c>
      <c r="E266" s="4">
        <v>-21.995</v>
      </c>
      <c r="F266" s="4">
        <v>-42.9144444444444</v>
      </c>
      <c r="G266" s="20">
        <v>25</v>
      </c>
      <c r="H266" s="21">
        <v>1451</v>
      </c>
      <c r="I266" s="4"/>
      <c r="J266" s="13" t="s">
        <v>181</v>
      </c>
      <c r="K266" s="5" t="s">
        <v>182</v>
      </c>
      <c r="L266" s="4"/>
      <c r="M266" s="4">
        <v>4</v>
      </c>
      <c r="N266" s="5" t="s">
        <v>108</v>
      </c>
      <c r="O266" s="36" t="s">
        <v>80</v>
      </c>
      <c r="P266" s="20"/>
      <c r="Q266" s="4">
        <v>23.5</v>
      </c>
      <c r="R266" s="5"/>
      <c r="S266" s="13"/>
      <c r="T266" s="34">
        <v>33</v>
      </c>
      <c r="U266" s="34">
        <v>10.5</v>
      </c>
      <c r="V266" s="34">
        <v>56.5</v>
      </c>
      <c r="W266" s="18">
        <v>30</v>
      </c>
      <c r="X266" s="5" t="s">
        <v>91</v>
      </c>
      <c r="Y266" s="5" t="s">
        <v>82</v>
      </c>
      <c r="Z266" s="4">
        <v>4</v>
      </c>
      <c r="AA266" s="4">
        <v>4</v>
      </c>
      <c r="AB266" s="9">
        <v>0.321682433474907</v>
      </c>
      <c r="AC266" s="9">
        <v>0.00652036609998044</v>
      </c>
      <c r="AD266" s="9">
        <v>0.329753286372468</v>
      </c>
      <c r="AE266" s="9">
        <v>0.00833999446931022</v>
      </c>
      <c r="AF266" s="9">
        <v>0.0080708528975606</v>
      </c>
      <c r="AG266" s="9">
        <v>0.0148603605692906</v>
      </c>
      <c r="AH266" s="9">
        <v>0.0738039745833614</v>
      </c>
      <c r="AI266" s="9">
        <v>0.00184301961667469</v>
      </c>
      <c r="AJ266" s="4">
        <v>0.24787845889155</v>
      </c>
      <c r="AK266" s="4">
        <v>0.00836338571665512</v>
      </c>
      <c r="AL266" s="4">
        <v>0.255949311789106</v>
      </c>
      <c r="AM266" s="4">
        <v>0.0101830140859849</v>
      </c>
      <c r="AN266" s="4"/>
      <c r="AO266" s="4"/>
      <c r="AP266" s="4"/>
      <c r="AQ266" s="4"/>
      <c r="AR266" s="4"/>
      <c r="AS266" s="4"/>
      <c r="AT266" s="4"/>
      <c r="AU266" s="4"/>
      <c r="AV266" s="4"/>
      <c r="AW266" s="4"/>
      <c r="AX266" s="4"/>
      <c r="AY266" s="4"/>
      <c r="BT266" s="4">
        <v>0.0991327375219746</v>
      </c>
      <c r="BU266" s="4">
        <v>0.129173275468925</v>
      </c>
    </row>
    <row r="267" s="4" customFormat="1" spans="1:73">
      <c r="A267" s="4">
        <v>266</v>
      </c>
      <c r="B267" s="18">
        <v>45</v>
      </c>
      <c r="C267" s="19" t="s">
        <v>241</v>
      </c>
      <c r="D267" s="5" t="s">
        <v>242</v>
      </c>
      <c r="E267" s="4">
        <v>-21.995</v>
      </c>
      <c r="F267" s="4">
        <v>-42.9144444444444</v>
      </c>
      <c r="G267" s="20">
        <v>25</v>
      </c>
      <c r="H267" s="21">
        <v>1451</v>
      </c>
      <c r="I267" s="4"/>
      <c r="J267" s="13" t="s">
        <v>181</v>
      </c>
      <c r="K267" s="5" t="s">
        <v>182</v>
      </c>
      <c r="L267" s="4"/>
      <c r="M267" s="4">
        <v>4</v>
      </c>
      <c r="N267" s="5" t="s">
        <v>108</v>
      </c>
      <c r="O267" s="36" t="s">
        <v>80</v>
      </c>
      <c r="P267" s="20"/>
      <c r="Q267" s="4">
        <v>23.5</v>
      </c>
      <c r="R267" s="5"/>
      <c r="S267" s="13"/>
      <c r="T267" s="34">
        <v>33</v>
      </c>
      <c r="U267" s="34">
        <v>10.5</v>
      </c>
      <c r="V267" s="34">
        <v>56.5</v>
      </c>
      <c r="W267" s="18">
        <v>30</v>
      </c>
      <c r="X267" s="5" t="s">
        <v>91</v>
      </c>
      <c r="Y267" s="5" t="s">
        <v>82</v>
      </c>
      <c r="Z267" s="4">
        <v>4</v>
      </c>
      <c r="AA267" s="4">
        <v>4</v>
      </c>
      <c r="AB267" s="9">
        <v>0.382812573879915</v>
      </c>
      <c r="AC267" s="9">
        <v>0.0179122855183481</v>
      </c>
      <c r="AD267" s="9">
        <v>0.312755710003897</v>
      </c>
      <c r="AE267" s="9">
        <v>0.00856076411033163</v>
      </c>
      <c r="AF267" s="9">
        <v>-0.0700568638760189</v>
      </c>
      <c r="AG267" s="9">
        <v>0.0264730496286795</v>
      </c>
      <c r="AH267" s="9">
        <v>0.116363589002157</v>
      </c>
      <c r="AI267" s="9">
        <v>0.00423422089739737</v>
      </c>
      <c r="AJ267" s="4">
        <v>0.266448984877759</v>
      </c>
      <c r="AK267" s="4">
        <v>0.0221465064157455</v>
      </c>
      <c r="AL267" s="4">
        <v>0.19639212100174</v>
      </c>
      <c r="AM267" s="4">
        <v>0.012794985007729</v>
      </c>
      <c r="AN267" s="4"/>
      <c r="AO267" s="4"/>
      <c r="AP267" s="4"/>
      <c r="AQ267" s="4"/>
      <c r="AR267" s="4"/>
      <c r="AS267" s="4"/>
      <c r="AT267" s="4"/>
      <c r="AU267" s="4"/>
      <c r="AV267" s="4"/>
      <c r="AW267" s="4"/>
      <c r="AX267" s="4"/>
      <c r="AY267" s="4"/>
      <c r="BT267" s="4">
        <v>-0.0664620254666666</v>
      </c>
      <c r="BU267" s="4">
        <v>0.14158656354773</v>
      </c>
    </row>
    <row r="268" s="4" customFormat="1" spans="1:73">
      <c r="A268" s="4">
        <v>267</v>
      </c>
      <c r="B268" s="18">
        <v>45</v>
      </c>
      <c r="C268" s="19" t="s">
        <v>241</v>
      </c>
      <c r="D268" s="5" t="s">
        <v>242</v>
      </c>
      <c r="E268" s="4">
        <v>-21.995</v>
      </c>
      <c r="F268" s="4">
        <v>-42.9144444444444</v>
      </c>
      <c r="G268" s="20">
        <v>25</v>
      </c>
      <c r="H268" s="21">
        <v>1451</v>
      </c>
      <c r="I268" s="4"/>
      <c r="J268" s="13" t="s">
        <v>185</v>
      </c>
      <c r="K268" s="5" t="s">
        <v>182</v>
      </c>
      <c r="L268" s="4"/>
      <c r="M268" s="4">
        <v>9</v>
      </c>
      <c r="N268" s="5" t="s">
        <v>87</v>
      </c>
      <c r="O268" s="36" t="s">
        <v>80</v>
      </c>
      <c r="P268" s="20"/>
      <c r="Q268" s="4">
        <v>23.5</v>
      </c>
      <c r="R268" s="5"/>
      <c r="S268" s="13"/>
      <c r="T268" s="34">
        <v>33</v>
      </c>
      <c r="U268" s="34">
        <v>10.5</v>
      </c>
      <c r="V268" s="34">
        <v>56.5</v>
      </c>
      <c r="W268" s="18">
        <v>7</v>
      </c>
      <c r="X268" s="5" t="s">
        <v>91</v>
      </c>
      <c r="Y268" s="5" t="s">
        <v>82</v>
      </c>
      <c r="Z268" s="4">
        <v>4</v>
      </c>
      <c r="AA268" s="4">
        <v>4</v>
      </c>
      <c r="AB268" s="9">
        <v>0.0231415285616943</v>
      </c>
      <c r="AC268" s="9">
        <v>0.00393867539147631</v>
      </c>
      <c r="AD268" s="9">
        <v>-0.100083458556983</v>
      </c>
      <c r="AE268" s="9">
        <v>0.0111159840783035</v>
      </c>
      <c r="AF268" s="9">
        <v>-0.123224987118677</v>
      </c>
      <c r="AG268" s="9">
        <v>0.0150546594697799</v>
      </c>
      <c r="AH268" s="9">
        <v>-0.00930239266231367</v>
      </c>
      <c r="AI268" s="9">
        <v>0.00110391434160782</v>
      </c>
      <c r="AJ268" s="4">
        <v>0.0324439212240038</v>
      </c>
      <c r="AK268" s="4">
        <v>0.00504258973308413</v>
      </c>
      <c r="AL268" s="4">
        <v>-0.0907810658946689</v>
      </c>
      <c r="AM268" s="4">
        <v>0.0122198984199114</v>
      </c>
      <c r="AN268" s="4"/>
      <c r="AO268" s="4"/>
      <c r="AP268" s="4"/>
      <c r="AQ268" s="4"/>
      <c r="AR268" s="4"/>
      <c r="AS268" s="4"/>
      <c r="AT268" s="4"/>
      <c r="AU268" s="4"/>
      <c r="AV268" s="4"/>
      <c r="AW268" s="4"/>
      <c r="AX268" s="4"/>
      <c r="AY268" s="4"/>
      <c r="BT268" s="4">
        <v>-0.0451204352804695</v>
      </c>
      <c r="BU268" s="4">
        <v>0.0446996219592373</v>
      </c>
    </row>
    <row r="269" s="4" customFormat="1" spans="1:73">
      <c r="A269" s="4">
        <v>268</v>
      </c>
      <c r="B269" s="18">
        <v>45</v>
      </c>
      <c r="C269" s="19" t="s">
        <v>241</v>
      </c>
      <c r="D269" s="5" t="s">
        <v>242</v>
      </c>
      <c r="E269" s="4">
        <v>-21.995</v>
      </c>
      <c r="F269" s="4">
        <v>-42.9144444444444</v>
      </c>
      <c r="G269" s="20">
        <v>25</v>
      </c>
      <c r="H269" s="21">
        <v>1451</v>
      </c>
      <c r="I269" s="4"/>
      <c r="J269" s="13" t="s">
        <v>181</v>
      </c>
      <c r="K269" s="5" t="s">
        <v>182</v>
      </c>
      <c r="L269" s="4"/>
      <c r="M269" s="4">
        <v>9</v>
      </c>
      <c r="N269" s="5" t="s">
        <v>87</v>
      </c>
      <c r="O269" s="36" t="s">
        <v>80</v>
      </c>
      <c r="P269" s="20"/>
      <c r="Q269" s="4">
        <v>23.5</v>
      </c>
      <c r="R269" s="5"/>
      <c r="S269" s="13"/>
      <c r="T269" s="34">
        <v>33</v>
      </c>
      <c r="U269" s="34">
        <v>10.5</v>
      </c>
      <c r="V269" s="34">
        <v>56.5</v>
      </c>
      <c r="W269" s="18">
        <v>30</v>
      </c>
      <c r="X269" s="5" t="s">
        <v>91</v>
      </c>
      <c r="Y269" s="5" t="s">
        <v>82</v>
      </c>
      <c r="Z269" s="4">
        <v>4</v>
      </c>
      <c r="AA269" s="4">
        <v>4</v>
      </c>
      <c r="AB269" s="9">
        <v>0.26313577022776</v>
      </c>
      <c r="AC269" s="9">
        <v>0.014597502997077</v>
      </c>
      <c r="AD269" s="9">
        <v>-0.211309093667207</v>
      </c>
      <c r="AE269" s="9">
        <v>0.0162002607415515</v>
      </c>
      <c r="AF269" s="9">
        <v>-0.474444863894969</v>
      </c>
      <c r="AG269" s="9">
        <v>0.0307977637386286</v>
      </c>
      <c r="AH269" s="9">
        <v>0.113659318472521</v>
      </c>
      <c r="AI269" s="9">
        <v>0.0088858577650303</v>
      </c>
      <c r="AJ269" s="4">
        <v>0.149476451755241</v>
      </c>
      <c r="AK269" s="4">
        <v>0.0234833607621071</v>
      </c>
      <c r="AL269" s="4">
        <v>-0.324968412139729</v>
      </c>
      <c r="AM269" s="4">
        <v>0.0250861185065818</v>
      </c>
      <c r="AN269" s="4"/>
      <c r="AO269" s="4"/>
      <c r="AP269" s="4"/>
      <c r="AQ269" s="4"/>
      <c r="AR269" s="4"/>
      <c r="AS269" s="4"/>
      <c r="AT269" s="4"/>
      <c r="AU269" s="4"/>
      <c r="AV269" s="4"/>
      <c r="AW269" s="4"/>
      <c r="AX269" s="4"/>
      <c r="AY269" s="4"/>
      <c r="BT269" s="4">
        <v>0.529762824785742</v>
      </c>
      <c r="BU269" s="4">
        <v>0.0282934282528438</v>
      </c>
    </row>
    <row r="270" s="4" customFormat="1" spans="1:73">
      <c r="A270" s="4">
        <v>269</v>
      </c>
      <c r="B270" s="18">
        <v>45</v>
      </c>
      <c r="C270" s="19" t="s">
        <v>241</v>
      </c>
      <c r="D270" s="5" t="s">
        <v>242</v>
      </c>
      <c r="E270" s="4">
        <v>-21.995</v>
      </c>
      <c r="F270" s="4">
        <v>-42.9144444444444</v>
      </c>
      <c r="G270" s="20">
        <v>25</v>
      </c>
      <c r="H270" s="21">
        <v>1451</v>
      </c>
      <c r="I270" s="4"/>
      <c r="J270" s="13" t="s">
        <v>181</v>
      </c>
      <c r="K270" s="5" t="s">
        <v>182</v>
      </c>
      <c r="L270" s="4"/>
      <c r="M270" s="4">
        <v>9</v>
      </c>
      <c r="N270" s="5" t="s">
        <v>87</v>
      </c>
      <c r="O270" s="36" t="s">
        <v>80</v>
      </c>
      <c r="P270" s="20"/>
      <c r="Q270" s="4">
        <v>23.5</v>
      </c>
      <c r="R270" s="5"/>
      <c r="S270" s="13"/>
      <c r="T270" s="34">
        <v>33</v>
      </c>
      <c r="U270" s="34">
        <v>10.5</v>
      </c>
      <c r="V270" s="34">
        <v>56.5</v>
      </c>
      <c r="W270" s="18">
        <v>30</v>
      </c>
      <c r="X270" s="5" t="s">
        <v>91</v>
      </c>
      <c r="Y270" s="5" t="s">
        <v>82</v>
      </c>
      <c r="Z270" s="4">
        <v>4</v>
      </c>
      <c r="AA270" s="4">
        <v>4</v>
      </c>
      <c r="AB270" s="9">
        <v>0.229145569999208</v>
      </c>
      <c r="AC270" s="9">
        <v>0.0118399253885816</v>
      </c>
      <c r="AD270" s="9">
        <v>-0.0870113769896297</v>
      </c>
      <c r="AE270" s="9">
        <v>0.0246706981690748</v>
      </c>
      <c r="AF270" s="9">
        <v>-0.316156946988839</v>
      </c>
      <c r="AG270" s="9">
        <v>0.0365106235576565</v>
      </c>
      <c r="AH270" s="9">
        <v>0.0452565915881209</v>
      </c>
      <c r="AI270" s="9">
        <v>0.0100871276080114</v>
      </c>
      <c r="AJ270" s="4">
        <v>0.183888978411085</v>
      </c>
      <c r="AK270" s="4">
        <v>0.021927052996593</v>
      </c>
      <c r="AL270" s="4">
        <v>-0.132267968577751</v>
      </c>
      <c r="AM270" s="4">
        <v>0.0347578257770861</v>
      </c>
      <c r="AN270" s="4"/>
      <c r="AO270" s="4"/>
      <c r="AP270" s="4"/>
      <c r="AQ270" s="4"/>
      <c r="AR270" s="4"/>
      <c r="AS270" s="4"/>
      <c r="AT270" s="4"/>
      <c r="AU270" s="4"/>
      <c r="AV270" s="4"/>
      <c r="AW270" s="4"/>
      <c r="AX270" s="4"/>
      <c r="AY270" s="4"/>
      <c r="BT270" s="4">
        <v>0.491522871511462</v>
      </c>
      <c r="BU270" s="4">
        <v>0.0527404377833572</v>
      </c>
    </row>
    <row r="271" s="4" customFormat="1" spans="1:73">
      <c r="A271" s="4">
        <v>270</v>
      </c>
      <c r="B271" s="18">
        <v>45</v>
      </c>
      <c r="C271" s="19" t="s">
        <v>241</v>
      </c>
      <c r="D271" s="5" t="s">
        <v>242</v>
      </c>
      <c r="E271" s="4">
        <v>-21.995</v>
      </c>
      <c r="F271" s="4">
        <v>-42.9144444444444</v>
      </c>
      <c r="G271" s="20">
        <v>25</v>
      </c>
      <c r="H271" s="21">
        <v>1451</v>
      </c>
      <c r="I271" s="4"/>
      <c r="J271" s="13" t="s">
        <v>181</v>
      </c>
      <c r="K271" s="5" t="s">
        <v>182</v>
      </c>
      <c r="L271" s="4"/>
      <c r="M271" s="4">
        <v>9</v>
      </c>
      <c r="N271" s="5" t="s">
        <v>87</v>
      </c>
      <c r="O271" s="36" t="s">
        <v>80</v>
      </c>
      <c r="P271" s="20"/>
      <c r="Q271" s="4">
        <v>23.5</v>
      </c>
      <c r="R271" s="5"/>
      <c r="S271" s="13"/>
      <c r="T271" s="34">
        <v>33</v>
      </c>
      <c r="U271" s="34">
        <v>10.5</v>
      </c>
      <c r="V271" s="34">
        <v>56.5</v>
      </c>
      <c r="W271" s="18">
        <v>30</v>
      </c>
      <c r="X271" s="5" t="s">
        <v>91</v>
      </c>
      <c r="Y271" s="5" t="s">
        <v>82</v>
      </c>
      <c r="Z271" s="4">
        <v>4</v>
      </c>
      <c r="AA271" s="4">
        <v>4</v>
      </c>
      <c r="AB271" s="9">
        <v>0.255393796074144</v>
      </c>
      <c r="AC271" s="9">
        <v>0.00699519308704253</v>
      </c>
      <c r="AD271" s="9">
        <v>-0.0870113769896297</v>
      </c>
      <c r="AE271" s="9">
        <v>0.0246706981690748</v>
      </c>
      <c r="AF271" s="9">
        <v>-0.342405173063775</v>
      </c>
      <c r="AG271" s="9">
        <v>0.0316658912561173</v>
      </c>
      <c r="AH271" s="9">
        <v>0.125979802860562</v>
      </c>
      <c r="AI271" s="9">
        <v>0.000926283809536664</v>
      </c>
      <c r="AJ271" s="4">
        <v>0.12941399321358</v>
      </c>
      <c r="AK271" s="4">
        <v>0.00792147689657921</v>
      </c>
      <c r="AL271" s="4">
        <v>-0.212991179850191</v>
      </c>
      <c r="AM271" s="4">
        <v>0.0255969819786115</v>
      </c>
      <c r="AN271" s="4"/>
      <c r="AO271" s="4"/>
      <c r="AP271" s="4"/>
      <c r="AQ271" s="4"/>
      <c r="AR271" s="4"/>
      <c r="AS271" s="4"/>
      <c r="AT271" s="4"/>
      <c r="AU271" s="4"/>
      <c r="AV271" s="4"/>
      <c r="AW271" s="4"/>
      <c r="AX271" s="4"/>
      <c r="AY271" s="4"/>
      <c r="BT271" s="4">
        <v>0.428083196695937</v>
      </c>
      <c r="BU271" s="4">
        <v>0.0232045659851586</v>
      </c>
    </row>
    <row r="272" s="3" customFormat="1" spans="1:61">
      <c r="A272" s="4">
        <v>271</v>
      </c>
      <c r="B272" s="6">
        <v>46</v>
      </c>
      <c r="C272" s="24" t="s">
        <v>243</v>
      </c>
      <c r="D272" s="13" t="s">
        <v>244</v>
      </c>
      <c r="E272" s="25">
        <v>-8.746833</v>
      </c>
      <c r="F272" s="25">
        <v>-38.774167</v>
      </c>
      <c r="G272" s="26">
        <v>27</v>
      </c>
      <c r="H272" s="27">
        <v>430</v>
      </c>
      <c r="I272" s="3"/>
      <c r="J272" s="13" t="s">
        <v>188</v>
      </c>
      <c r="K272" s="5" t="s">
        <v>182</v>
      </c>
      <c r="L272" s="3"/>
      <c r="M272" s="3"/>
      <c r="N272" s="3"/>
      <c r="O272" s="36" t="s">
        <v>80</v>
      </c>
      <c r="P272" s="20"/>
      <c r="Q272" s="5"/>
      <c r="R272" s="5"/>
      <c r="S272" s="13"/>
      <c r="T272" s="21">
        <v>24</v>
      </c>
      <c r="U272" s="21">
        <v>23</v>
      </c>
      <c r="V272" s="21">
        <v>53</v>
      </c>
      <c r="W272" s="6"/>
      <c r="X272" s="3"/>
      <c r="Y272" s="13" t="s">
        <v>82</v>
      </c>
      <c r="Z272" s="3">
        <v>3</v>
      </c>
      <c r="AA272" s="3">
        <v>3</v>
      </c>
      <c r="AB272" s="9">
        <v>-0.0904906293441419</v>
      </c>
      <c r="AC272" s="9">
        <v>0.000256361683990305</v>
      </c>
      <c r="AD272" s="25"/>
      <c r="AE272" s="25"/>
      <c r="AF272" s="9"/>
      <c r="AG272" s="9"/>
      <c r="AH272" s="25">
        <v>-1.73827078427707</v>
      </c>
      <c r="AI272" s="25">
        <v>0.00694155213105651</v>
      </c>
      <c r="AJ272" s="4">
        <v>1.64778015493293</v>
      </c>
      <c r="AK272" s="4">
        <v>0.00719791381504682</v>
      </c>
      <c r="AL272" s="3"/>
      <c r="AM272" s="3"/>
      <c r="AN272" s="4">
        <v>0.0317486983145803</v>
      </c>
      <c r="AO272" s="4">
        <v>5.09756817984738e-5</v>
      </c>
      <c r="AP272" s="3">
        <v>-1.18958406687384</v>
      </c>
      <c r="AQ272" s="3">
        <v>0.0143562530821345</v>
      </c>
      <c r="AR272" s="4"/>
      <c r="AS272" s="4"/>
      <c r="AT272" s="3"/>
      <c r="AU272" s="3"/>
      <c r="AV272" s="4"/>
      <c r="AW272" s="4"/>
      <c r="AX272" s="3"/>
      <c r="AY272" s="3"/>
      <c r="BH272" s="3">
        <v>-0.223385360044683</v>
      </c>
      <c r="BI272" s="3">
        <v>0.102422571586526</v>
      </c>
    </row>
    <row r="273" s="3" customFormat="1" spans="1:61">
      <c r="A273" s="4">
        <v>272</v>
      </c>
      <c r="B273" s="6">
        <v>46</v>
      </c>
      <c r="C273" s="24" t="s">
        <v>243</v>
      </c>
      <c r="D273" s="13" t="s">
        <v>245</v>
      </c>
      <c r="E273" s="25">
        <v>-8.746833</v>
      </c>
      <c r="F273" s="25">
        <v>-38.774167</v>
      </c>
      <c r="G273" s="26">
        <v>27</v>
      </c>
      <c r="H273" s="27">
        <v>430</v>
      </c>
      <c r="I273" s="3"/>
      <c r="J273" s="13" t="s">
        <v>188</v>
      </c>
      <c r="K273" s="5" t="s">
        <v>182</v>
      </c>
      <c r="L273" s="3"/>
      <c r="M273" s="3"/>
      <c r="N273" s="3"/>
      <c r="O273" s="36" t="s">
        <v>80</v>
      </c>
      <c r="P273" s="20"/>
      <c r="Q273" s="5"/>
      <c r="R273" s="5"/>
      <c r="S273" s="13"/>
      <c r="T273" s="21">
        <v>24</v>
      </c>
      <c r="U273" s="21">
        <v>23</v>
      </c>
      <c r="V273" s="21">
        <v>53</v>
      </c>
      <c r="W273" s="6"/>
      <c r="X273" s="3"/>
      <c r="Y273" s="13" t="s">
        <v>82</v>
      </c>
      <c r="Z273" s="3">
        <v>3</v>
      </c>
      <c r="AA273" s="3">
        <v>3</v>
      </c>
      <c r="AB273" s="9">
        <v>-0.0522352442671569</v>
      </c>
      <c r="AC273" s="9">
        <v>0.000256361683990305</v>
      </c>
      <c r="AD273" s="25"/>
      <c r="AE273" s="25"/>
      <c r="AF273" s="9"/>
      <c r="AG273" s="9"/>
      <c r="AH273" s="25">
        <v>-0.68267588069265</v>
      </c>
      <c r="AI273" s="25">
        <v>0.00694155213105651</v>
      </c>
      <c r="AJ273" s="4">
        <v>0.630440636425494</v>
      </c>
      <c r="AK273" s="4">
        <v>0.00719791381504681</v>
      </c>
      <c r="AL273" s="3"/>
      <c r="AM273" s="3"/>
      <c r="AN273" s="4">
        <v>-0.0968498259899175</v>
      </c>
      <c r="AO273" s="4">
        <v>7.88954635108481e-5</v>
      </c>
      <c r="AP273" s="3">
        <v>-0.587786664902119</v>
      </c>
      <c r="AQ273" s="3">
        <v>0.0143562530821344</v>
      </c>
      <c r="AR273" s="4"/>
      <c r="AS273" s="4"/>
      <c r="AT273" s="3"/>
      <c r="AU273" s="3"/>
      <c r="AV273" s="4"/>
      <c r="AW273" s="4"/>
      <c r="AX273" s="3"/>
      <c r="AY273" s="3"/>
      <c r="BH273" s="3">
        <v>2.9957054059174</v>
      </c>
      <c r="BI273" s="3">
        <v>0.000833378113930788</v>
      </c>
    </row>
    <row r="274" s="3" customFormat="1" spans="1:61">
      <c r="A274" s="4">
        <v>273</v>
      </c>
      <c r="B274" s="6">
        <v>46</v>
      </c>
      <c r="C274" s="24" t="s">
        <v>243</v>
      </c>
      <c r="D274" s="13" t="s">
        <v>246</v>
      </c>
      <c r="E274" s="25">
        <v>-8.746833</v>
      </c>
      <c r="F274" s="25">
        <v>-38.774167</v>
      </c>
      <c r="G274" s="26">
        <v>27</v>
      </c>
      <c r="H274" s="27">
        <v>430</v>
      </c>
      <c r="I274" s="3"/>
      <c r="J274" s="13" t="s">
        <v>188</v>
      </c>
      <c r="K274" s="5" t="s">
        <v>182</v>
      </c>
      <c r="L274" s="3"/>
      <c r="M274" s="3"/>
      <c r="N274" s="3"/>
      <c r="O274" s="28" t="s">
        <v>136</v>
      </c>
      <c r="P274" s="20"/>
      <c r="Q274" s="5"/>
      <c r="R274" s="5"/>
      <c r="S274" s="13"/>
      <c r="T274" s="21">
        <v>24</v>
      </c>
      <c r="U274" s="21">
        <v>23</v>
      </c>
      <c r="V274" s="21">
        <v>53</v>
      </c>
      <c r="W274" s="6"/>
      <c r="X274" s="3"/>
      <c r="Y274" s="13" t="s">
        <v>82</v>
      </c>
      <c r="Z274" s="3">
        <v>3</v>
      </c>
      <c r="AA274" s="3">
        <v>3</v>
      </c>
      <c r="AB274" s="9">
        <v>0.0109576273456655</v>
      </c>
      <c r="AC274" s="9">
        <v>0.000256361683990305</v>
      </c>
      <c r="AD274" s="25"/>
      <c r="AE274" s="25"/>
      <c r="AF274" s="9"/>
      <c r="AG274" s="9"/>
      <c r="AH274" s="25">
        <v>-0.115512887121844</v>
      </c>
      <c r="AI274" s="25">
        <v>0.0069415521310565</v>
      </c>
      <c r="AJ274" s="4">
        <v>0.12647051446751</v>
      </c>
      <c r="AK274" s="4">
        <v>0.00719791381504681</v>
      </c>
      <c r="AL274" s="3"/>
      <c r="AM274" s="3"/>
      <c r="AN274" s="4">
        <v>0.0143887374520995</v>
      </c>
      <c r="AO274" s="4">
        <v>1.75033256318701e-5</v>
      </c>
      <c r="AP274" s="3">
        <v>-0.182321556793955</v>
      </c>
      <c r="AQ274" s="3">
        <v>0.0143562530821345</v>
      </c>
      <c r="AR274" s="4"/>
      <c r="AS274" s="4"/>
      <c r="AT274" s="3"/>
      <c r="AU274" s="3"/>
      <c r="AV274" s="4"/>
      <c r="AW274" s="4"/>
      <c r="AX274" s="3"/>
      <c r="AY274" s="3"/>
      <c r="BH274" s="3">
        <v>2.86270766493515</v>
      </c>
      <c r="BI274" s="3">
        <v>0.253325651079573</v>
      </c>
    </row>
    <row r="275" s="3" customFormat="1" spans="1:61">
      <c r="A275" s="4">
        <v>274</v>
      </c>
      <c r="B275" s="6">
        <v>46</v>
      </c>
      <c r="C275" s="24" t="s">
        <v>243</v>
      </c>
      <c r="D275" s="13" t="s">
        <v>247</v>
      </c>
      <c r="E275" s="25">
        <v>-8.746833</v>
      </c>
      <c r="F275" s="25">
        <v>-38.774167</v>
      </c>
      <c r="G275" s="26">
        <v>27</v>
      </c>
      <c r="H275" s="27">
        <v>430</v>
      </c>
      <c r="I275" s="3"/>
      <c r="J275" s="13" t="s">
        <v>188</v>
      </c>
      <c r="K275" s="5" t="s">
        <v>182</v>
      </c>
      <c r="L275" s="3"/>
      <c r="M275" s="3"/>
      <c r="N275" s="3"/>
      <c r="O275" s="36" t="s">
        <v>80</v>
      </c>
      <c r="P275" s="20"/>
      <c r="Q275" s="5"/>
      <c r="R275" s="5"/>
      <c r="S275" s="13"/>
      <c r="T275" s="21">
        <v>24</v>
      </c>
      <c r="U275" s="21">
        <v>23</v>
      </c>
      <c r="V275" s="21">
        <v>53</v>
      </c>
      <c r="W275" s="6"/>
      <c r="X275" s="3"/>
      <c r="Y275" s="13" t="s">
        <v>82</v>
      </c>
      <c r="Z275" s="3">
        <v>3</v>
      </c>
      <c r="AA275" s="3">
        <v>3</v>
      </c>
      <c r="AB275" s="9">
        <v>0.0850164964017704</v>
      </c>
      <c r="AC275" s="9">
        <v>0.000256361683990305</v>
      </c>
      <c r="AD275" s="25"/>
      <c r="AE275" s="25"/>
      <c r="AF275" s="9"/>
      <c r="AG275" s="9"/>
      <c r="AH275" s="25">
        <v>-0.184521777703557</v>
      </c>
      <c r="AI275" s="25">
        <v>0.0069415521310565</v>
      </c>
      <c r="AJ275" s="4">
        <v>0.269538274105329</v>
      </c>
      <c r="AK275" s="4">
        <v>0.00719791381504682</v>
      </c>
      <c r="AL275" s="3"/>
      <c r="AM275" s="3"/>
      <c r="AN275" s="4">
        <v>0.106972119552168</v>
      </c>
      <c r="AO275" s="4">
        <v>9.1692109325954e-5</v>
      </c>
      <c r="AP275" s="3">
        <v>-0.139761942375159</v>
      </c>
      <c r="AQ275" s="3">
        <v>0.0143562530821345</v>
      </c>
      <c r="AR275" s="4"/>
      <c r="AS275" s="4"/>
      <c r="AT275" s="3"/>
      <c r="AU275" s="3"/>
      <c r="AV275" s="4"/>
      <c r="AW275" s="4"/>
      <c r="AX275" s="3"/>
      <c r="AY275" s="3"/>
      <c r="BH275" s="3">
        <v>2.00131444378768</v>
      </c>
      <c r="BI275" s="3">
        <v>0.0428804565059212</v>
      </c>
    </row>
    <row r="276" s="3" customFormat="1" spans="1:61">
      <c r="A276" s="4">
        <v>275</v>
      </c>
      <c r="B276" s="6">
        <v>46</v>
      </c>
      <c r="C276" s="24" t="s">
        <v>243</v>
      </c>
      <c r="D276" s="13" t="s">
        <v>248</v>
      </c>
      <c r="E276" s="25">
        <v>-8.746833</v>
      </c>
      <c r="F276" s="25">
        <v>-38.774167</v>
      </c>
      <c r="G276" s="26">
        <v>27</v>
      </c>
      <c r="H276" s="27">
        <v>430</v>
      </c>
      <c r="I276" s="3"/>
      <c r="J276" s="13" t="s">
        <v>188</v>
      </c>
      <c r="K276" s="5" t="s">
        <v>182</v>
      </c>
      <c r="L276" s="3"/>
      <c r="M276" s="3"/>
      <c r="N276" s="3"/>
      <c r="O276" s="36" t="s">
        <v>80</v>
      </c>
      <c r="P276" s="20"/>
      <c r="Q276" s="5"/>
      <c r="R276" s="5"/>
      <c r="S276" s="13"/>
      <c r="T276" s="21">
        <v>24</v>
      </c>
      <c r="U276" s="21">
        <v>23</v>
      </c>
      <c r="V276" s="21">
        <v>53</v>
      </c>
      <c r="W276" s="6"/>
      <c r="X276" s="3"/>
      <c r="Y276" s="13" t="s">
        <v>82</v>
      </c>
      <c r="Z276" s="3">
        <v>3</v>
      </c>
      <c r="AA276" s="3">
        <v>3</v>
      </c>
      <c r="AB276" s="9">
        <v>-0.0427323463144938</v>
      </c>
      <c r="AC276" s="9">
        <v>0.000256361683990305</v>
      </c>
      <c r="AD276" s="25"/>
      <c r="AE276" s="25"/>
      <c r="AF276" s="9"/>
      <c r="AG276" s="9"/>
      <c r="AH276" s="25">
        <v>-0.111225635110224</v>
      </c>
      <c r="AI276" s="25">
        <v>0.0069415521310565</v>
      </c>
      <c r="AJ276" s="4">
        <v>0.0684932887957315</v>
      </c>
      <c r="AK276" s="4">
        <v>0.00719791381504681</v>
      </c>
      <c r="AL276" s="3"/>
      <c r="AM276" s="3"/>
      <c r="AN276" s="4">
        <v>0.102278849120418</v>
      </c>
      <c r="AO276" s="4">
        <v>9.49705663915066e-5</v>
      </c>
      <c r="AP276" s="3">
        <v>-0.251314428280906</v>
      </c>
      <c r="AQ276" s="3">
        <v>0.0143562530821345</v>
      </c>
      <c r="AR276" s="4"/>
      <c r="AS276" s="4"/>
      <c r="AT276" s="3"/>
      <c r="AU276" s="3"/>
      <c r="AV276" s="4"/>
      <c r="AW276" s="4"/>
      <c r="AX276" s="3"/>
      <c r="AY276" s="3"/>
      <c r="BH276" s="3">
        <v>2.03683520047256</v>
      </c>
      <c r="BI276" s="3">
        <v>0.0018889566247183</v>
      </c>
    </row>
    <row r="277" s="3" customFormat="1" spans="1:61">
      <c r="A277" s="4">
        <v>276</v>
      </c>
      <c r="B277" s="6">
        <v>46</v>
      </c>
      <c r="C277" s="24" t="s">
        <v>243</v>
      </c>
      <c r="D277" s="13" t="s">
        <v>249</v>
      </c>
      <c r="E277" s="25">
        <v>-8.746833</v>
      </c>
      <c r="F277" s="25">
        <v>-38.774167</v>
      </c>
      <c r="G277" s="26">
        <v>27</v>
      </c>
      <c r="H277" s="27">
        <v>430</v>
      </c>
      <c r="I277" s="3"/>
      <c r="J277" s="13" t="s">
        <v>188</v>
      </c>
      <c r="K277" s="5" t="s">
        <v>182</v>
      </c>
      <c r="L277" s="3"/>
      <c r="M277" s="3"/>
      <c r="N277" s="3"/>
      <c r="O277" s="28" t="s">
        <v>136</v>
      </c>
      <c r="P277" s="20"/>
      <c r="Q277" s="5"/>
      <c r="R277" s="5"/>
      <c r="S277" s="13"/>
      <c r="T277" s="21">
        <v>24</v>
      </c>
      <c r="U277" s="21">
        <v>23</v>
      </c>
      <c r="V277" s="21">
        <v>53</v>
      </c>
      <c r="W277" s="6"/>
      <c r="X277" s="3"/>
      <c r="Y277" s="13" t="s">
        <v>82</v>
      </c>
      <c r="Z277" s="3">
        <v>3</v>
      </c>
      <c r="AA277" s="3">
        <v>3</v>
      </c>
      <c r="AB277" s="9">
        <v>0.00372774946247963</v>
      </c>
      <c r="AC277" s="9">
        <v>0.000256361683990305</v>
      </c>
      <c r="AD277" s="25"/>
      <c r="AE277" s="25"/>
      <c r="AF277" s="9"/>
      <c r="AG277" s="9"/>
      <c r="AH277" s="25">
        <v>0.10354067894084</v>
      </c>
      <c r="AI277" s="25">
        <v>0.0069415521310565</v>
      </c>
      <c r="AJ277" s="4">
        <v>-0.0998129294783608</v>
      </c>
      <c r="AK277" s="4">
        <v>0.00719791381504682</v>
      </c>
      <c r="AL277" s="3"/>
      <c r="AM277" s="3"/>
      <c r="AN277" s="4">
        <v>0.0425596144187959</v>
      </c>
      <c r="AO277" s="4">
        <v>1.75033256318701e-5</v>
      </c>
      <c r="AP277" s="3">
        <v>0.154150679827258</v>
      </c>
      <c r="AQ277" s="3">
        <v>0.0143562530821345</v>
      </c>
      <c r="AR277" s="4"/>
      <c r="AS277" s="4"/>
      <c r="AT277" s="3"/>
      <c r="AU277" s="3"/>
      <c r="AV277" s="4"/>
      <c r="AW277" s="4"/>
      <c r="AX277" s="3"/>
      <c r="AY277" s="3"/>
      <c r="BH277" s="3">
        <v>1.79229695916306</v>
      </c>
      <c r="BI277" s="3">
        <v>0.270893166840097</v>
      </c>
    </row>
    <row r="278" s="4" customFormat="1" spans="1:61">
      <c r="A278" s="4">
        <v>277</v>
      </c>
      <c r="B278" s="18">
        <v>47</v>
      </c>
      <c r="C278" s="19" t="s">
        <v>250</v>
      </c>
      <c r="D278" s="5" t="s">
        <v>251</v>
      </c>
      <c r="E278" s="4">
        <v>21.45</v>
      </c>
      <c r="F278" s="4">
        <v>110.9</v>
      </c>
      <c r="G278" s="20">
        <v>23</v>
      </c>
      <c r="H278" s="21">
        <v>1550</v>
      </c>
      <c r="I278" s="4"/>
      <c r="J278" s="5" t="s">
        <v>83</v>
      </c>
      <c r="K278" s="5" t="s">
        <v>78</v>
      </c>
      <c r="L278" s="4">
        <v>2020</v>
      </c>
      <c r="M278" s="4">
        <v>8</v>
      </c>
      <c r="N278" s="5" t="s">
        <v>96</v>
      </c>
      <c r="O278" s="28" t="s">
        <v>80</v>
      </c>
      <c r="P278" s="20"/>
      <c r="Q278" s="5"/>
      <c r="R278" s="5"/>
      <c r="S278" s="13"/>
      <c r="T278" s="21">
        <v>43</v>
      </c>
      <c r="U278" s="21">
        <v>17</v>
      </c>
      <c r="V278" s="21">
        <v>40</v>
      </c>
      <c r="W278" s="4">
        <v>8</v>
      </c>
      <c r="X278" s="5" t="s">
        <v>91</v>
      </c>
      <c r="Y278" s="5" t="s">
        <v>82</v>
      </c>
      <c r="Z278" s="4">
        <v>4</v>
      </c>
      <c r="AA278" s="4">
        <v>4</v>
      </c>
      <c r="AB278" s="9">
        <v>0.1654497639521</v>
      </c>
      <c r="AC278" s="9">
        <v>0.000192271262992729</v>
      </c>
      <c r="AD278" s="9">
        <v>-0.284276279316948</v>
      </c>
      <c r="AE278" s="9">
        <v>0.00400086710213743</v>
      </c>
      <c r="AF278" s="9">
        <v>-0.449726043269047</v>
      </c>
      <c r="AG278" s="9">
        <v>0.00419313836513014</v>
      </c>
      <c r="AH278" s="9">
        <v>0.0819221184336444</v>
      </c>
      <c r="AI278" s="9">
        <v>0.0034725355401754</v>
      </c>
      <c r="AJ278" s="4">
        <v>0.0835276455184585</v>
      </c>
      <c r="AK278" s="4">
        <v>0.00366480680316812</v>
      </c>
      <c r="AL278" s="4">
        <v>-0.366198397750592</v>
      </c>
      <c r="AM278" s="4">
        <v>0.00747340264231283</v>
      </c>
      <c r="AN278" s="4">
        <v>-0.00708385488840504</v>
      </c>
      <c r="AO278" s="4">
        <v>0.00381798205877573</v>
      </c>
      <c r="AP278" s="4"/>
      <c r="AQ278" s="4"/>
      <c r="AR278" s="4"/>
      <c r="AS278" s="4"/>
      <c r="AT278" s="4"/>
      <c r="AU278" s="4"/>
      <c r="AV278" s="4"/>
      <c r="AW278" s="4"/>
      <c r="AX278" s="4">
        <v>-0.548686717403231</v>
      </c>
      <c r="AY278" s="4">
        <v>0.0212978052131911</v>
      </c>
      <c r="BF278" s="4">
        <v>0.276753001919591</v>
      </c>
      <c r="BG278" s="4">
        <v>0.700509216785002</v>
      </c>
      <c r="BH278" s="4">
        <v>0.168335314819215</v>
      </c>
      <c r="BI278" s="4">
        <v>0.116346018206264</v>
      </c>
    </row>
    <row r="279" s="4" customFormat="1" spans="1:61">
      <c r="A279" s="4">
        <v>278</v>
      </c>
      <c r="B279" s="18">
        <v>47</v>
      </c>
      <c r="C279" s="19" t="s">
        <v>250</v>
      </c>
      <c r="D279" s="5" t="s">
        <v>251</v>
      </c>
      <c r="E279" s="4">
        <v>21.45</v>
      </c>
      <c r="F279" s="4">
        <v>110.9</v>
      </c>
      <c r="G279" s="20">
        <v>23</v>
      </c>
      <c r="H279" s="21">
        <v>1550</v>
      </c>
      <c r="I279" s="4"/>
      <c r="J279" s="5" t="s">
        <v>83</v>
      </c>
      <c r="K279" s="5" t="s">
        <v>78</v>
      </c>
      <c r="L279" s="4">
        <v>2020</v>
      </c>
      <c r="M279" s="4">
        <v>8</v>
      </c>
      <c r="N279" s="5" t="s">
        <v>96</v>
      </c>
      <c r="O279" s="28" t="s">
        <v>136</v>
      </c>
      <c r="P279" s="20"/>
      <c r="Q279" s="5"/>
      <c r="R279" s="5"/>
      <c r="S279" s="13"/>
      <c r="T279" s="21">
        <v>43</v>
      </c>
      <c r="U279" s="21">
        <v>17</v>
      </c>
      <c r="V279" s="21">
        <v>40</v>
      </c>
      <c r="W279" s="4">
        <v>8</v>
      </c>
      <c r="X279" s="5" t="s">
        <v>91</v>
      </c>
      <c r="Y279" s="5" t="s">
        <v>82</v>
      </c>
      <c r="Z279" s="4">
        <v>4</v>
      </c>
      <c r="AA279" s="4">
        <v>4</v>
      </c>
      <c r="AB279" s="9">
        <v>0.0258335280226383</v>
      </c>
      <c r="AC279" s="9">
        <v>0.000192271262992729</v>
      </c>
      <c r="AD279" s="9">
        <v>-0.185083989489865</v>
      </c>
      <c r="AE279" s="9">
        <v>0.00400086710213743</v>
      </c>
      <c r="AF279" s="9">
        <v>-0.210917517512502</v>
      </c>
      <c r="AG279" s="9">
        <v>0.00419313836513016</v>
      </c>
      <c r="AH279" s="9">
        <v>0.285744355582502</v>
      </c>
      <c r="AI279" s="9">
        <v>0.0668256405503787</v>
      </c>
      <c r="AJ279" s="4">
        <v>-0.259910827559861</v>
      </c>
      <c r="AK279" s="4">
        <v>0.0670179118133712</v>
      </c>
      <c r="AL279" s="4">
        <v>-0.470828345072368</v>
      </c>
      <c r="AM279" s="4">
        <v>0.0708265076525163</v>
      </c>
      <c r="AN279" s="4">
        <v>-0.00225479238708932</v>
      </c>
      <c r="AO279" s="4">
        <v>0.000660566657761273</v>
      </c>
      <c r="AP279" s="4"/>
      <c r="AQ279" s="4"/>
      <c r="AR279" s="4"/>
      <c r="AS279" s="4"/>
      <c r="AT279" s="4"/>
      <c r="AU279" s="4"/>
      <c r="AV279" s="4"/>
      <c r="AW279" s="4"/>
      <c r="AX279" s="4">
        <v>-0.0948892157905352</v>
      </c>
      <c r="AY279" s="4">
        <v>0.0212978052131909</v>
      </c>
      <c r="BF279" s="4">
        <v>0.169076330043934</v>
      </c>
      <c r="BG279" s="4">
        <v>0.631267398515783</v>
      </c>
      <c r="BH279" s="4">
        <v>0.139761942375159</v>
      </c>
      <c r="BI279" s="4">
        <v>0.115127599243856</v>
      </c>
    </row>
    <row r="280" s="3" customFormat="1" spans="1:63">
      <c r="A280" s="4">
        <v>279</v>
      </c>
      <c r="B280" s="6">
        <v>48</v>
      </c>
      <c r="C280" s="24" t="s">
        <v>252</v>
      </c>
      <c r="D280" s="13" t="s">
        <v>253</v>
      </c>
      <c r="E280" s="3">
        <v>25.4025</v>
      </c>
      <c r="F280" s="3">
        <v>101.471666666667</v>
      </c>
      <c r="G280" s="26">
        <v>16</v>
      </c>
      <c r="H280" s="27">
        <v>846</v>
      </c>
      <c r="I280" s="3"/>
      <c r="J280" s="13" t="s">
        <v>254</v>
      </c>
      <c r="K280" s="5" t="s">
        <v>182</v>
      </c>
      <c r="L280" s="3">
        <v>2019</v>
      </c>
      <c r="M280" s="3"/>
      <c r="N280" s="3"/>
      <c r="O280" s="36" t="s">
        <v>80</v>
      </c>
      <c r="P280" s="7">
        <v>4.18</v>
      </c>
      <c r="Q280" s="3">
        <v>19.2705</v>
      </c>
      <c r="R280" s="3">
        <v>0.43</v>
      </c>
      <c r="S280" s="13">
        <v>44.8151162790698</v>
      </c>
      <c r="T280" s="8">
        <v>34.37</v>
      </c>
      <c r="U280" s="21">
        <v>36</v>
      </c>
      <c r="V280" s="21">
        <v>44</v>
      </c>
      <c r="W280" s="3">
        <v>30</v>
      </c>
      <c r="X280" s="5" t="s">
        <v>91</v>
      </c>
      <c r="Y280" s="13" t="s">
        <v>82</v>
      </c>
      <c r="Z280" s="3">
        <v>9</v>
      </c>
      <c r="AA280" s="3">
        <v>9</v>
      </c>
      <c r="AB280" s="9">
        <v>-0.525363064096116</v>
      </c>
      <c r="AC280" s="9">
        <v>8.54538946634349e-5</v>
      </c>
      <c r="AD280" s="25">
        <v>-0.547954099361851</v>
      </c>
      <c r="AE280" s="25">
        <v>0.00177816315650552</v>
      </c>
      <c r="AF280" s="9">
        <v>-0.0225910352657331</v>
      </c>
      <c r="AG280" s="9">
        <v>0.00186361705116896</v>
      </c>
      <c r="AH280" s="25">
        <v>-0.837186126870044</v>
      </c>
      <c r="AI280" s="25">
        <v>0.00231385071035217</v>
      </c>
      <c r="AJ280" s="4">
        <v>0.311823062773928</v>
      </c>
      <c r="AK280" s="4">
        <v>0.0023993046050156</v>
      </c>
      <c r="AL280" s="3">
        <v>0.289232027508194</v>
      </c>
      <c r="AM280" s="3">
        <v>0.0040920138668577</v>
      </c>
      <c r="AN280" s="4">
        <v>0.110847825144141</v>
      </c>
      <c r="AO280" s="4">
        <v>0.000125405797348849</v>
      </c>
      <c r="AP280" s="3">
        <v>-0.870828357797398</v>
      </c>
      <c r="AQ280" s="3">
        <v>0.00478541769404484</v>
      </c>
      <c r="AR280" s="4">
        <v>0.331357135954442</v>
      </c>
      <c r="AS280" s="4">
        <v>0.00136347877516707</v>
      </c>
      <c r="AT280" s="3">
        <v>-1.18045131716158</v>
      </c>
      <c r="AU280" s="3">
        <v>0.00175344471287058</v>
      </c>
      <c r="AV280" s="4"/>
      <c r="AW280" s="4"/>
      <c r="AX280" s="3">
        <v>0.0668086696721101</v>
      </c>
      <c r="AY280" s="3">
        <v>0.021297805213191</v>
      </c>
      <c r="BJ280" s="3">
        <v>0.155414103874031</v>
      </c>
      <c r="BK280" s="3">
        <v>0.00274348422496572</v>
      </c>
    </row>
    <row r="281" s="3" customFormat="1" spans="1:63">
      <c r="A281" s="4">
        <v>280</v>
      </c>
      <c r="B281" s="6">
        <v>48</v>
      </c>
      <c r="C281" s="24" t="s">
        <v>252</v>
      </c>
      <c r="D281" s="13" t="s">
        <v>253</v>
      </c>
      <c r="E281" s="3">
        <v>25.4025</v>
      </c>
      <c r="F281" s="3">
        <v>101.471666666667</v>
      </c>
      <c r="G281" s="26">
        <v>16</v>
      </c>
      <c r="H281" s="27">
        <v>846</v>
      </c>
      <c r="I281" s="3"/>
      <c r="J281" s="13" t="s">
        <v>254</v>
      </c>
      <c r="K281" s="5" t="s">
        <v>182</v>
      </c>
      <c r="L281" s="3">
        <v>2019</v>
      </c>
      <c r="M281" s="3"/>
      <c r="N281" s="3"/>
      <c r="O281" s="28" t="s">
        <v>136</v>
      </c>
      <c r="P281" s="7">
        <v>4.17</v>
      </c>
      <c r="Q281" s="3">
        <v>14.3941</v>
      </c>
      <c r="R281" s="3">
        <v>0.36</v>
      </c>
      <c r="S281" s="13">
        <v>39.9836111111111</v>
      </c>
      <c r="T281" s="8">
        <v>32.65</v>
      </c>
      <c r="U281" s="21">
        <v>36</v>
      </c>
      <c r="V281" s="21">
        <v>44</v>
      </c>
      <c r="W281" s="3">
        <v>30</v>
      </c>
      <c r="X281" s="5" t="s">
        <v>91</v>
      </c>
      <c r="Y281" s="13" t="s">
        <v>82</v>
      </c>
      <c r="Z281" s="3">
        <v>9</v>
      </c>
      <c r="AA281" s="3">
        <v>9</v>
      </c>
      <c r="AB281" s="9">
        <v>-0.538998662387737</v>
      </c>
      <c r="AC281" s="9">
        <v>8.5453894663435e-5</v>
      </c>
      <c r="AD281" s="25">
        <v>-0.3266529621568</v>
      </c>
      <c r="AE281" s="25">
        <v>0.00177816315650552</v>
      </c>
      <c r="AF281" s="9">
        <v>0.212345700230937</v>
      </c>
      <c r="AG281" s="9">
        <v>0.00186361705116895</v>
      </c>
      <c r="AH281" s="25">
        <v>-0.618454814291674</v>
      </c>
      <c r="AI281" s="25">
        <v>0.00231385071035216</v>
      </c>
      <c r="AJ281" s="4">
        <v>0.0794561519039385</v>
      </c>
      <c r="AK281" s="4">
        <v>0.0023993046050156</v>
      </c>
      <c r="AL281" s="3">
        <v>0.291801852134876</v>
      </c>
      <c r="AM281" s="3">
        <v>0.00409201386685767</v>
      </c>
      <c r="AN281" s="4">
        <v>0.115382074118845</v>
      </c>
      <c r="AO281" s="4">
        <v>0.000125405797348849</v>
      </c>
      <c r="AP281" s="3">
        <v>-0.8754687373539</v>
      </c>
      <c r="AQ281" s="3">
        <v>0.00478541769404483</v>
      </c>
      <c r="AR281" s="4">
        <v>0.631271776841858</v>
      </c>
      <c r="AS281" s="4">
        <v>0.00136347877516706</v>
      </c>
      <c r="AT281" s="3">
        <v>-0.50809485553074</v>
      </c>
      <c r="AU281" s="3">
        <v>0.00175344471287059</v>
      </c>
      <c r="AV281" s="4"/>
      <c r="AW281" s="4"/>
      <c r="AX281" s="3">
        <v>-0.044759835328398</v>
      </c>
      <c r="AY281" s="3">
        <v>0.021297805213191</v>
      </c>
      <c r="BJ281" s="3">
        <v>0.155350440019162</v>
      </c>
      <c r="BK281" s="3">
        <v>0.00274348422496569</v>
      </c>
    </row>
    <row r="282" s="3" customFormat="1" spans="1:63">
      <c r="A282" s="4">
        <v>281</v>
      </c>
      <c r="B282" s="6">
        <v>48</v>
      </c>
      <c r="C282" s="24" t="s">
        <v>252</v>
      </c>
      <c r="D282" s="13" t="s">
        <v>253</v>
      </c>
      <c r="E282" s="3">
        <v>25.4025</v>
      </c>
      <c r="F282" s="3">
        <v>101.471666666667</v>
      </c>
      <c r="G282" s="26">
        <v>16</v>
      </c>
      <c r="H282" s="27">
        <v>846</v>
      </c>
      <c r="I282" s="3"/>
      <c r="J282" s="13" t="s">
        <v>254</v>
      </c>
      <c r="K282" s="5" t="s">
        <v>182</v>
      </c>
      <c r="L282" s="3">
        <v>2019</v>
      </c>
      <c r="M282" s="3"/>
      <c r="N282" s="3"/>
      <c r="O282" s="28" t="s">
        <v>136</v>
      </c>
      <c r="P282" s="7">
        <v>4.06</v>
      </c>
      <c r="Q282" s="3">
        <v>12.1028</v>
      </c>
      <c r="R282" s="3">
        <v>0.24</v>
      </c>
      <c r="S282" s="13">
        <v>50.4283333333333</v>
      </c>
      <c r="T282" s="8">
        <v>33.08</v>
      </c>
      <c r="U282" s="21">
        <v>36</v>
      </c>
      <c r="V282" s="21">
        <v>44</v>
      </c>
      <c r="W282" s="3">
        <v>30</v>
      </c>
      <c r="X282" s="5" t="s">
        <v>91</v>
      </c>
      <c r="Y282" s="13" t="s">
        <v>82</v>
      </c>
      <c r="Z282" s="3">
        <v>9</v>
      </c>
      <c r="AA282" s="3">
        <v>9</v>
      </c>
      <c r="AB282" s="9">
        <v>-0.0769586821615273</v>
      </c>
      <c r="AC282" s="9">
        <v>8.54538946634351e-5</v>
      </c>
      <c r="AD282" s="25">
        <v>0.00682945589607808</v>
      </c>
      <c r="AE282" s="25">
        <v>0.00177816315650553</v>
      </c>
      <c r="AF282" s="9">
        <v>0.0837881380576057</v>
      </c>
      <c r="AG282" s="9">
        <v>0.00186361705116896</v>
      </c>
      <c r="AH282" s="25">
        <v>-0.544558234794564</v>
      </c>
      <c r="AI282" s="25">
        <v>0.00231385071035216</v>
      </c>
      <c r="AJ282" s="4">
        <v>0.467599552633036</v>
      </c>
      <c r="AK282" s="4">
        <v>0.00239930460501559</v>
      </c>
      <c r="AL282" s="3">
        <v>0.551387690690642</v>
      </c>
      <c r="AM282" s="3">
        <v>0.00409201386685768</v>
      </c>
      <c r="AN282" s="4">
        <v>0.148504934414685</v>
      </c>
      <c r="AO282" s="4">
        <v>0.000125405797348848</v>
      </c>
      <c r="AP282" s="3">
        <v>-0.344840486291729</v>
      </c>
      <c r="AQ282" s="3">
        <v>0.00478541769404482</v>
      </c>
      <c r="AR282" s="4">
        <v>0.714653385780909</v>
      </c>
      <c r="AS282" s="4">
        <v>0.00136347877516706</v>
      </c>
      <c r="AT282" s="3">
        <v>-0.774457400662126</v>
      </c>
      <c r="AU282" s="3">
        <v>0.00175344471287058</v>
      </c>
      <c r="AV282" s="4"/>
      <c r="AW282" s="4"/>
      <c r="AX282" s="3">
        <v>0.140088793170674</v>
      </c>
      <c r="AY282" s="3">
        <v>0.021297805213191</v>
      </c>
      <c r="BJ282" s="3">
        <v>0.165792254842744</v>
      </c>
      <c r="BK282" s="3">
        <v>0.00274348422496572</v>
      </c>
    </row>
    <row r="283" s="3" customFormat="1" spans="1:63">
      <c r="A283" s="4">
        <v>282</v>
      </c>
      <c r="B283" s="6">
        <v>48</v>
      </c>
      <c r="C283" s="24" t="s">
        <v>252</v>
      </c>
      <c r="D283" s="13" t="s">
        <v>253</v>
      </c>
      <c r="E283" s="3">
        <v>25.4025</v>
      </c>
      <c r="F283" s="3">
        <v>101.471666666667</v>
      </c>
      <c r="G283" s="26">
        <v>16</v>
      </c>
      <c r="H283" s="27">
        <v>846</v>
      </c>
      <c r="I283" s="3"/>
      <c r="J283" s="13" t="s">
        <v>254</v>
      </c>
      <c r="K283" s="5" t="s">
        <v>182</v>
      </c>
      <c r="L283" s="3">
        <v>2019</v>
      </c>
      <c r="M283" s="3"/>
      <c r="N283" s="3"/>
      <c r="O283" s="28" t="s">
        <v>136</v>
      </c>
      <c r="P283" s="7">
        <v>4.06</v>
      </c>
      <c r="Q283" s="3">
        <v>8.04896</v>
      </c>
      <c r="R283" s="3">
        <v>0.25</v>
      </c>
      <c r="S283" s="13">
        <v>32.19584</v>
      </c>
      <c r="T283" s="8">
        <v>32.05</v>
      </c>
      <c r="U283" s="21">
        <v>36</v>
      </c>
      <c r="V283" s="21">
        <v>44</v>
      </c>
      <c r="W283" s="3">
        <v>30</v>
      </c>
      <c r="X283" s="5" t="s">
        <v>91</v>
      </c>
      <c r="Y283" s="13" t="s">
        <v>82</v>
      </c>
      <c r="Z283" s="3">
        <v>9</v>
      </c>
      <c r="AA283" s="3">
        <v>9</v>
      </c>
      <c r="AB283" s="9">
        <v>0.0717036031332504</v>
      </c>
      <c r="AC283" s="9">
        <v>8.5453894663435e-5</v>
      </c>
      <c r="AD283" s="25">
        <v>0.0721751039946429</v>
      </c>
      <c r="AE283" s="25">
        <v>0.00177816315650553</v>
      </c>
      <c r="AF283" s="9">
        <v>0.000471500861391136</v>
      </c>
      <c r="AG283" s="9">
        <v>0.00186361705116896</v>
      </c>
      <c r="AH283" s="25">
        <v>-0.4832303030463</v>
      </c>
      <c r="AI283" s="25">
        <v>0.00231385071035217</v>
      </c>
      <c r="AJ283" s="4">
        <v>0.554933906179551</v>
      </c>
      <c r="AK283" s="4">
        <v>0.0023993046050156</v>
      </c>
      <c r="AL283" s="3">
        <v>0.555405407040941</v>
      </c>
      <c r="AM283" s="3">
        <v>0.00409201386685771</v>
      </c>
      <c r="AN283" s="4">
        <v>0.131373894484502</v>
      </c>
      <c r="AO283" s="4">
        <v>0.000125405797348848</v>
      </c>
      <c r="AP283" s="3">
        <v>-0.385662480811985</v>
      </c>
      <c r="AQ283" s="3">
        <v>0.00478541769404483</v>
      </c>
      <c r="AR283" s="4">
        <v>0.905708622543618</v>
      </c>
      <c r="AS283" s="4">
        <v>0.00136347877516706</v>
      </c>
      <c r="AT283" s="3">
        <v>-0.614488195619241</v>
      </c>
      <c r="AU283" s="3">
        <v>0.00175344471287059</v>
      </c>
      <c r="AV283" s="4"/>
      <c r="AW283" s="4"/>
      <c r="AX283" s="3">
        <v>-0.0506100008864188</v>
      </c>
      <c r="AY283" s="3">
        <v>0.021297805213191</v>
      </c>
      <c r="BJ283" s="3">
        <v>0.183612712557574</v>
      </c>
      <c r="BK283" s="3">
        <v>0.0027434842249657</v>
      </c>
    </row>
    <row r="284" s="3" customFormat="1" spans="1:63">
      <c r="A284" s="4">
        <v>283</v>
      </c>
      <c r="B284" s="6">
        <v>48</v>
      </c>
      <c r="C284" s="24" t="s">
        <v>252</v>
      </c>
      <c r="D284" s="13" t="s">
        <v>253</v>
      </c>
      <c r="E284" s="3">
        <v>25.4025</v>
      </c>
      <c r="F284" s="3">
        <v>101.471666666667</v>
      </c>
      <c r="G284" s="26">
        <v>16</v>
      </c>
      <c r="H284" s="27">
        <v>846</v>
      </c>
      <c r="I284" s="3"/>
      <c r="J284" s="13" t="s">
        <v>188</v>
      </c>
      <c r="K284" s="5" t="s">
        <v>182</v>
      </c>
      <c r="L284" s="3">
        <v>2019</v>
      </c>
      <c r="M284" s="3"/>
      <c r="N284" s="3"/>
      <c r="O284" s="36" t="s">
        <v>80</v>
      </c>
      <c r="P284" s="7">
        <v>4.18</v>
      </c>
      <c r="Q284" s="3">
        <v>19.2705</v>
      </c>
      <c r="R284" s="3">
        <v>0.43</v>
      </c>
      <c r="S284" s="13">
        <v>44.8151162790698</v>
      </c>
      <c r="T284" s="8">
        <v>34.37</v>
      </c>
      <c r="U284" s="21">
        <v>36</v>
      </c>
      <c r="V284" s="21">
        <v>44</v>
      </c>
      <c r="W284" s="3">
        <v>30</v>
      </c>
      <c r="X284" s="5" t="s">
        <v>91</v>
      </c>
      <c r="Y284" s="13" t="s">
        <v>82</v>
      </c>
      <c r="Z284" s="3">
        <v>9</v>
      </c>
      <c r="AA284" s="3">
        <v>9</v>
      </c>
      <c r="AB284" s="9">
        <v>-0.288032679600876</v>
      </c>
      <c r="AC284" s="9">
        <v>8.54538946634349e-5</v>
      </c>
      <c r="AD284" s="25">
        <v>-0.296474353448171</v>
      </c>
      <c r="AE284" s="25">
        <v>0.00177816315650552</v>
      </c>
      <c r="AF284" s="9">
        <v>-0.00844167384729507</v>
      </c>
      <c r="AG284" s="9">
        <v>0.00186361705116897</v>
      </c>
      <c r="AH284" s="25">
        <v>-0.611227317690076</v>
      </c>
      <c r="AI284" s="25">
        <v>0.00231385071035217</v>
      </c>
      <c r="AJ284" s="4">
        <v>0.323194638089197</v>
      </c>
      <c r="AK284" s="4">
        <v>0.0023993046050156</v>
      </c>
      <c r="AL284" s="3">
        <v>0.314752964241906</v>
      </c>
      <c r="AM284" s="3">
        <v>0.00409201386685767</v>
      </c>
      <c r="AN284" s="4">
        <v>0.0913877515894287</v>
      </c>
      <c r="AO284" s="4">
        <v>0.000125405797348849</v>
      </c>
      <c r="AP284" s="3">
        <v>-0.870828357797398</v>
      </c>
      <c r="AQ284" s="3">
        <v>0.00478541769404484</v>
      </c>
      <c r="AR284" s="4">
        <v>-0.387765531008764</v>
      </c>
      <c r="AS284" s="4">
        <v>0.00136347877516707</v>
      </c>
      <c r="AT284" s="3">
        <v>-0.884890223567602</v>
      </c>
      <c r="AU284" s="3">
        <v>0.00175344471287058</v>
      </c>
      <c r="AV284" s="4"/>
      <c r="AW284" s="4"/>
      <c r="AX284" s="3"/>
      <c r="AY284" s="3"/>
      <c r="BJ284" s="3">
        <v>0.170451981238571</v>
      </c>
      <c r="BK284" s="3">
        <v>0.00274348422496572</v>
      </c>
    </row>
    <row r="285" s="3" customFormat="1" spans="1:63">
      <c r="A285" s="4">
        <v>284</v>
      </c>
      <c r="B285" s="6">
        <v>48</v>
      </c>
      <c r="C285" s="24" t="s">
        <v>252</v>
      </c>
      <c r="D285" s="13" t="s">
        <v>253</v>
      </c>
      <c r="E285" s="3">
        <v>25.4025</v>
      </c>
      <c r="F285" s="3">
        <v>101.471666666667</v>
      </c>
      <c r="G285" s="26">
        <v>16</v>
      </c>
      <c r="H285" s="27">
        <v>846</v>
      </c>
      <c r="I285" s="3"/>
      <c r="J285" s="13" t="s">
        <v>188</v>
      </c>
      <c r="K285" s="5" t="s">
        <v>182</v>
      </c>
      <c r="L285" s="3">
        <v>2019</v>
      </c>
      <c r="M285" s="3"/>
      <c r="N285" s="3"/>
      <c r="O285" s="28" t="s">
        <v>136</v>
      </c>
      <c r="P285" s="7">
        <v>4.17</v>
      </c>
      <c r="Q285" s="3">
        <v>14.3941</v>
      </c>
      <c r="R285" s="3">
        <v>0.36</v>
      </c>
      <c r="S285" s="13">
        <v>39.9836111111111</v>
      </c>
      <c r="T285" s="8">
        <v>32.65</v>
      </c>
      <c r="U285" s="21">
        <v>36</v>
      </c>
      <c r="V285" s="21">
        <v>44</v>
      </c>
      <c r="W285" s="3">
        <v>30</v>
      </c>
      <c r="X285" s="5" t="s">
        <v>91</v>
      </c>
      <c r="Y285" s="13" t="s">
        <v>82</v>
      </c>
      <c r="Z285" s="3">
        <v>9</v>
      </c>
      <c r="AA285" s="3">
        <v>9</v>
      </c>
      <c r="AB285" s="9">
        <v>-0.475280286040601</v>
      </c>
      <c r="AC285" s="9">
        <v>8.54538946634351e-5</v>
      </c>
      <c r="AD285" s="25">
        <v>-0.223507713548634</v>
      </c>
      <c r="AE285" s="25">
        <v>0.00177816315650552</v>
      </c>
      <c r="AF285" s="9">
        <v>0.251772572491966</v>
      </c>
      <c r="AG285" s="9">
        <v>0.00186361705116896</v>
      </c>
      <c r="AH285" s="25">
        <v>-0.689071878302868</v>
      </c>
      <c r="AI285" s="25">
        <v>0.00231385071035216</v>
      </c>
      <c r="AJ285" s="4">
        <v>0.213791592262267</v>
      </c>
      <c r="AK285" s="4">
        <v>0.0023993046050156</v>
      </c>
      <c r="AL285" s="3">
        <v>0.465564164754234</v>
      </c>
      <c r="AM285" s="3">
        <v>0.00409201386685767</v>
      </c>
      <c r="AN285" s="4">
        <v>0.0828059036842327</v>
      </c>
      <c r="AO285" s="4">
        <v>0.000125405797348848</v>
      </c>
      <c r="AP285" s="3">
        <v>-1.50407739677627</v>
      </c>
      <c r="AQ285" s="3">
        <v>0.00478541769404482</v>
      </c>
      <c r="AR285" s="4">
        <v>-0.27443684570176</v>
      </c>
      <c r="AS285" s="4">
        <v>0.00136347877516706</v>
      </c>
      <c r="AT285" s="3">
        <v>-0.465210519967165</v>
      </c>
      <c r="AU285" s="3">
        <v>0.00175344471287059</v>
      </c>
      <c r="AV285" s="4"/>
      <c r="AW285" s="4"/>
      <c r="AX285" s="3"/>
      <c r="AY285" s="3"/>
      <c r="BJ285" s="3">
        <v>0.169636397266639</v>
      </c>
      <c r="BK285" s="3">
        <v>0.00274348422496571</v>
      </c>
    </row>
    <row r="286" s="3" customFormat="1" spans="1:63">
      <c r="A286" s="4">
        <v>285</v>
      </c>
      <c r="B286" s="6">
        <v>48</v>
      </c>
      <c r="C286" s="24" t="s">
        <v>252</v>
      </c>
      <c r="D286" s="13" t="s">
        <v>253</v>
      </c>
      <c r="E286" s="3">
        <v>25.4025</v>
      </c>
      <c r="F286" s="3">
        <v>101.471666666667</v>
      </c>
      <c r="G286" s="26">
        <v>16</v>
      </c>
      <c r="H286" s="27">
        <v>846</v>
      </c>
      <c r="I286" s="3"/>
      <c r="J286" s="13" t="s">
        <v>188</v>
      </c>
      <c r="K286" s="5" t="s">
        <v>182</v>
      </c>
      <c r="L286" s="3">
        <v>2019</v>
      </c>
      <c r="M286" s="3"/>
      <c r="N286" s="3"/>
      <c r="O286" s="28" t="s">
        <v>136</v>
      </c>
      <c r="P286" s="7">
        <v>4.06</v>
      </c>
      <c r="Q286" s="3">
        <v>12.1028</v>
      </c>
      <c r="R286" s="3">
        <v>0.24</v>
      </c>
      <c r="S286" s="13">
        <v>50.4283333333333</v>
      </c>
      <c r="T286" s="8">
        <v>33.08</v>
      </c>
      <c r="U286" s="21">
        <v>36</v>
      </c>
      <c r="V286" s="21">
        <v>44</v>
      </c>
      <c r="W286" s="3">
        <v>30</v>
      </c>
      <c r="X286" s="5" t="s">
        <v>91</v>
      </c>
      <c r="Y286" s="13" t="s">
        <v>82</v>
      </c>
      <c r="Z286" s="3">
        <v>9</v>
      </c>
      <c r="AA286" s="3">
        <v>9</v>
      </c>
      <c r="AB286" s="9">
        <v>-0.329374682797847</v>
      </c>
      <c r="AC286" s="9">
        <v>8.54538946634351e-5</v>
      </c>
      <c r="AD286" s="25">
        <v>-0.274257486768386</v>
      </c>
      <c r="AE286" s="25">
        <v>0.00177816315650553</v>
      </c>
      <c r="AF286" s="9">
        <v>0.0551171960294624</v>
      </c>
      <c r="AG286" s="9">
        <v>0.00186361705116896</v>
      </c>
      <c r="AH286" s="25">
        <v>-0.789913124170834</v>
      </c>
      <c r="AI286" s="25">
        <v>0.00231385071035216</v>
      </c>
      <c r="AJ286" s="4">
        <v>0.460538441372985</v>
      </c>
      <c r="AK286" s="4">
        <v>0.00239930460501559</v>
      </c>
      <c r="AL286" s="3">
        <v>0.515655637402447</v>
      </c>
      <c r="AM286" s="3">
        <v>0.00409201386685768</v>
      </c>
      <c r="AN286" s="4">
        <v>0.102894423162633</v>
      </c>
      <c r="AO286" s="4">
        <v>0.000125405797348848</v>
      </c>
      <c r="AP286" s="3">
        <v>-0.613104472886409</v>
      </c>
      <c r="AQ286" s="3">
        <v>0.00478541769404482</v>
      </c>
      <c r="AR286" s="4">
        <v>-0.191055236762709</v>
      </c>
      <c r="AS286" s="4">
        <v>0.00136347877516706</v>
      </c>
      <c r="AT286" s="3">
        <v>-0.674659561752443</v>
      </c>
      <c r="AU286" s="3">
        <v>0.00175344471287059</v>
      </c>
      <c r="AV286" s="4"/>
      <c r="AW286" s="4"/>
      <c r="AX286" s="3">
        <v>0.0336422309273515</v>
      </c>
      <c r="AY286" s="3">
        <v>0.00709926840439701</v>
      </c>
      <c r="BJ286" s="3">
        <v>0.193191229030859</v>
      </c>
      <c r="BK286" s="3">
        <v>0.00274348422496571</v>
      </c>
    </row>
    <row r="287" s="3" customFormat="1" spans="1:63">
      <c r="A287" s="4">
        <v>286</v>
      </c>
      <c r="B287" s="6">
        <v>48</v>
      </c>
      <c r="C287" s="24" t="s">
        <v>252</v>
      </c>
      <c r="D287" s="13" t="s">
        <v>253</v>
      </c>
      <c r="E287" s="3">
        <v>25.4025</v>
      </c>
      <c r="F287" s="3">
        <v>101.471666666667</v>
      </c>
      <c r="G287" s="26">
        <v>16</v>
      </c>
      <c r="H287" s="27">
        <v>846</v>
      </c>
      <c r="I287" s="3"/>
      <c r="J287" s="13" t="s">
        <v>188</v>
      </c>
      <c r="K287" s="5" t="s">
        <v>182</v>
      </c>
      <c r="L287" s="3">
        <v>2019</v>
      </c>
      <c r="M287" s="3"/>
      <c r="N287" s="3"/>
      <c r="O287" s="28" t="s">
        <v>136</v>
      </c>
      <c r="P287" s="7">
        <v>4.06</v>
      </c>
      <c r="Q287" s="3">
        <v>8.04896</v>
      </c>
      <c r="R287" s="3">
        <v>0.25</v>
      </c>
      <c r="S287" s="13">
        <v>32.19584</v>
      </c>
      <c r="T287" s="8">
        <v>32.05</v>
      </c>
      <c r="U287" s="21">
        <v>36</v>
      </c>
      <c r="V287" s="21">
        <v>44</v>
      </c>
      <c r="W287" s="3">
        <v>30</v>
      </c>
      <c r="X287" s="5" t="s">
        <v>91</v>
      </c>
      <c r="Y287" s="13" t="s">
        <v>82</v>
      </c>
      <c r="Z287" s="3">
        <v>9</v>
      </c>
      <c r="AA287" s="3">
        <v>9</v>
      </c>
      <c r="AB287" s="9">
        <v>-0.227578329306507</v>
      </c>
      <c r="AC287" s="9">
        <v>8.54538946634351e-5</v>
      </c>
      <c r="AD287" s="25">
        <v>-0.136407250993035</v>
      </c>
      <c r="AE287" s="25">
        <v>0.00177816315650553</v>
      </c>
      <c r="AF287" s="9">
        <v>0.0911710783134704</v>
      </c>
      <c r="AG287" s="9">
        <v>0.00186361705116897</v>
      </c>
      <c r="AH287" s="25">
        <v>-0.693147180559945</v>
      </c>
      <c r="AI287" s="25">
        <v>0.00231385071035217</v>
      </c>
      <c r="AJ287" s="4">
        <v>0.465568851253439</v>
      </c>
      <c r="AK287" s="4">
        <v>0.00239930460501561</v>
      </c>
      <c r="AL287" s="3">
        <v>0.556739929566912</v>
      </c>
      <c r="AM287" s="3">
        <v>0.00409201386685769</v>
      </c>
      <c r="AN287" s="4">
        <v>0.0894714028304923</v>
      </c>
      <c r="AO287" s="4">
        <v>0.000125405797348848</v>
      </c>
      <c r="AP287" s="3">
        <v>-1.42711635564015</v>
      </c>
      <c r="AQ287" s="3">
        <v>0.00478541769404483</v>
      </c>
      <c r="AR287" s="4">
        <v>0.0512932943875505</v>
      </c>
      <c r="AS287" s="4">
        <v>0.00136347877516706</v>
      </c>
      <c r="AT287" s="3">
        <v>-0.534728956239534</v>
      </c>
      <c r="AU287" s="3">
        <v>0.00175344471287058</v>
      </c>
      <c r="AV287" s="4"/>
      <c r="AW287" s="4"/>
      <c r="AX287" s="3">
        <v>0.257013923062225</v>
      </c>
      <c r="AY287" s="3">
        <v>0.00709926840439699</v>
      </c>
      <c r="BJ287" s="3">
        <v>0.170625517030763</v>
      </c>
      <c r="BK287" s="3">
        <v>0.0027434842249657</v>
      </c>
    </row>
    <row r="288" s="3" customFormat="1" spans="1:63">
      <c r="A288" s="4">
        <v>287</v>
      </c>
      <c r="B288" s="6">
        <v>48</v>
      </c>
      <c r="C288" s="24" t="s">
        <v>252</v>
      </c>
      <c r="D288" s="13" t="s">
        <v>253</v>
      </c>
      <c r="E288" s="3">
        <v>25.4025</v>
      </c>
      <c r="F288" s="3">
        <v>101.471666666667</v>
      </c>
      <c r="G288" s="26">
        <v>16</v>
      </c>
      <c r="H288" s="27">
        <v>846</v>
      </c>
      <c r="I288" s="3"/>
      <c r="J288" s="13" t="s">
        <v>188</v>
      </c>
      <c r="K288" s="5" t="s">
        <v>182</v>
      </c>
      <c r="L288" s="3">
        <v>2019</v>
      </c>
      <c r="M288" s="3"/>
      <c r="N288" s="3"/>
      <c r="O288" s="36" t="s">
        <v>80</v>
      </c>
      <c r="P288" s="7">
        <v>4.18</v>
      </c>
      <c r="Q288" s="3">
        <v>19.2705</v>
      </c>
      <c r="R288" s="3">
        <v>0.43</v>
      </c>
      <c r="S288" s="13">
        <v>44.8151162790698</v>
      </c>
      <c r="T288" s="8">
        <v>34.37</v>
      </c>
      <c r="U288" s="21">
        <v>36</v>
      </c>
      <c r="V288" s="21">
        <v>44</v>
      </c>
      <c r="W288" s="3">
        <v>30</v>
      </c>
      <c r="X288" s="5" t="s">
        <v>91</v>
      </c>
      <c r="Y288" s="13" t="s">
        <v>82</v>
      </c>
      <c r="Z288" s="3">
        <v>9</v>
      </c>
      <c r="AA288" s="3">
        <v>9</v>
      </c>
      <c r="AB288" s="9">
        <v>-0.20690709271795</v>
      </c>
      <c r="AC288" s="9">
        <v>8.5453894663435e-5</v>
      </c>
      <c r="AD288" s="25">
        <v>-0.200478147083776</v>
      </c>
      <c r="AE288" s="25">
        <v>0.00177816315650552</v>
      </c>
      <c r="AF288" s="9">
        <v>0.00642894563417509</v>
      </c>
      <c r="AG288" s="9">
        <v>0.00186361705116896</v>
      </c>
      <c r="AH288" s="25">
        <v>-0.504746734940498</v>
      </c>
      <c r="AI288" s="25">
        <v>0.00231385071035218</v>
      </c>
      <c r="AJ288" s="4">
        <v>0.297839642222545</v>
      </c>
      <c r="AK288" s="4">
        <v>0.00239930460501561</v>
      </c>
      <c r="AL288" s="3">
        <v>0.304268587856721</v>
      </c>
      <c r="AM288" s="3">
        <v>0.00409201386685771</v>
      </c>
      <c r="AN288" s="4">
        <v>0.0737661502396093</v>
      </c>
      <c r="AO288" s="4">
        <v>0.000125405797348849</v>
      </c>
      <c r="AP288" s="3">
        <v>-1.1221427860783</v>
      </c>
      <c r="AQ288" s="3">
        <v>0.00478541769404484</v>
      </c>
      <c r="AR288" s="4">
        <v>0.0689928714869514</v>
      </c>
      <c r="AS288" s="4">
        <v>0.00136347877516707</v>
      </c>
      <c r="AT288" s="3">
        <v>-0.5900721048742</v>
      </c>
      <c r="AU288" s="3">
        <v>0.00175344471287057</v>
      </c>
      <c r="AV288" s="4"/>
      <c r="AW288" s="4"/>
      <c r="AX288" s="3">
        <v>-0.199717748502833</v>
      </c>
      <c r="AY288" s="3">
        <v>0.00709926840439697</v>
      </c>
      <c r="BJ288" s="3">
        <v>0.0766332260209161</v>
      </c>
      <c r="BK288" s="3">
        <v>0.00274348422496573</v>
      </c>
    </row>
    <row r="289" s="3" customFormat="1" spans="1:63">
      <c r="A289" s="4">
        <v>288</v>
      </c>
      <c r="B289" s="6">
        <v>48</v>
      </c>
      <c r="C289" s="24" t="s">
        <v>252</v>
      </c>
      <c r="D289" s="13" t="s">
        <v>253</v>
      </c>
      <c r="E289" s="3">
        <v>25.4025</v>
      </c>
      <c r="F289" s="3">
        <v>101.471666666667</v>
      </c>
      <c r="G289" s="26">
        <v>16</v>
      </c>
      <c r="H289" s="27">
        <v>846</v>
      </c>
      <c r="I289" s="3"/>
      <c r="J289" s="13" t="s">
        <v>188</v>
      </c>
      <c r="K289" s="5" t="s">
        <v>182</v>
      </c>
      <c r="L289" s="3">
        <v>2019</v>
      </c>
      <c r="M289" s="3"/>
      <c r="N289" s="3"/>
      <c r="O289" s="28" t="s">
        <v>136</v>
      </c>
      <c r="P289" s="7">
        <v>4.17</v>
      </c>
      <c r="Q289" s="3">
        <v>14.3941</v>
      </c>
      <c r="R289" s="3">
        <v>0.36</v>
      </c>
      <c r="S289" s="13">
        <v>39.9836111111111</v>
      </c>
      <c r="T289" s="8">
        <v>32.65</v>
      </c>
      <c r="U289" s="21">
        <v>36</v>
      </c>
      <c r="V289" s="21">
        <v>44</v>
      </c>
      <c r="W289" s="3">
        <v>30</v>
      </c>
      <c r="X289" s="5" t="s">
        <v>91</v>
      </c>
      <c r="Y289" s="13" t="s">
        <v>82</v>
      </c>
      <c r="Z289" s="3">
        <v>9</v>
      </c>
      <c r="AA289" s="3">
        <v>9</v>
      </c>
      <c r="AB289" s="9">
        <v>-0.571473941479892</v>
      </c>
      <c r="AC289" s="9">
        <v>8.54538946634351e-5</v>
      </c>
      <c r="AD289" s="25">
        <v>-0.154555066692262</v>
      </c>
      <c r="AE289" s="25">
        <v>0.00177816315650552</v>
      </c>
      <c r="AF289" s="9">
        <v>0.416918874787629</v>
      </c>
      <c r="AG289" s="9">
        <v>0.00186361705116896</v>
      </c>
      <c r="AH289" s="25">
        <v>-0.680974880105252</v>
      </c>
      <c r="AI289" s="25">
        <v>0.00231385071035216</v>
      </c>
      <c r="AJ289" s="4">
        <v>0.10950093862536</v>
      </c>
      <c r="AK289" s="4">
        <v>0.0023993046050156</v>
      </c>
      <c r="AL289" s="3">
        <v>0.526419813412986</v>
      </c>
      <c r="AM289" s="3">
        <v>0.00409201386685769</v>
      </c>
      <c r="AN289" s="4">
        <v>0.0783811177038768</v>
      </c>
      <c r="AO289" s="4">
        <v>0.000125405797348848</v>
      </c>
      <c r="AP289" s="3">
        <v>-0.750305594399894</v>
      </c>
      <c r="AQ289" s="3">
        <v>0.00478541769404483</v>
      </c>
      <c r="AR289" s="4">
        <v>0.182321556793955</v>
      </c>
      <c r="AS289" s="4">
        <v>0.00136347877516706</v>
      </c>
      <c r="AT289" s="3">
        <v>-0.384594602271601</v>
      </c>
      <c r="AU289" s="3">
        <v>0.00175344471287059</v>
      </c>
      <c r="AV289" s="4"/>
      <c r="AW289" s="4"/>
      <c r="AX289" s="3">
        <v>-0.0975678222343154</v>
      </c>
      <c r="AY289" s="3">
        <v>0.00709926840439699</v>
      </c>
      <c r="BJ289" s="3">
        <v>0.0571584138399486</v>
      </c>
      <c r="BK289" s="3">
        <v>0.0027434842249657</v>
      </c>
    </row>
    <row r="290" s="3" customFormat="1" spans="1:63">
      <c r="A290" s="4">
        <v>289</v>
      </c>
      <c r="B290" s="6">
        <v>48</v>
      </c>
      <c r="C290" s="24" t="s">
        <v>252</v>
      </c>
      <c r="D290" s="13" t="s">
        <v>253</v>
      </c>
      <c r="E290" s="3">
        <v>25.4025</v>
      </c>
      <c r="F290" s="3">
        <v>101.471666666667</v>
      </c>
      <c r="G290" s="26">
        <v>16</v>
      </c>
      <c r="H290" s="27">
        <v>846</v>
      </c>
      <c r="I290" s="3"/>
      <c r="J290" s="13" t="s">
        <v>188</v>
      </c>
      <c r="K290" s="5" t="s">
        <v>182</v>
      </c>
      <c r="L290" s="3">
        <v>2019</v>
      </c>
      <c r="M290" s="3"/>
      <c r="N290" s="3"/>
      <c r="O290" s="28" t="s">
        <v>136</v>
      </c>
      <c r="P290" s="7">
        <v>4.06</v>
      </c>
      <c r="Q290" s="3">
        <v>12.1028</v>
      </c>
      <c r="R290" s="3">
        <v>0.24</v>
      </c>
      <c r="S290" s="13">
        <v>50.4283333333333</v>
      </c>
      <c r="T290" s="8">
        <v>33.08</v>
      </c>
      <c r="U290" s="21">
        <v>36</v>
      </c>
      <c r="V290" s="21">
        <v>44</v>
      </c>
      <c r="W290" s="3">
        <v>30</v>
      </c>
      <c r="X290" s="5" t="s">
        <v>91</v>
      </c>
      <c r="Y290" s="13" t="s">
        <v>82</v>
      </c>
      <c r="Z290" s="3">
        <v>9</v>
      </c>
      <c r="AA290" s="3">
        <v>9</v>
      </c>
      <c r="AB290" s="9">
        <v>-0.262361315750109</v>
      </c>
      <c r="AC290" s="9">
        <v>8.5453894663435e-5</v>
      </c>
      <c r="AD290" s="25">
        <v>-0.0384219360775198</v>
      </c>
      <c r="AE290" s="25">
        <v>0.00177816315650553</v>
      </c>
      <c r="AF290" s="9">
        <v>0.223939379672589</v>
      </c>
      <c r="AG290" s="9">
        <v>0.00186361705116896</v>
      </c>
      <c r="AH290" s="25">
        <v>-0.636526527927315</v>
      </c>
      <c r="AI290" s="25">
        <v>0.00231385071035216</v>
      </c>
      <c r="AJ290" s="4">
        <v>0.374165212177204</v>
      </c>
      <c r="AK290" s="4">
        <v>0.0023993046050156</v>
      </c>
      <c r="AL290" s="3">
        <v>0.598104591849797</v>
      </c>
      <c r="AM290" s="3">
        <v>0.00409201386685768</v>
      </c>
      <c r="AN290" s="4">
        <v>0.116139649912653</v>
      </c>
      <c r="AO290" s="4">
        <v>0.000125405797348848</v>
      </c>
      <c r="AP290" s="3">
        <v>-0.405465108108164</v>
      </c>
      <c r="AQ290" s="3">
        <v>0.00478541769404483</v>
      </c>
      <c r="AR290" s="4">
        <v>0.298492988555997</v>
      </c>
      <c r="AS290" s="4">
        <v>0.00136347877516706</v>
      </c>
      <c r="AT290" s="3">
        <v>-0.723313186968033</v>
      </c>
      <c r="AU290" s="3">
        <v>0.00175344471287058</v>
      </c>
      <c r="AV290" s="4"/>
      <c r="AW290" s="4"/>
      <c r="AX290" s="3">
        <v>0.259601040107321</v>
      </c>
      <c r="AY290" s="3">
        <v>0.00709926840439698</v>
      </c>
      <c r="BJ290" s="3">
        <v>0.0480092191863607</v>
      </c>
      <c r="BK290" s="3">
        <v>0.00274348422496571</v>
      </c>
    </row>
    <row r="291" s="3" customFormat="1" spans="1:63">
      <c r="A291" s="4">
        <v>290</v>
      </c>
      <c r="B291" s="6">
        <v>48</v>
      </c>
      <c r="C291" s="24" t="s">
        <v>252</v>
      </c>
      <c r="D291" s="13" t="s">
        <v>253</v>
      </c>
      <c r="E291" s="3">
        <v>25.4025</v>
      </c>
      <c r="F291" s="3">
        <v>101.471666666667</v>
      </c>
      <c r="G291" s="26">
        <v>16</v>
      </c>
      <c r="H291" s="27">
        <v>846</v>
      </c>
      <c r="I291" s="3"/>
      <c r="J291" s="13" t="s">
        <v>188</v>
      </c>
      <c r="K291" s="5" t="s">
        <v>182</v>
      </c>
      <c r="L291" s="3">
        <v>2019</v>
      </c>
      <c r="M291" s="3"/>
      <c r="N291" s="3"/>
      <c r="O291" s="28" t="s">
        <v>136</v>
      </c>
      <c r="P291" s="7">
        <v>4.06</v>
      </c>
      <c r="Q291" s="3">
        <v>8.04896</v>
      </c>
      <c r="R291" s="3">
        <v>0.25</v>
      </c>
      <c r="S291" s="13">
        <v>32.19584</v>
      </c>
      <c r="T291" s="8">
        <v>32.05</v>
      </c>
      <c r="U291" s="21">
        <v>36</v>
      </c>
      <c r="V291" s="21">
        <v>44</v>
      </c>
      <c r="W291" s="3">
        <v>30</v>
      </c>
      <c r="X291" s="5" t="s">
        <v>91</v>
      </c>
      <c r="Y291" s="13" t="s">
        <v>82</v>
      </c>
      <c r="Z291" s="3">
        <v>9</v>
      </c>
      <c r="AA291" s="3">
        <v>9</v>
      </c>
      <c r="AB291" s="9">
        <v>-0.0269085631385428</v>
      </c>
      <c r="AC291" s="9">
        <v>8.5453894663435e-5</v>
      </c>
      <c r="AD291" s="25">
        <v>0.229360387182921</v>
      </c>
      <c r="AE291" s="25">
        <v>0.00177816315650553</v>
      </c>
      <c r="AF291" s="9">
        <v>0.256268950321464</v>
      </c>
      <c r="AG291" s="9">
        <v>0.00186361705116896</v>
      </c>
      <c r="AH291" s="25">
        <v>-0.602493938731972</v>
      </c>
      <c r="AI291" s="25">
        <v>0.00231385071035217</v>
      </c>
      <c r="AJ291" s="4">
        <v>0.575585375593431</v>
      </c>
      <c r="AK291" s="4">
        <v>0.0023993046050156</v>
      </c>
      <c r="AL291" s="3">
        <v>0.831854325914893</v>
      </c>
      <c r="AM291" s="3">
        <v>0.00409201386685769</v>
      </c>
      <c r="AN291" s="4">
        <v>0.0917211225645076</v>
      </c>
      <c r="AO291" s="4">
        <v>0.000125405797348848</v>
      </c>
      <c r="AP291" s="3">
        <v>-0.446287102628419</v>
      </c>
      <c r="AQ291" s="3">
        <v>0.00478541769404484</v>
      </c>
      <c r="AR291" s="4">
        <v>0.387765531008764</v>
      </c>
      <c r="AS291" s="4">
        <v>0.00136347877516706</v>
      </c>
      <c r="AT291" s="3">
        <v>-0.45298309105717</v>
      </c>
      <c r="AU291" s="3">
        <v>0.00175344471287058</v>
      </c>
      <c r="AV291" s="4"/>
      <c r="AW291" s="4"/>
      <c r="AX291" s="3">
        <v>0.815005518473406</v>
      </c>
      <c r="AY291" s="3">
        <v>0.00709926840439697</v>
      </c>
      <c r="BJ291" s="3">
        <v>0.0305367238600817</v>
      </c>
      <c r="BK291" s="3">
        <v>0.0027434842249657</v>
      </c>
    </row>
    <row r="292" s="4" customFormat="1" spans="1:51">
      <c r="A292" s="4">
        <v>291</v>
      </c>
      <c r="B292" s="18">
        <v>49</v>
      </c>
      <c r="C292" s="19" t="s">
        <v>255</v>
      </c>
      <c r="D292" s="5" t="s">
        <v>256</v>
      </c>
      <c r="E292" s="4">
        <v>31.627</v>
      </c>
      <c r="F292" s="4">
        <v>-8.13</v>
      </c>
      <c r="G292" s="20">
        <v>19.5</v>
      </c>
      <c r="H292" s="21">
        <v>248</v>
      </c>
      <c r="I292" s="4"/>
      <c r="J292" s="5" t="s">
        <v>83</v>
      </c>
      <c r="K292" s="5" t="s">
        <v>78</v>
      </c>
      <c r="L292" s="4"/>
      <c r="M292" s="4"/>
      <c r="N292" s="4"/>
      <c r="O292" s="28" t="s">
        <v>80</v>
      </c>
      <c r="P292" s="29">
        <v>8.05</v>
      </c>
      <c r="Q292" s="4">
        <v>0.64</v>
      </c>
      <c r="R292" s="5"/>
      <c r="S292" s="13"/>
      <c r="T292" s="34">
        <v>16.62</v>
      </c>
      <c r="U292" s="34">
        <v>7.12</v>
      </c>
      <c r="V292" s="34">
        <v>76.26</v>
      </c>
      <c r="W292" s="4">
        <v>0.5</v>
      </c>
      <c r="X292" s="5" t="s">
        <v>81</v>
      </c>
      <c r="Y292" s="5" t="s">
        <v>82</v>
      </c>
      <c r="Z292" s="4">
        <v>6</v>
      </c>
      <c r="AA292" s="4">
        <v>6</v>
      </c>
      <c r="AB292" s="9">
        <v>-0.207417709008746</v>
      </c>
      <c r="AC292" s="9">
        <v>0.00114768791892673</v>
      </c>
      <c r="AD292" s="9"/>
      <c r="AE292" s="9"/>
      <c r="AF292" s="9"/>
      <c r="AG292" s="9"/>
      <c r="AH292" s="9">
        <v>-0.608247736773459</v>
      </c>
      <c r="AI292" s="9">
        <v>0.000269298696920032</v>
      </c>
      <c r="AJ292" s="4">
        <v>0.400830027764713</v>
      </c>
      <c r="AK292" s="4">
        <v>0.00141698661584676</v>
      </c>
      <c r="AL292" s="4"/>
      <c r="AM292" s="4"/>
      <c r="AN292" s="4">
        <v>0.00877748582122344</v>
      </c>
      <c r="AO292" s="4">
        <v>9.57647340715434e-5</v>
      </c>
      <c r="AP292" s="4"/>
      <c r="AQ292" s="4"/>
      <c r="AR292" s="4"/>
      <c r="AS292" s="4"/>
      <c r="AT292" s="4"/>
      <c r="AU292" s="4"/>
      <c r="AV292" s="4"/>
      <c r="AW292" s="4"/>
      <c r="AX292" s="4">
        <v>-0.176808651284424</v>
      </c>
      <c r="AY292" s="4">
        <v>0.00709926840439698</v>
      </c>
    </row>
    <row r="293" s="4" customFormat="1" spans="1:51">
      <c r="A293" s="4">
        <v>292</v>
      </c>
      <c r="B293" s="18">
        <v>49</v>
      </c>
      <c r="C293" s="19" t="s">
        <v>255</v>
      </c>
      <c r="D293" s="5" t="s">
        <v>256</v>
      </c>
      <c r="E293" s="4">
        <v>31.627</v>
      </c>
      <c r="F293" s="4">
        <v>-8.13</v>
      </c>
      <c r="G293" s="20">
        <v>19.5</v>
      </c>
      <c r="H293" s="21">
        <v>248</v>
      </c>
      <c r="I293" s="4"/>
      <c r="J293" s="5" t="s">
        <v>83</v>
      </c>
      <c r="K293" s="5" t="s">
        <v>78</v>
      </c>
      <c r="L293" s="4"/>
      <c r="M293" s="4"/>
      <c r="N293" s="4"/>
      <c r="O293" s="28" t="s">
        <v>80</v>
      </c>
      <c r="P293" s="29">
        <v>8.05</v>
      </c>
      <c r="Q293" s="4">
        <v>0.64</v>
      </c>
      <c r="R293" s="5"/>
      <c r="S293" s="13"/>
      <c r="T293" s="34">
        <v>16.62</v>
      </c>
      <c r="U293" s="34">
        <v>7.12</v>
      </c>
      <c r="V293" s="34">
        <v>76.26</v>
      </c>
      <c r="W293" s="4">
        <v>0.5</v>
      </c>
      <c r="X293" s="5" t="s">
        <v>81</v>
      </c>
      <c r="Y293" s="5" t="s">
        <v>82</v>
      </c>
      <c r="Z293" s="4">
        <v>6</v>
      </c>
      <c r="AA293" s="4">
        <v>6</v>
      </c>
      <c r="AB293" s="9">
        <v>-0.117511333440339</v>
      </c>
      <c r="AC293" s="9">
        <v>0.000595377762708431</v>
      </c>
      <c r="AD293" s="9"/>
      <c r="AE293" s="9"/>
      <c r="AF293" s="9"/>
      <c r="AG293" s="9"/>
      <c r="AH293" s="9">
        <v>0.0961438605529023</v>
      </c>
      <c r="AI293" s="9">
        <v>0.000135292353259328</v>
      </c>
      <c r="AJ293" s="4">
        <v>-0.213655193993242</v>
      </c>
      <c r="AK293" s="4">
        <v>0.000730670115967759</v>
      </c>
      <c r="AL293" s="4"/>
      <c r="AM293" s="4"/>
      <c r="AN293" s="4">
        <v>-0.00375234961855035</v>
      </c>
      <c r="AO293" s="4">
        <v>4.54929516190567e-5</v>
      </c>
      <c r="AP293" s="4"/>
      <c r="AQ293" s="4"/>
      <c r="AR293" s="4"/>
      <c r="AS293" s="4"/>
      <c r="AT293" s="4"/>
      <c r="AU293" s="4"/>
      <c r="AV293" s="4"/>
      <c r="AW293" s="4"/>
      <c r="AX293" s="4">
        <v>0.733969175080201</v>
      </c>
      <c r="AY293" s="4">
        <v>0.00709926840439697</v>
      </c>
    </row>
    <row r="294" s="4" customFormat="1" spans="1:51">
      <c r="A294" s="4">
        <v>293</v>
      </c>
      <c r="B294" s="18">
        <v>49</v>
      </c>
      <c r="C294" s="19" t="s">
        <v>255</v>
      </c>
      <c r="D294" s="5" t="s">
        <v>256</v>
      </c>
      <c r="E294" s="4">
        <v>31.627</v>
      </c>
      <c r="F294" s="4">
        <v>-8.13</v>
      </c>
      <c r="G294" s="20">
        <v>19.5</v>
      </c>
      <c r="H294" s="21">
        <v>248</v>
      </c>
      <c r="I294" s="4"/>
      <c r="J294" s="5" t="s">
        <v>83</v>
      </c>
      <c r="K294" s="5" t="s">
        <v>78</v>
      </c>
      <c r="L294" s="4"/>
      <c r="M294" s="4"/>
      <c r="N294" s="4"/>
      <c r="O294" s="28" t="s">
        <v>80</v>
      </c>
      <c r="P294" s="29">
        <v>8.05</v>
      </c>
      <c r="Q294" s="4">
        <v>0.64</v>
      </c>
      <c r="R294" s="5"/>
      <c r="S294" s="13"/>
      <c r="T294" s="34">
        <v>16.62</v>
      </c>
      <c r="U294" s="34">
        <v>7.12</v>
      </c>
      <c r="V294" s="34">
        <v>76.26</v>
      </c>
      <c r="W294" s="4">
        <v>0.5</v>
      </c>
      <c r="X294" s="5" t="s">
        <v>81</v>
      </c>
      <c r="Y294" s="5" t="s">
        <v>82</v>
      </c>
      <c r="Z294" s="4">
        <v>6</v>
      </c>
      <c r="AA294" s="4">
        <v>6</v>
      </c>
      <c r="AB294" s="9">
        <v>-0.243200793506736</v>
      </c>
      <c r="AC294" s="9">
        <v>0.00156880565436034</v>
      </c>
      <c r="AD294" s="9"/>
      <c r="AE294" s="9"/>
      <c r="AF294" s="9"/>
      <c r="AG294" s="9"/>
      <c r="AH294" s="9">
        <v>-0.0151136378100482</v>
      </c>
      <c r="AI294" s="9">
        <v>4.32577666692433e-5</v>
      </c>
      <c r="AJ294" s="4">
        <v>-0.22808715569669</v>
      </c>
      <c r="AK294" s="4">
        <v>0.00161206342102959</v>
      </c>
      <c r="AL294" s="4"/>
      <c r="AM294" s="4"/>
      <c r="AN294" s="4">
        <v>0.0137760475441183</v>
      </c>
      <c r="AO294" s="4">
        <v>0.000157464930480483</v>
      </c>
      <c r="AP294" s="4"/>
      <c r="AQ294" s="4"/>
      <c r="AR294" s="4"/>
      <c r="AS294" s="4"/>
      <c r="AT294" s="4"/>
      <c r="AU294" s="4"/>
      <c r="AV294" s="4"/>
      <c r="AW294" s="4"/>
      <c r="AX294" s="4">
        <v>0.617396051137805</v>
      </c>
      <c r="AY294" s="4">
        <v>0.00709926840439699</v>
      </c>
    </row>
    <row r="295" s="4" customFormat="1" spans="1:51">
      <c r="A295" s="4">
        <v>294</v>
      </c>
      <c r="B295" s="18">
        <v>49</v>
      </c>
      <c r="C295" s="19" t="s">
        <v>255</v>
      </c>
      <c r="D295" s="5" t="s">
        <v>256</v>
      </c>
      <c r="E295" s="4">
        <v>31.627</v>
      </c>
      <c r="F295" s="4">
        <v>-8.13</v>
      </c>
      <c r="G295" s="20">
        <v>19.5</v>
      </c>
      <c r="H295" s="21">
        <v>248</v>
      </c>
      <c r="I295" s="4"/>
      <c r="J295" s="5" t="s">
        <v>83</v>
      </c>
      <c r="K295" s="5" t="s">
        <v>78</v>
      </c>
      <c r="L295" s="4"/>
      <c r="M295" s="4"/>
      <c r="N295" s="4"/>
      <c r="O295" s="28" t="s">
        <v>80</v>
      </c>
      <c r="P295" s="29">
        <v>8.05</v>
      </c>
      <c r="Q295" s="4">
        <v>0.64</v>
      </c>
      <c r="R295" s="5"/>
      <c r="S295" s="13"/>
      <c r="T295" s="34">
        <v>16.62</v>
      </c>
      <c r="U295" s="34">
        <v>7.12</v>
      </c>
      <c r="V295" s="34">
        <v>76.26</v>
      </c>
      <c r="W295" s="4">
        <v>0.5</v>
      </c>
      <c r="X295" s="5" t="s">
        <v>81</v>
      </c>
      <c r="Y295" s="5" t="s">
        <v>82</v>
      </c>
      <c r="Z295" s="4">
        <v>6</v>
      </c>
      <c r="AA295" s="4">
        <v>6</v>
      </c>
      <c r="AB295" s="9">
        <v>-0.0703164984174597</v>
      </c>
      <c r="AC295" s="9">
        <v>0.000834692383228457</v>
      </c>
      <c r="AD295" s="9"/>
      <c r="AE295" s="9"/>
      <c r="AF295" s="9"/>
      <c r="AG295" s="9"/>
      <c r="AH295" s="9">
        <v>0.212921997242672</v>
      </c>
      <c r="AI295" s="9">
        <v>0.000220769161463367</v>
      </c>
      <c r="AJ295" s="4">
        <v>-0.283238495660131</v>
      </c>
      <c r="AK295" s="4">
        <v>0.00105546154469182</v>
      </c>
      <c r="AL295" s="4"/>
      <c r="AM295" s="4"/>
      <c r="AN295" s="4">
        <v>-0.00894574655845828</v>
      </c>
      <c r="AO295" s="4">
        <v>3.24900291014661e-5</v>
      </c>
      <c r="AP295" s="4"/>
      <c r="AQ295" s="4"/>
      <c r="AR295" s="4"/>
      <c r="AS295" s="4"/>
      <c r="AT295" s="4"/>
      <c r="AU295" s="4"/>
      <c r="AV295" s="4"/>
      <c r="AW295" s="4"/>
      <c r="AX295" s="4">
        <v>0.0693307142946422</v>
      </c>
      <c r="AY295" s="4">
        <v>0.00709926840439699</v>
      </c>
    </row>
    <row r="296" s="4" customFormat="1" spans="1:51">
      <c r="A296" s="4">
        <v>295</v>
      </c>
      <c r="B296" s="18">
        <v>49</v>
      </c>
      <c r="C296" s="19" t="s">
        <v>255</v>
      </c>
      <c r="D296" s="5" t="s">
        <v>256</v>
      </c>
      <c r="E296" s="4">
        <v>31.627</v>
      </c>
      <c r="F296" s="4">
        <v>-8.13</v>
      </c>
      <c r="G296" s="20">
        <v>19.5</v>
      </c>
      <c r="H296" s="21">
        <v>248</v>
      </c>
      <c r="I296" s="4"/>
      <c r="J296" s="5" t="s">
        <v>83</v>
      </c>
      <c r="K296" s="5" t="s">
        <v>78</v>
      </c>
      <c r="L296" s="4"/>
      <c r="M296" s="4"/>
      <c r="N296" s="4"/>
      <c r="O296" s="28" t="s">
        <v>80</v>
      </c>
      <c r="P296" s="29">
        <v>8.05</v>
      </c>
      <c r="Q296" s="4">
        <v>0.64</v>
      </c>
      <c r="R296" s="5"/>
      <c r="S296" s="13"/>
      <c r="T296" s="34">
        <v>16.62</v>
      </c>
      <c r="U296" s="34">
        <v>7.12</v>
      </c>
      <c r="V296" s="34">
        <v>76.26</v>
      </c>
      <c r="W296" s="4">
        <v>0.5</v>
      </c>
      <c r="X296" s="5" t="s">
        <v>81</v>
      </c>
      <c r="Y296" s="5" t="s">
        <v>82</v>
      </c>
      <c r="Z296" s="4">
        <v>6</v>
      </c>
      <c r="AA296" s="4">
        <v>6</v>
      </c>
      <c r="AB296" s="9">
        <v>-0.164816530121557</v>
      </c>
      <c r="AC296" s="9">
        <v>0.00244954948610786</v>
      </c>
      <c r="AD296" s="9"/>
      <c r="AE296" s="9"/>
      <c r="AF296" s="9"/>
      <c r="AG296" s="9"/>
      <c r="AH296" s="9">
        <v>-0.290083033989319</v>
      </c>
      <c r="AI296" s="9">
        <v>4.20773885978272e-5</v>
      </c>
      <c r="AJ296" s="4">
        <v>0.125266503867762</v>
      </c>
      <c r="AK296" s="4">
        <v>0.00249162687470568</v>
      </c>
      <c r="AL296" s="4"/>
      <c r="AM296" s="4"/>
      <c r="AN296" s="4">
        <v>-0.0394139685408766</v>
      </c>
      <c r="AO296" s="4">
        <v>0.000110927987338359</v>
      </c>
      <c r="AP296" s="4"/>
      <c r="AQ296" s="4"/>
      <c r="AR296" s="4"/>
      <c r="AS296" s="4"/>
      <c r="AT296" s="4"/>
      <c r="AU296" s="4"/>
      <c r="AV296" s="4"/>
      <c r="AW296" s="4"/>
      <c r="AX296" s="4">
        <v>-0.23106141981915</v>
      </c>
      <c r="AY296" s="4">
        <v>0.00709926840439699</v>
      </c>
    </row>
    <row r="297" s="4" customFormat="1" spans="1:51">
      <c r="A297" s="4">
        <v>296</v>
      </c>
      <c r="B297" s="18">
        <v>49</v>
      </c>
      <c r="C297" s="19" t="s">
        <v>255</v>
      </c>
      <c r="D297" s="5" t="s">
        <v>256</v>
      </c>
      <c r="E297" s="4">
        <v>31.627</v>
      </c>
      <c r="F297" s="4">
        <v>-8.13</v>
      </c>
      <c r="G297" s="20">
        <v>19.5</v>
      </c>
      <c r="H297" s="21">
        <v>248</v>
      </c>
      <c r="I297" s="4"/>
      <c r="J297" s="5" t="s">
        <v>83</v>
      </c>
      <c r="K297" s="5" t="s">
        <v>78</v>
      </c>
      <c r="L297" s="4"/>
      <c r="M297" s="4"/>
      <c r="N297" s="4"/>
      <c r="O297" s="28" t="s">
        <v>80</v>
      </c>
      <c r="P297" s="29">
        <v>8.05</v>
      </c>
      <c r="Q297" s="4">
        <v>0.64</v>
      </c>
      <c r="R297" s="5"/>
      <c r="S297" s="13"/>
      <c r="T297" s="34">
        <v>16.62</v>
      </c>
      <c r="U297" s="34">
        <v>7.12</v>
      </c>
      <c r="V297" s="34">
        <v>76.26</v>
      </c>
      <c r="W297" s="4">
        <v>0.5</v>
      </c>
      <c r="X297" s="5" t="s">
        <v>81</v>
      </c>
      <c r="Y297" s="5" t="s">
        <v>82</v>
      </c>
      <c r="Z297" s="4">
        <v>6</v>
      </c>
      <c r="AA297" s="4">
        <v>6</v>
      </c>
      <c r="AB297" s="9">
        <v>-0.475098799866965</v>
      </c>
      <c r="AC297" s="9">
        <v>0.00210790879121131</v>
      </c>
      <c r="AD297" s="9"/>
      <c r="AE297" s="9"/>
      <c r="AF297" s="9"/>
      <c r="AG297" s="9"/>
      <c r="AH297" s="9">
        <v>-0.311939050097341</v>
      </c>
      <c r="AI297" s="9">
        <v>4.78886407504178e-5</v>
      </c>
      <c r="AJ297" s="4">
        <v>-0.163159749769625</v>
      </c>
      <c r="AK297" s="4">
        <v>0.00215579743196174</v>
      </c>
      <c r="AL297" s="4"/>
      <c r="AM297" s="4"/>
      <c r="AN297" s="4">
        <v>-0.0024539889615667</v>
      </c>
      <c r="AO297" s="4">
        <v>9.77369291083973e-5</v>
      </c>
      <c r="AP297" s="4"/>
      <c r="AQ297" s="4"/>
      <c r="AR297" s="4"/>
      <c r="AS297" s="4"/>
      <c r="AT297" s="4"/>
      <c r="AU297" s="4"/>
      <c r="AV297" s="4"/>
      <c r="AW297" s="4"/>
      <c r="AX297" s="4">
        <v>-0.156206836103553</v>
      </c>
      <c r="AY297" s="4">
        <v>0.00709926840439699</v>
      </c>
    </row>
    <row r="298" s="4" customFormat="1" spans="1:41">
      <c r="A298" s="4">
        <v>297</v>
      </c>
      <c r="B298" s="18">
        <v>49</v>
      </c>
      <c r="C298" s="19" t="s">
        <v>255</v>
      </c>
      <c r="D298" s="5" t="s">
        <v>256</v>
      </c>
      <c r="E298" s="4">
        <v>31.627</v>
      </c>
      <c r="F298" s="4">
        <v>-8.13</v>
      </c>
      <c r="G298" s="20">
        <v>19.5</v>
      </c>
      <c r="H298" s="21">
        <v>248</v>
      </c>
      <c r="I298" s="4"/>
      <c r="J298" s="5" t="s">
        <v>83</v>
      </c>
      <c r="K298" s="5" t="s">
        <v>78</v>
      </c>
      <c r="L298" s="4"/>
      <c r="M298" s="4"/>
      <c r="N298" s="4"/>
      <c r="O298" s="28" t="s">
        <v>80</v>
      </c>
      <c r="P298" s="29">
        <v>8.05</v>
      </c>
      <c r="Q298" s="4">
        <v>0.64</v>
      </c>
      <c r="R298" s="5"/>
      <c r="S298" s="13"/>
      <c r="T298" s="34">
        <v>16.62</v>
      </c>
      <c r="U298" s="34">
        <v>7.12</v>
      </c>
      <c r="V298" s="34">
        <v>76.26</v>
      </c>
      <c r="W298" s="4">
        <v>0.5</v>
      </c>
      <c r="X298" s="5" t="s">
        <v>81</v>
      </c>
      <c r="Y298" s="5" t="s">
        <v>82</v>
      </c>
      <c r="Z298" s="4">
        <v>6</v>
      </c>
      <c r="AA298" s="4">
        <v>6</v>
      </c>
      <c r="AB298" s="9">
        <v>-0.389180514343664</v>
      </c>
      <c r="AC298" s="9">
        <v>0.000480287588350643</v>
      </c>
      <c r="AD298" s="9"/>
      <c r="AE298" s="9"/>
      <c r="AF298" s="9"/>
      <c r="AG298" s="9"/>
      <c r="AH298" s="9">
        <v>-0.129759226703099</v>
      </c>
      <c r="AI298" s="9">
        <v>4.75911951110892e-5</v>
      </c>
      <c r="AJ298" s="4">
        <v>-0.259421287640568</v>
      </c>
      <c r="AK298" s="4">
        <v>0.000527878783461733</v>
      </c>
      <c r="AL298" s="4"/>
      <c r="AM298" s="4"/>
      <c r="AN298" s="4">
        <v>0.00125865340719611</v>
      </c>
      <c r="AO298" s="4">
        <v>5.38312318358031e-5</v>
      </c>
    </row>
    <row r="299" s="4" customFormat="1" spans="1:41">
      <c r="A299" s="4">
        <v>298</v>
      </c>
      <c r="B299" s="18">
        <v>49</v>
      </c>
      <c r="C299" s="19" t="s">
        <v>255</v>
      </c>
      <c r="D299" s="5" t="s">
        <v>256</v>
      </c>
      <c r="E299" s="4">
        <v>31.627</v>
      </c>
      <c r="F299" s="4">
        <v>-8.13</v>
      </c>
      <c r="G299" s="20">
        <v>19.5</v>
      </c>
      <c r="H299" s="21">
        <v>248</v>
      </c>
      <c r="I299" s="4"/>
      <c r="J299" s="5" t="s">
        <v>83</v>
      </c>
      <c r="K299" s="5" t="s">
        <v>78</v>
      </c>
      <c r="L299" s="4"/>
      <c r="M299" s="4"/>
      <c r="N299" s="4"/>
      <c r="O299" s="28" t="s">
        <v>80</v>
      </c>
      <c r="P299" s="29">
        <v>8.05</v>
      </c>
      <c r="Q299" s="4">
        <v>0.64</v>
      </c>
      <c r="R299" s="5"/>
      <c r="S299" s="13"/>
      <c r="T299" s="34">
        <v>16.62</v>
      </c>
      <c r="U299" s="34">
        <v>7.12</v>
      </c>
      <c r="V299" s="34">
        <v>76.26</v>
      </c>
      <c r="W299" s="4">
        <v>0.5</v>
      </c>
      <c r="X299" s="5" t="s">
        <v>81</v>
      </c>
      <c r="Y299" s="5" t="s">
        <v>82</v>
      </c>
      <c r="Z299" s="4">
        <v>6</v>
      </c>
      <c r="AA299" s="4">
        <v>6</v>
      </c>
      <c r="AB299" s="9">
        <v>-0.367068504465996</v>
      </c>
      <c r="AC299" s="9">
        <v>0.000585006938248955</v>
      </c>
      <c r="AD299" s="9"/>
      <c r="AE299" s="9"/>
      <c r="AF299" s="9"/>
      <c r="AG299" s="9"/>
      <c r="AH299" s="9">
        <v>1e-6</v>
      </c>
      <c r="AI299" s="9">
        <v>0.000131054972392995</v>
      </c>
      <c r="AJ299" s="4">
        <v>-0.367068504465997</v>
      </c>
      <c r="AK299" s="4">
        <v>0.000716061910641953</v>
      </c>
      <c r="AL299" s="4"/>
      <c r="AM299" s="4"/>
      <c r="AN299" s="4">
        <v>-0.0112853862316665</v>
      </c>
      <c r="AO299" s="4">
        <v>9.57249729331218e-5</v>
      </c>
    </row>
    <row r="300" s="4" customFormat="1" spans="1:67">
      <c r="A300" s="4">
        <v>299</v>
      </c>
      <c r="B300" s="18">
        <v>51</v>
      </c>
      <c r="C300" s="19" t="s">
        <v>75</v>
      </c>
      <c r="D300" s="5" t="s">
        <v>257</v>
      </c>
      <c r="E300" s="4">
        <v>21.45</v>
      </c>
      <c r="F300" s="4">
        <v>110.9</v>
      </c>
      <c r="G300" s="20">
        <v>23</v>
      </c>
      <c r="H300" s="21">
        <v>1550</v>
      </c>
      <c r="I300" s="4"/>
      <c r="J300" s="5" t="s">
        <v>199</v>
      </c>
      <c r="K300" s="5" t="s">
        <v>182</v>
      </c>
      <c r="L300" s="4">
        <v>2019</v>
      </c>
      <c r="M300" s="4">
        <v>5</v>
      </c>
      <c r="N300" s="5" t="s">
        <v>87</v>
      </c>
      <c r="O300" s="36" t="s">
        <v>80</v>
      </c>
      <c r="P300" s="29">
        <v>4.5</v>
      </c>
      <c r="Q300" s="4">
        <v>29.7</v>
      </c>
      <c r="R300" s="4">
        <v>3</v>
      </c>
      <c r="S300" s="13">
        <v>9.9</v>
      </c>
      <c r="T300" s="21">
        <v>43</v>
      </c>
      <c r="U300" s="21">
        <v>17</v>
      </c>
      <c r="V300" s="21">
        <v>40</v>
      </c>
      <c r="W300" s="18"/>
      <c r="X300" s="4"/>
      <c r="Y300" s="5" t="s">
        <v>82</v>
      </c>
      <c r="Z300" s="4">
        <v>5</v>
      </c>
      <c r="AA300" s="4">
        <v>5</v>
      </c>
      <c r="AB300" s="9">
        <v>-2.18323813729777</v>
      </c>
      <c r="AC300" s="9">
        <v>0.149007387250612</v>
      </c>
      <c r="AD300" s="9">
        <v>-2.43647142776135</v>
      </c>
      <c r="AE300" s="9">
        <v>0.328382995943899</v>
      </c>
      <c r="AF300" s="9">
        <v>-0.253233290463576</v>
      </c>
      <c r="AG300" s="9">
        <v>0.477390383194511</v>
      </c>
      <c r="AH300" s="9">
        <v>-2.98568193770049</v>
      </c>
      <c r="AI300" s="9">
        <v>0.0223124624471426</v>
      </c>
      <c r="AJ300" s="4">
        <v>0.80244380040272</v>
      </c>
      <c r="AK300" s="4">
        <v>0.171319849697755</v>
      </c>
      <c r="AL300" s="4">
        <v>0.549210509939145</v>
      </c>
      <c r="AM300" s="4">
        <v>0.350695458391041</v>
      </c>
      <c r="AN300" s="4">
        <v>0.0219789067187752</v>
      </c>
      <c r="AO300" s="4">
        <v>0.000966416952554319</v>
      </c>
      <c r="AP300" s="4">
        <v>-2.70805020110221</v>
      </c>
      <c r="AQ300" s="4">
        <v>0.00111111111111111</v>
      </c>
      <c r="AR300" s="4"/>
      <c r="AS300" s="4"/>
      <c r="AT300" s="4"/>
      <c r="AU300" s="4"/>
      <c r="AV300" s="4"/>
      <c r="AW300" s="4"/>
      <c r="AX300" s="4"/>
      <c r="AY300" s="4"/>
      <c r="BN300" s="4">
        <v>-2.484906649788</v>
      </c>
      <c r="BO300" s="4">
        <v>1.00694444444444</v>
      </c>
    </row>
    <row r="301" s="4" customFormat="1" spans="1:67">
      <c r="A301" s="4">
        <v>300</v>
      </c>
      <c r="B301" s="18">
        <v>51</v>
      </c>
      <c r="C301" s="19" t="s">
        <v>75</v>
      </c>
      <c r="D301" s="5" t="s">
        <v>258</v>
      </c>
      <c r="E301" s="4">
        <v>21.45</v>
      </c>
      <c r="F301" s="4">
        <v>110.9</v>
      </c>
      <c r="G301" s="20">
        <v>23</v>
      </c>
      <c r="H301" s="21">
        <v>1550</v>
      </c>
      <c r="I301" s="4"/>
      <c r="J301" s="13" t="s">
        <v>188</v>
      </c>
      <c r="K301" s="5" t="s">
        <v>182</v>
      </c>
      <c r="L301" s="4">
        <v>2019</v>
      </c>
      <c r="M301" s="4">
        <v>5</v>
      </c>
      <c r="N301" s="5" t="s">
        <v>87</v>
      </c>
      <c r="O301" s="36" t="s">
        <v>80</v>
      </c>
      <c r="P301" s="29">
        <v>4.5</v>
      </c>
      <c r="Q301" s="4">
        <v>29.7</v>
      </c>
      <c r="R301" s="4">
        <v>3</v>
      </c>
      <c r="S301" s="13">
        <v>9.9</v>
      </c>
      <c r="T301" s="21">
        <v>43</v>
      </c>
      <c r="U301" s="21">
        <v>17</v>
      </c>
      <c r="V301" s="21">
        <v>40</v>
      </c>
      <c r="W301" s="18"/>
      <c r="X301" s="4"/>
      <c r="Y301" s="5" t="s">
        <v>82</v>
      </c>
      <c r="Z301" s="4">
        <v>5</v>
      </c>
      <c r="AA301" s="4">
        <v>5</v>
      </c>
      <c r="AB301" s="9">
        <v>-1.04380179160831</v>
      </c>
      <c r="AC301" s="9">
        <v>0.0759816201970182</v>
      </c>
      <c r="AD301" s="9">
        <v>-0.985094016389633</v>
      </c>
      <c r="AE301" s="9">
        <v>0.0532818737256217</v>
      </c>
      <c r="AF301" s="9">
        <v>0.0587077752186772</v>
      </c>
      <c r="AG301" s="9">
        <v>0.12926349392264</v>
      </c>
      <c r="AH301" s="9">
        <v>-1.43105226176138</v>
      </c>
      <c r="AI301" s="9">
        <v>0.0380597788967007</v>
      </c>
      <c r="AJ301" s="4">
        <v>0.387250470153076</v>
      </c>
      <c r="AK301" s="4">
        <v>0.114041399093719</v>
      </c>
      <c r="AL301" s="4">
        <v>0.445958245371753</v>
      </c>
      <c r="AM301" s="4">
        <v>0.0913416526223227</v>
      </c>
      <c r="AN301" s="4">
        <v>0.0219789067187752</v>
      </c>
      <c r="AO301" s="4">
        <v>0</v>
      </c>
      <c r="AP301" s="4">
        <v>-2.01490302054226</v>
      </c>
      <c r="AQ301" s="4">
        <v>0.0625</v>
      </c>
      <c r="AR301" s="4"/>
      <c r="AS301" s="4"/>
      <c r="AT301" s="4"/>
      <c r="AU301" s="4"/>
      <c r="AV301" s="4"/>
      <c r="AW301" s="4"/>
      <c r="AX301" s="4"/>
      <c r="AY301" s="4"/>
      <c r="BN301" s="4">
        <v>-1.09861228866811</v>
      </c>
      <c r="BO301" s="4">
        <v>0.0694444444444444</v>
      </c>
    </row>
    <row r="302" s="4" customFormat="1" spans="1:67">
      <c r="A302" s="4">
        <v>301</v>
      </c>
      <c r="B302" s="18">
        <v>51</v>
      </c>
      <c r="C302" s="19" t="s">
        <v>75</v>
      </c>
      <c r="D302" s="5" t="s">
        <v>259</v>
      </c>
      <c r="E302" s="4">
        <v>21.45</v>
      </c>
      <c r="F302" s="4">
        <v>110.9</v>
      </c>
      <c r="G302" s="20">
        <v>23</v>
      </c>
      <c r="H302" s="21">
        <v>1550</v>
      </c>
      <c r="I302" s="4"/>
      <c r="J302" s="13" t="s">
        <v>188</v>
      </c>
      <c r="K302" s="5" t="s">
        <v>182</v>
      </c>
      <c r="L302" s="4">
        <v>2019</v>
      </c>
      <c r="M302" s="4">
        <v>5</v>
      </c>
      <c r="N302" s="5" t="s">
        <v>87</v>
      </c>
      <c r="O302" s="36" t="s">
        <v>80</v>
      </c>
      <c r="P302" s="29">
        <v>4.5</v>
      </c>
      <c r="Q302" s="4">
        <v>29.7</v>
      </c>
      <c r="R302" s="4">
        <v>3</v>
      </c>
      <c r="S302" s="13">
        <v>9.9</v>
      </c>
      <c r="T302" s="21">
        <v>43</v>
      </c>
      <c r="U302" s="21">
        <v>17</v>
      </c>
      <c r="V302" s="21">
        <v>40</v>
      </c>
      <c r="W302" s="18"/>
      <c r="X302" s="4"/>
      <c r="Y302" s="5" t="s">
        <v>82</v>
      </c>
      <c r="Z302" s="4">
        <v>5</v>
      </c>
      <c r="AA302" s="4">
        <v>5</v>
      </c>
      <c r="AB302" s="9">
        <v>-0.282994126128556</v>
      </c>
      <c r="AC302" s="9">
        <v>0.0869910660082893</v>
      </c>
      <c r="AD302" s="9">
        <v>0.0993825955201175</v>
      </c>
      <c r="AE302" s="9">
        <v>0.0320864825599164</v>
      </c>
      <c r="AF302" s="9">
        <v>0.382376721648675</v>
      </c>
      <c r="AG302" s="9">
        <v>0.119077548568206</v>
      </c>
      <c r="AH302" s="9">
        <v>-0.410528410064711</v>
      </c>
      <c r="AI302" s="9">
        <v>0.0398100074037821</v>
      </c>
      <c r="AJ302" s="4">
        <v>0.127534283936156</v>
      </c>
      <c r="AK302" s="4">
        <v>0.126801073412072</v>
      </c>
      <c r="AL302" s="4">
        <v>0.50991100558483</v>
      </c>
      <c r="AM302" s="4">
        <v>0.0718964899636988</v>
      </c>
      <c r="AN302" s="4">
        <v>-0.0224728558520585</v>
      </c>
      <c r="AO302" s="4">
        <v>0.000516528925619835</v>
      </c>
      <c r="AP302" s="4">
        <v>-0.628608659422374</v>
      </c>
      <c r="AQ302" s="4">
        <v>0.00390625</v>
      </c>
      <c r="AR302" s="4"/>
      <c r="AS302" s="4"/>
      <c r="AT302" s="4"/>
      <c r="AU302" s="4"/>
      <c r="AV302" s="4"/>
      <c r="AW302" s="4"/>
      <c r="AX302" s="4"/>
      <c r="AY302" s="4"/>
      <c r="BN302" s="4">
        <v>-0.538996500732687</v>
      </c>
      <c r="BO302" s="4">
        <v>0.0273526077097506</v>
      </c>
    </row>
    <row r="303" s="4" customFormat="1" spans="1:67">
      <c r="A303" s="4">
        <v>302</v>
      </c>
      <c r="B303" s="18">
        <v>51</v>
      </c>
      <c r="C303" s="19" t="s">
        <v>75</v>
      </c>
      <c r="D303" s="5" t="s">
        <v>257</v>
      </c>
      <c r="E303" s="4">
        <v>21.45</v>
      </c>
      <c r="F303" s="4">
        <v>110.9</v>
      </c>
      <c r="G303" s="20">
        <v>23</v>
      </c>
      <c r="H303" s="21">
        <v>1550</v>
      </c>
      <c r="I303" s="4"/>
      <c r="J303" s="5" t="s">
        <v>199</v>
      </c>
      <c r="K303" s="5" t="s">
        <v>182</v>
      </c>
      <c r="L303" s="4">
        <v>2019</v>
      </c>
      <c r="M303" s="4">
        <v>5</v>
      </c>
      <c r="N303" s="5" t="s">
        <v>87</v>
      </c>
      <c r="O303" s="36" t="s">
        <v>80</v>
      </c>
      <c r="P303" s="29">
        <v>4.4</v>
      </c>
      <c r="Q303" s="4">
        <v>23.6</v>
      </c>
      <c r="R303" s="4">
        <v>2.2</v>
      </c>
      <c r="S303" s="13">
        <v>10.7272727272727</v>
      </c>
      <c r="T303" s="21">
        <v>43</v>
      </c>
      <c r="U303" s="21">
        <v>17</v>
      </c>
      <c r="V303" s="21">
        <v>40</v>
      </c>
      <c r="W303" s="18"/>
      <c r="X303" s="4"/>
      <c r="Y303" s="5" t="s">
        <v>82</v>
      </c>
      <c r="Z303" s="4">
        <v>5</v>
      </c>
      <c r="AA303" s="4">
        <v>5</v>
      </c>
      <c r="AB303" s="9">
        <v>-2.52572864430826</v>
      </c>
      <c r="AC303" s="9">
        <v>0.112220944451562</v>
      </c>
      <c r="AD303" s="9">
        <v>-2.56656679490655</v>
      </c>
      <c r="AE303" s="9">
        <v>0.199839250926327</v>
      </c>
      <c r="AF303" s="9">
        <v>-0.040838150598294</v>
      </c>
      <c r="AG303" s="9">
        <v>0.31206019537789</v>
      </c>
      <c r="AH303" s="9">
        <v>-2.16799493902128</v>
      </c>
      <c r="AI303" s="9">
        <v>0.00603978741740878</v>
      </c>
      <c r="AJ303" s="4">
        <v>-0.357733705286974</v>
      </c>
      <c r="AK303" s="4">
        <v>0.118260731868971</v>
      </c>
      <c r="AL303" s="4">
        <v>-0.39857185588527</v>
      </c>
      <c r="AM303" s="4">
        <v>0.205879038343736</v>
      </c>
      <c r="AN303" s="4">
        <v>0.0224728558520586</v>
      </c>
      <c r="AO303" s="4">
        <v>0</v>
      </c>
      <c r="AP303" s="4">
        <v>-1.99243016469021</v>
      </c>
      <c r="AQ303" s="4">
        <v>0.119375573921029</v>
      </c>
      <c r="AR303" s="4"/>
      <c r="AS303" s="4"/>
      <c r="AT303" s="4"/>
      <c r="AU303" s="4"/>
      <c r="AV303" s="4"/>
      <c r="AW303" s="4"/>
      <c r="AX303" s="4"/>
      <c r="AY303" s="4"/>
      <c r="BN303" s="4">
        <v>-2.30258509299405</v>
      </c>
      <c r="BO303" s="4">
        <v>0.01</v>
      </c>
    </row>
    <row r="304" s="4" customFormat="1" spans="1:67">
      <c r="A304" s="4">
        <v>303</v>
      </c>
      <c r="B304" s="18">
        <v>51</v>
      </c>
      <c r="C304" s="19" t="s">
        <v>75</v>
      </c>
      <c r="D304" s="5" t="s">
        <v>258</v>
      </c>
      <c r="E304" s="4">
        <v>21.45</v>
      </c>
      <c r="F304" s="4">
        <v>110.9</v>
      </c>
      <c r="G304" s="20">
        <v>23</v>
      </c>
      <c r="H304" s="21">
        <v>1550</v>
      </c>
      <c r="I304" s="4"/>
      <c r="J304" s="13" t="s">
        <v>188</v>
      </c>
      <c r="K304" s="5" t="s">
        <v>182</v>
      </c>
      <c r="L304" s="4">
        <v>2019</v>
      </c>
      <c r="M304" s="4">
        <v>5</v>
      </c>
      <c r="N304" s="5" t="s">
        <v>87</v>
      </c>
      <c r="O304" s="36" t="s">
        <v>80</v>
      </c>
      <c r="P304" s="29">
        <v>4.4</v>
      </c>
      <c r="Q304" s="4">
        <v>23.6</v>
      </c>
      <c r="R304" s="4">
        <v>2.2</v>
      </c>
      <c r="S304" s="13">
        <v>10.7272727272727</v>
      </c>
      <c r="T304" s="21">
        <v>43</v>
      </c>
      <c r="U304" s="21">
        <v>17</v>
      </c>
      <c r="V304" s="21">
        <v>40</v>
      </c>
      <c r="W304" s="18"/>
      <c r="X304" s="4"/>
      <c r="Y304" s="5" t="s">
        <v>82</v>
      </c>
      <c r="Z304" s="4">
        <v>5</v>
      </c>
      <c r="AA304" s="4">
        <v>5</v>
      </c>
      <c r="AB304" s="9">
        <v>-1.27296567581289</v>
      </c>
      <c r="AC304" s="9">
        <v>0.0101814036312499</v>
      </c>
      <c r="AD304" s="9">
        <v>-0.8434619595735</v>
      </c>
      <c r="AE304" s="9">
        <v>0.0306641756230837</v>
      </c>
      <c r="AF304" s="9">
        <v>0.429503716239388</v>
      </c>
      <c r="AG304" s="9">
        <v>0.0408455792543337</v>
      </c>
      <c r="AH304" s="9">
        <v>-1.0094845087721</v>
      </c>
      <c r="AI304" s="9">
        <v>0.012693113539637</v>
      </c>
      <c r="AJ304" s="4">
        <v>-0.263481167040784</v>
      </c>
      <c r="AK304" s="4">
        <v>0.0228745171708868</v>
      </c>
      <c r="AL304" s="4">
        <v>0.166022549198603</v>
      </c>
      <c r="AM304" s="4">
        <v>0.0433572891627209</v>
      </c>
      <c r="AN304" s="4">
        <v>0.0659579677917974</v>
      </c>
      <c r="AO304" s="4">
        <v>0</v>
      </c>
      <c r="AP304" s="4">
        <v>-1.48160454092422</v>
      </c>
      <c r="AQ304" s="4">
        <v>0.04</v>
      </c>
      <c r="AR304" s="4"/>
      <c r="AS304" s="4"/>
      <c r="AT304" s="4"/>
      <c r="AU304" s="4"/>
      <c r="AV304" s="4"/>
      <c r="AW304" s="4"/>
      <c r="AX304" s="4"/>
      <c r="AY304" s="4"/>
      <c r="BN304" s="4">
        <v>-0.916290731874155</v>
      </c>
      <c r="BO304" s="4">
        <v>0.26</v>
      </c>
    </row>
    <row r="305" s="4" customFormat="1" spans="1:67">
      <c r="A305" s="4">
        <v>304</v>
      </c>
      <c r="B305" s="18">
        <v>51</v>
      </c>
      <c r="C305" s="19" t="s">
        <v>75</v>
      </c>
      <c r="D305" s="5" t="s">
        <v>259</v>
      </c>
      <c r="E305" s="4">
        <v>21.45</v>
      </c>
      <c r="F305" s="4">
        <v>110.9</v>
      </c>
      <c r="G305" s="20">
        <v>23</v>
      </c>
      <c r="H305" s="21">
        <v>1550</v>
      </c>
      <c r="I305" s="4"/>
      <c r="J305" s="13" t="s">
        <v>188</v>
      </c>
      <c r="K305" s="5" t="s">
        <v>182</v>
      </c>
      <c r="L305" s="4">
        <v>2019</v>
      </c>
      <c r="M305" s="4">
        <v>5</v>
      </c>
      <c r="N305" s="5" t="s">
        <v>87</v>
      </c>
      <c r="O305" s="36" t="s">
        <v>80</v>
      </c>
      <c r="P305" s="29">
        <v>4.4</v>
      </c>
      <c r="Q305" s="4">
        <v>23.6</v>
      </c>
      <c r="R305" s="4">
        <v>2.2</v>
      </c>
      <c r="S305" s="13">
        <v>10.7272727272727</v>
      </c>
      <c r="T305" s="21">
        <v>43</v>
      </c>
      <c r="U305" s="21">
        <v>17</v>
      </c>
      <c r="V305" s="21">
        <v>40</v>
      </c>
      <c r="W305" s="18"/>
      <c r="X305" s="4"/>
      <c r="Y305" s="5" t="s">
        <v>82</v>
      </c>
      <c r="Z305" s="4">
        <v>5</v>
      </c>
      <c r="AA305" s="4">
        <v>5</v>
      </c>
      <c r="AB305" s="9">
        <v>0.00664288708815887</v>
      </c>
      <c r="AC305" s="9">
        <v>0.0243125402268666</v>
      </c>
      <c r="AD305" s="9">
        <v>0.0631988793114472</v>
      </c>
      <c r="AE305" s="9">
        <v>0.00993548701594532</v>
      </c>
      <c r="AF305" s="9">
        <v>0.056555992223289</v>
      </c>
      <c r="AG305" s="9">
        <v>0.034248027242812</v>
      </c>
      <c r="AH305" s="9">
        <v>0.0168071183163812</v>
      </c>
      <c r="AI305" s="9">
        <v>0.0376508985285199</v>
      </c>
      <c r="AJ305" s="4">
        <v>-0.0101642312282223</v>
      </c>
      <c r="AK305" s="4">
        <v>0.0619634387553865</v>
      </c>
      <c r="AL305" s="4">
        <v>0.0463917609950662</v>
      </c>
      <c r="AM305" s="4">
        <v>0.0475863855444652</v>
      </c>
      <c r="AN305" s="4">
        <v>-0.0229895182246988</v>
      </c>
      <c r="AO305" s="4">
        <v>0.000540832882639265</v>
      </c>
      <c r="AP305" s="4">
        <v>-0.200670695462151</v>
      </c>
      <c r="AQ305" s="4">
        <v>0.00308641975308642</v>
      </c>
      <c r="AR305" s="4"/>
      <c r="AS305" s="4"/>
      <c r="AT305" s="4"/>
      <c r="AU305" s="4"/>
      <c r="AV305" s="4"/>
      <c r="AW305" s="4"/>
      <c r="AX305" s="4"/>
      <c r="AY305" s="4"/>
      <c r="BN305" s="4">
        <v>-0.22314355131421</v>
      </c>
      <c r="BO305" s="4">
        <v>0.0725</v>
      </c>
    </row>
    <row r="306" s="4" customFormat="1" spans="1:67">
      <c r="A306" s="4">
        <v>305</v>
      </c>
      <c r="B306" s="18">
        <v>51</v>
      </c>
      <c r="C306" s="19" t="s">
        <v>75</v>
      </c>
      <c r="D306" s="5" t="s">
        <v>257</v>
      </c>
      <c r="E306" s="4">
        <v>21.45</v>
      </c>
      <c r="F306" s="4">
        <v>110.9</v>
      </c>
      <c r="G306" s="20">
        <v>23</v>
      </c>
      <c r="H306" s="21">
        <v>1550</v>
      </c>
      <c r="I306" s="4"/>
      <c r="J306" s="5" t="s">
        <v>199</v>
      </c>
      <c r="K306" s="5" t="s">
        <v>182</v>
      </c>
      <c r="L306" s="4">
        <v>2019</v>
      </c>
      <c r="M306" s="4">
        <v>5</v>
      </c>
      <c r="N306" s="5" t="s">
        <v>87</v>
      </c>
      <c r="O306" s="36" t="s">
        <v>80</v>
      </c>
      <c r="P306" s="29">
        <v>4.1</v>
      </c>
      <c r="Q306" s="4">
        <v>29.7</v>
      </c>
      <c r="R306" s="4">
        <v>3.1</v>
      </c>
      <c r="S306" s="13">
        <v>9.58064516129032</v>
      </c>
      <c r="T306" s="21">
        <v>43</v>
      </c>
      <c r="U306" s="21">
        <v>17</v>
      </c>
      <c r="V306" s="21">
        <v>40</v>
      </c>
      <c r="W306" s="18"/>
      <c r="X306" s="4"/>
      <c r="Y306" s="5" t="s">
        <v>82</v>
      </c>
      <c r="Z306" s="4">
        <v>5</v>
      </c>
      <c r="AA306" s="4">
        <v>5</v>
      </c>
      <c r="AB306" s="9">
        <v>-2.15305497192501</v>
      </c>
      <c r="AC306" s="9">
        <v>0.0337715149467683</v>
      </c>
      <c r="AD306" s="9">
        <v>-2.49370989155962</v>
      </c>
      <c r="AE306" s="9">
        <v>0.148482186284951</v>
      </c>
      <c r="AF306" s="9">
        <v>-0.340654919634617</v>
      </c>
      <c r="AG306" s="9">
        <v>0.182253701231719</v>
      </c>
      <c r="AH306" s="9">
        <v>-1.84358453709264</v>
      </c>
      <c r="AI306" s="9">
        <v>0.00837676759106234</v>
      </c>
      <c r="AJ306" s="4">
        <v>-0.309470434832367</v>
      </c>
      <c r="AK306" s="4">
        <v>0.0421482825378309</v>
      </c>
      <c r="AL306" s="4">
        <v>-0.650125354466983</v>
      </c>
      <c r="AM306" s="4">
        <v>0.156858953876014</v>
      </c>
      <c r="AN306" s="4">
        <v>0.093090423066012</v>
      </c>
      <c r="AO306" s="4">
        <v>0.00108871115811429</v>
      </c>
      <c r="AP306" s="4">
        <v>-3.43398720448515</v>
      </c>
      <c r="AQ306" s="4">
        <v>1.00104058272633</v>
      </c>
      <c r="AR306" s="4"/>
      <c r="AS306" s="4"/>
      <c r="AT306" s="4"/>
      <c r="AU306" s="4"/>
      <c r="AV306" s="4"/>
      <c r="AW306" s="4"/>
      <c r="AX306" s="4">
        <v>-0.277631736598279</v>
      </c>
      <c r="AY306" s="4">
        <v>0.0234235735582537</v>
      </c>
      <c r="BN306" s="4">
        <v>-1.38629436111989</v>
      </c>
      <c r="BO306" s="4">
        <v>0.06640625</v>
      </c>
    </row>
    <row r="307" s="4" customFormat="1" spans="1:67">
      <c r="A307" s="4">
        <v>306</v>
      </c>
      <c r="B307" s="18">
        <v>51</v>
      </c>
      <c r="C307" s="19" t="s">
        <v>75</v>
      </c>
      <c r="D307" s="5" t="s">
        <v>258</v>
      </c>
      <c r="E307" s="4">
        <v>21.45</v>
      </c>
      <c r="F307" s="4">
        <v>110.9</v>
      </c>
      <c r="G307" s="20">
        <v>23</v>
      </c>
      <c r="H307" s="21">
        <v>1550</v>
      </c>
      <c r="I307" s="4"/>
      <c r="J307" s="13" t="s">
        <v>188</v>
      </c>
      <c r="K307" s="5" t="s">
        <v>182</v>
      </c>
      <c r="L307" s="4">
        <v>2019</v>
      </c>
      <c r="M307" s="4">
        <v>5</v>
      </c>
      <c r="N307" s="5" t="s">
        <v>87</v>
      </c>
      <c r="O307" s="36" t="s">
        <v>80</v>
      </c>
      <c r="P307" s="29">
        <v>4.1</v>
      </c>
      <c r="Q307" s="4">
        <v>29.7</v>
      </c>
      <c r="R307" s="4">
        <v>3.1</v>
      </c>
      <c r="S307" s="13">
        <v>9.58064516129032</v>
      </c>
      <c r="T307" s="21">
        <v>43</v>
      </c>
      <c r="U307" s="21">
        <v>17</v>
      </c>
      <c r="V307" s="21">
        <v>40</v>
      </c>
      <c r="W307" s="18"/>
      <c r="X307" s="4"/>
      <c r="Y307" s="5" t="s">
        <v>82</v>
      </c>
      <c r="Z307" s="4">
        <v>5</v>
      </c>
      <c r="AA307" s="4">
        <v>5</v>
      </c>
      <c r="AB307" s="9">
        <v>-0.780746500667242</v>
      </c>
      <c r="AC307" s="9">
        <v>0.0109525216307911</v>
      </c>
      <c r="AD307" s="9">
        <v>-0.362885661022222</v>
      </c>
      <c r="AE307" s="9">
        <v>0.0306793805232595</v>
      </c>
      <c r="AF307" s="9">
        <v>0.417860839645018</v>
      </c>
      <c r="AG307" s="9">
        <v>0.0416319021540505</v>
      </c>
      <c r="AH307" s="9">
        <v>-0.696519865038584</v>
      </c>
      <c r="AI307" s="9">
        <v>0.0232300919124106</v>
      </c>
      <c r="AJ307" s="4">
        <v>-0.0842266356286575</v>
      </c>
      <c r="AK307" s="4">
        <v>0.0341826135432017</v>
      </c>
      <c r="AL307" s="4">
        <v>0.333634204016362</v>
      </c>
      <c r="AM307" s="4">
        <v>0.0539094724356703</v>
      </c>
      <c r="AN307" s="4">
        <v>0.136575535005751</v>
      </c>
      <c r="AO307" s="4">
        <v>0</v>
      </c>
      <c r="AP307" s="4">
        <v>-1.1314021114911</v>
      </c>
      <c r="AQ307" s="4">
        <v>0.04</v>
      </c>
      <c r="AR307" s="4"/>
      <c r="AS307" s="4"/>
      <c r="AT307" s="4"/>
      <c r="AU307" s="4"/>
      <c r="AV307" s="4"/>
      <c r="AW307" s="4"/>
      <c r="AX307" s="4">
        <v>0.583850758780881</v>
      </c>
      <c r="AY307" s="4">
        <v>0.1005597788967</v>
      </c>
      <c r="BN307" s="4">
        <v>-0.980829253011726</v>
      </c>
      <c r="BO307" s="4">
        <v>0.0316840277777778</v>
      </c>
    </row>
    <row r="308" s="4" customFormat="1" spans="1:67">
      <c r="A308" s="4">
        <v>307</v>
      </c>
      <c r="B308" s="18">
        <v>51</v>
      </c>
      <c r="C308" s="19" t="s">
        <v>75</v>
      </c>
      <c r="D308" s="5" t="s">
        <v>259</v>
      </c>
      <c r="E308" s="4">
        <v>21.45</v>
      </c>
      <c r="F308" s="4">
        <v>110.9</v>
      </c>
      <c r="G308" s="20">
        <v>23</v>
      </c>
      <c r="H308" s="21">
        <v>1550</v>
      </c>
      <c r="I308" s="4"/>
      <c r="J308" s="13" t="s">
        <v>188</v>
      </c>
      <c r="K308" s="5" t="s">
        <v>182</v>
      </c>
      <c r="L308" s="4">
        <v>2019</v>
      </c>
      <c r="M308" s="4">
        <v>5</v>
      </c>
      <c r="N308" s="5" t="s">
        <v>87</v>
      </c>
      <c r="O308" s="36" t="s">
        <v>80</v>
      </c>
      <c r="P308" s="29">
        <v>4.1</v>
      </c>
      <c r="Q308" s="4">
        <v>29.7</v>
      </c>
      <c r="R308" s="4">
        <v>3.1</v>
      </c>
      <c r="S308" s="13">
        <v>9.58064516129032</v>
      </c>
      <c r="T308" s="21">
        <v>43</v>
      </c>
      <c r="U308" s="21">
        <v>17</v>
      </c>
      <c r="V308" s="21">
        <v>40</v>
      </c>
      <c r="W308" s="18"/>
      <c r="X308" s="4"/>
      <c r="Y308" s="5" t="s">
        <v>82</v>
      </c>
      <c r="Z308" s="4">
        <v>5</v>
      </c>
      <c r="AA308" s="4">
        <v>5</v>
      </c>
      <c r="AB308" s="9">
        <v>0.0503219372420833</v>
      </c>
      <c r="AC308" s="9">
        <v>0.0276732044758228</v>
      </c>
      <c r="AD308" s="9">
        <v>-0.0654622307329094</v>
      </c>
      <c r="AE308" s="9">
        <v>0.0445928660880271</v>
      </c>
      <c r="AF308" s="9">
        <v>-0.115784167974996</v>
      </c>
      <c r="AG308" s="9">
        <v>0.0722660705638501</v>
      </c>
      <c r="AH308" s="9">
        <v>-0.051825067864586</v>
      </c>
      <c r="AI308" s="9">
        <v>0.0277419906683722</v>
      </c>
      <c r="AJ308" s="4">
        <v>0.102147005106669</v>
      </c>
      <c r="AK308" s="4">
        <v>0.055415195144195</v>
      </c>
      <c r="AL308" s="4">
        <v>-0.0136371628683218</v>
      </c>
      <c r="AM308" s="4">
        <v>0.0723348567563994</v>
      </c>
      <c r="AN308" s="4">
        <v>-0.0246926125903714</v>
      </c>
      <c r="AO308" s="4">
        <v>0.000625</v>
      </c>
      <c r="AP308" s="4">
        <v>-0.138150338480817</v>
      </c>
      <c r="AQ308" s="4">
        <v>0.0219478737997257</v>
      </c>
      <c r="AR308" s="4"/>
      <c r="AS308" s="4"/>
      <c r="AT308" s="4"/>
      <c r="AU308" s="4"/>
      <c r="AV308" s="4"/>
      <c r="AW308" s="4"/>
      <c r="AX308" s="4">
        <v>0.218080249357663</v>
      </c>
      <c r="AY308" s="4">
        <v>0.043716257403782</v>
      </c>
      <c r="BN308" s="4">
        <v>0.0606246218164348</v>
      </c>
      <c r="BO308" s="4">
        <v>0.0350481185121107</v>
      </c>
    </row>
    <row r="309" s="3" customFormat="1" spans="1:71">
      <c r="A309" s="4">
        <v>308</v>
      </c>
      <c r="B309" s="6">
        <v>52</v>
      </c>
      <c r="C309" s="24" t="s">
        <v>260</v>
      </c>
      <c r="D309" s="13" t="s">
        <v>261</v>
      </c>
      <c r="E309" s="3">
        <v>30.3416666666667</v>
      </c>
      <c r="F309" s="3">
        <v>109.225</v>
      </c>
      <c r="G309" s="26">
        <v>15.85</v>
      </c>
      <c r="H309" s="27">
        <v>1587.5</v>
      </c>
      <c r="I309" s="3"/>
      <c r="J309" s="13" t="s">
        <v>188</v>
      </c>
      <c r="K309" s="5" t="s">
        <v>182</v>
      </c>
      <c r="L309" s="3"/>
      <c r="M309" s="3">
        <v>3</v>
      </c>
      <c r="N309" s="13" t="s">
        <v>87</v>
      </c>
      <c r="O309" s="3"/>
      <c r="P309" s="7">
        <v>4.67</v>
      </c>
      <c r="Q309" s="3">
        <v>17.64</v>
      </c>
      <c r="R309" s="3">
        <v>2.6</v>
      </c>
      <c r="S309" s="13">
        <v>6.78461538461538</v>
      </c>
      <c r="T309" s="21">
        <v>17</v>
      </c>
      <c r="U309" s="21">
        <v>42</v>
      </c>
      <c r="V309" s="21">
        <v>41</v>
      </c>
      <c r="W309" s="6">
        <v>3.5</v>
      </c>
      <c r="X309" s="5" t="s">
        <v>81</v>
      </c>
      <c r="Y309" s="13" t="s">
        <v>82</v>
      </c>
      <c r="Z309" s="3">
        <v>3</v>
      </c>
      <c r="AA309" s="3">
        <v>3</v>
      </c>
      <c r="AB309" s="9">
        <v>-0.183581006650135</v>
      </c>
      <c r="AC309" s="9">
        <v>0.0148699229456286</v>
      </c>
      <c r="AD309" s="25">
        <v>-0.456712519102615</v>
      </c>
      <c r="AE309" s="25">
        <v>0.0869471846420976</v>
      </c>
      <c r="AF309" s="9">
        <v>-0.273131512452479</v>
      </c>
      <c r="AG309" s="9">
        <v>0.101817107587726</v>
      </c>
      <c r="AH309" s="25">
        <v>-0.17689413505859</v>
      </c>
      <c r="AI309" s="25">
        <v>0.00412286836051786</v>
      </c>
      <c r="AJ309" s="4">
        <v>-0.00668687159154606</v>
      </c>
      <c r="AK309" s="4">
        <v>0.0189927913061464</v>
      </c>
      <c r="AL309" s="3">
        <v>-0.279818384044027</v>
      </c>
      <c r="AM309" s="3">
        <v>0.0910700530026151</v>
      </c>
      <c r="AN309" s="4">
        <v>0.204154412624168</v>
      </c>
      <c r="AO309" s="4">
        <v>0.00413661672289759</v>
      </c>
      <c r="AP309" s="3">
        <v>-0.0432287345508201</v>
      </c>
      <c r="AQ309" s="3">
        <v>0.00866586900822078</v>
      </c>
      <c r="AR309" s="4">
        <v>1.15643185955694</v>
      </c>
      <c r="AS309" s="4">
        <v>0.03063414483329</v>
      </c>
      <c r="AT309" s="3"/>
      <c r="AU309" s="3"/>
      <c r="AV309" s="4"/>
      <c r="AW309" s="4"/>
      <c r="AX309" s="3">
        <v>-0.175564774331072</v>
      </c>
      <c r="AY309" s="3">
        <v>0.125415361338437</v>
      </c>
      <c r="AZ309" s="3">
        <v>0.0460221647814829</v>
      </c>
      <c r="BA309" s="3">
        <v>0.000110984194600914</v>
      </c>
      <c r="BJ309" s="3">
        <v>-0.428039430146704</v>
      </c>
      <c r="BK309" s="3">
        <v>0.014223186401132</v>
      </c>
      <c r="BR309" s="3">
        <v>0.677850515184472</v>
      </c>
      <c r="BS309" s="3">
        <v>0.00694155213105651</v>
      </c>
    </row>
    <row r="310" s="3" customFormat="1" spans="1:71">
      <c r="A310" s="4">
        <v>309</v>
      </c>
      <c r="B310" s="6">
        <v>52</v>
      </c>
      <c r="C310" s="24" t="s">
        <v>260</v>
      </c>
      <c r="D310" s="13" t="s">
        <v>261</v>
      </c>
      <c r="E310" s="3">
        <v>30.3416666666667</v>
      </c>
      <c r="F310" s="3">
        <v>109.225</v>
      </c>
      <c r="G310" s="26">
        <v>15.85</v>
      </c>
      <c r="H310" s="27">
        <v>1587.5</v>
      </c>
      <c r="I310" s="3"/>
      <c r="J310" s="13" t="s">
        <v>188</v>
      </c>
      <c r="K310" s="5" t="s">
        <v>182</v>
      </c>
      <c r="L310" s="3"/>
      <c r="M310" s="3">
        <v>10</v>
      </c>
      <c r="N310" s="13" t="s">
        <v>108</v>
      </c>
      <c r="O310" s="3"/>
      <c r="P310" s="7">
        <v>4.67</v>
      </c>
      <c r="Q310" s="3">
        <v>17.64</v>
      </c>
      <c r="R310" s="3">
        <v>2.6</v>
      </c>
      <c r="S310" s="13">
        <v>6.78461538461538</v>
      </c>
      <c r="T310" s="21">
        <v>17</v>
      </c>
      <c r="U310" s="21">
        <v>42</v>
      </c>
      <c r="V310" s="21">
        <v>41</v>
      </c>
      <c r="W310" s="6">
        <v>3.5</v>
      </c>
      <c r="X310" s="5" t="s">
        <v>81</v>
      </c>
      <c r="Y310" s="13" t="s">
        <v>82</v>
      </c>
      <c r="Z310" s="3">
        <v>3</v>
      </c>
      <c r="AA310" s="3">
        <v>3</v>
      </c>
      <c r="AB310" s="9">
        <v>-0.136472369680538</v>
      </c>
      <c r="AC310" s="9">
        <v>0.0203214565596501</v>
      </c>
      <c r="AD310" s="25">
        <v>-0.153053037831844</v>
      </c>
      <c r="AE310" s="25">
        <v>0.0334009503241856</v>
      </c>
      <c r="AF310" s="9">
        <v>-0.0165806681513064</v>
      </c>
      <c r="AG310" s="9">
        <v>0.0537224068838357</v>
      </c>
      <c r="AH310" s="25">
        <v>0.0378243086673389</v>
      </c>
      <c r="AI310" s="25">
        <v>0.00538384573393789</v>
      </c>
      <c r="AJ310" s="4">
        <v>-0.174296678347877</v>
      </c>
      <c r="AK310" s="4">
        <v>0.025705302293588</v>
      </c>
      <c r="AL310" s="3">
        <v>-0.190877346499183</v>
      </c>
      <c r="AM310" s="3">
        <v>0.0387847960581233</v>
      </c>
      <c r="AN310" s="4">
        <v>0.0846092619743852</v>
      </c>
      <c r="AO310" s="4">
        <v>0.00215944993480532</v>
      </c>
      <c r="AP310" s="3">
        <v>0.333721203249323</v>
      </c>
      <c r="AQ310" s="3">
        <v>0.0102282436975843</v>
      </c>
      <c r="AR310" s="4">
        <v>1.1221427860783</v>
      </c>
      <c r="AS310" s="4">
        <v>0.0339289853312878</v>
      </c>
      <c r="AT310" s="3"/>
      <c r="AU310" s="3"/>
      <c r="AV310" s="4"/>
      <c r="AW310" s="4"/>
      <c r="AX310" s="3">
        <v>0.472120032152116</v>
      </c>
      <c r="AY310" s="3">
        <v>0.052693113539637</v>
      </c>
      <c r="AZ310" s="3">
        <v>0.00573830772751924</v>
      </c>
      <c r="BA310" s="3">
        <v>0.000512928426855731</v>
      </c>
      <c r="BJ310" s="3">
        <v>0.00888894741724577</v>
      </c>
      <c r="BK310" s="3">
        <v>0.0247498887711949</v>
      </c>
      <c r="BR310" s="3">
        <v>0.69882363856475</v>
      </c>
      <c r="BS310" s="3">
        <v>0.00694155213105647</v>
      </c>
    </row>
    <row r="311" s="4" customFormat="1" spans="1:68">
      <c r="A311" s="4">
        <v>310</v>
      </c>
      <c r="B311" s="18">
        <v>53</v>
      </c>
      <c r="C311" s="19" t="s">
        <v>262</v>
      </c>
      <c r="D311" s="5" t="s">
        <v>263</v>
      </c>
      <c r="E311" s="5">
        <v>-15.5916666666667</v>
      </c>
      <c r="F311" s="5">
        <v>-47.7083333333333</v>
      </c>
      <c r="G311" s="20">
        <v>21.2625007629395</v>
      </c>
      <c r="H311" s="21">
        <v>1477</v>
      </c>
      <c r="I311" s="4"/>
      <c r="J311" s="5" t="s">
        <v>94</v>
      </c>
      <c r="K311" s="5" t="s">
        <v>78</v>
      </c>
      <c r="L311" s="4"/>
      <c r="M311" s="4">
        <v>6</v>
      </c>
      <c r="N311" s="5" t="s">
        <v>79</v>
      </c>
      <c r="O311" s="28" t="s">
        <v>80</v>
      </c>
      <c r="P311" s="29">
        <v>5.9</v>
      </c>
      <c r="Q311" s="4">
        <v>26.3</v>
      </c>
      <c r="R311" s="5"/>
      <c r="S311" s="13"/>
      <c r="T311" s="21">
        <v>51</v>
      </c>
      <c r="U311" s="21">
        <v>18</v>
      </c>
      <c r="V311" s="21">
        <v>31</v>
      </c>
      <c r="W311" s="4">
        <v>2</v>
      </c>
      <c r="X311" s="5" t="s">
        <v>81</v>
      </c>
      <c r="Y311" s="5" t="s">
        <v>82</v>
      </c>
      <c r="Z311" s="4">
        <v>3</v>
      </c>
      <c r="AA311" s="4">
        <v>3</v>
      </c>
      <c r="AB311" s="9">
        <v>1e-7</v>
      </c>
      <c r="AC311" s="9">
        <v>0.000256361683990305</v>
      </c>
      <c r="AD311" s="9"/>
      <c r="AE311" s="9"/>
      <c r="AF311" s="9"/>
      <c r="AG311" s="9"/>
      <c r="AH311" s="9"/>
      <c r="AI311" s="9"/>
      <c r="AJ311" s="4"/>
      <c r="AK311" s="4"/>
      <c r="AL311" s="4"/>
      <c r="AM311" s="4"/>
      <c r="AN311" s="4"/>
      <c r="AO311" s="4"/>
      <c r="AP311" s="4"/>
      <c r="AQ311" s="4"/>
      <c r="AR311" s="4"/>
      <c r="AS311" s="4"/>
      <c r="AT311" s="4"/>
      <c r="AU311" s="4"/>
      <c r="AV311" s="4"/>
      <c r="AW311" s="4"/>
      <c r="AX311" s="4">
        <v>0.217477813778532</v>
      </c>
      <c r="AY311" s="4">
        <v>0.0407373182816065</v>
      </c>
      <c r="BP311" s="4">
        <v>-0.0403545955867635</v>
      </c>
    </row>
    <row r="312" s="4" customFormat="1" spans="1:68">
      <c r="A312" s="4">
        <v>311</v>
      </c>
      <c r="B312" s="18">
        <v>53</v>
      </c>
      <c r="C312" s="19" t="s">
        <v>262</v>
      </c>
      <c r="D312" s="5" t="s">
        <v>263</v>
      </c>
      <c r="E312" s="5">
        <v>-15.5916666666667</v>
      </c>
      <c r="F312" s="5">
        <v>-47.7083333333333</v>
      </c>
      <c r="G312" s="20">
        <v>21.2625007629395</v>
      </c>
      <c r="H312" s="21">
        <v>1477</v>
      </c>
      <c r="I312" s="4"/>
      <c r="J312" s="5" t="s">
        <v>94</v>
      </c>
      <c r="K312" s="5" t="s">
        <v>78</v>
      </c>
      <c r="L312" s="4"/>
      <c r="M312" s="4">
        <v>6</v>
      </c>
      <c r="N312" s="5" t="s">
        <v>79</v>
      </c>
      <c r="O312" s="28" t="s">
        <v>80</v>
      </c>
      <c r="P312" s="29">
        <v>5.9</v>
      </c>
      <c r="Q312" s="4">
        <v>26.3</v>
      </c>
      <c r="R312" s="5"/>
      <c r="S312" s="13"/>
      <c r="T312" s="21">
        <v>51</v>
      </c>
      <c r="U312" s="21">
        <v>18</v>
      </c>
      <c r="V312" s="21">
        <v>31</v>
      </c>
      <c r="W312" s="4">
        <v>2</v>
      </c>
      <c r="X312" s="5" t="s">
        <v>81</v>
      </c>
      <c r="Y312" s="5" t="s">
        <v>82</v>
      </c>
      <c r="Z312" s="4">
        <v>3</v>
      </c>
      <c r="AA312" s="4">
        <v>3</v>
      </c>
      <c r="AB312" s="9">
        <v>0.322287601629256</v>
      </c>
      <c r="AC312" s="9">
        <v>0.000256361683990305</v>
      </c>
      <c r="AD312" s="9"/>
      <c r="AE312" s="9"/>
      <c r="AF312" s="9"/>
      <c r="AG312" s="9"/>
      <c r="AH312" s="9"/>
      <c r="AI312" s="9"/>
      <c r="AJ312" s="4"/>
      <c r="AK312" s="4"/>
      <c r="AL312" s="4"/>
      <c r="AM312" s="4"/>
      <c r="AN312" s="4"/>
      <c r="AO312" s="4"/>
      <c r="AP312" s="4"/>
      <c r="AQ312" s="4"/>
      <c r="AR312" s="4"/>
      <c r="AS312" s="4"/>
      <c r="AT312" s="4"/>
      <c r="AU312" s="4"/>
      <c r="AV312" s="4"/>
      <c r="AW312" s="4"/>
      <c r="AX312" s="4">
        <v>1.59040266739251</v>
      </c>
      <c r="AY312" s="4">
        <v>1.00941735031739</v>
      </c>
      <c r="BP312" s="4">
        <v>-0.0279318602435808</v>
      </c>
    </row>
    <row r="313" s="4" customFormat="1" spans="1:68">
      <c r="A313" s="4">
        <v>312</v>
      </c>
      <c r="B313" s="18">
        <v>53</v>
      </c>
      <c r="C313" s="19" t="s">
        <v>262</v>
      </c>
      <c r="D313" s="5" t="s">
        <v>263</v>
      </c>
      <c r="E313" s="5">
        <v>-15.5916666666667</v>
      </c>
      <c r="F313" s="5">
        <v>-47.7083333333333</v>
      </c>
      <c r="G313" s="20">
        <v>21.2625007629395</v>
      </c>
      <c r="H313" s="21">
        <v>1477</v>
      </c>
      <c r="I313" s="4"/>
      <c r="J313" s="5" t="s">
        <v>94</v>
      </c>
      <c r="K313" s="5" t="s">
        <v>78</v>
      </c>
      <c r="L313" s="4"/>
      <c r="M313" s="4">
        <v>6</v>
      </c>
      <c r="N313" s="5" t="s">
        <v>79</v>
      </c>
      <c r="O313" s="28" t="s">
        <v>80</v>
      </c>
      <c r="P313" s="29">
        <v>5.9</v>
      </c>
      <c r="Q313" s="4">
        <v>26.3</v>
      </c>
      <c r="R313" s="5"/>
      <c r="S313" s="13"/>
      <c r="T313" s="21">
        <v>51</v>
      </c>
      <c r="U313" s="21">
        <v>18</v>
      </c>
      <c r="V313" s="21">
        <v>31</v>
      </c>
      <c r="W313" s="4">
        <v>2</v>
      </c>
      <c r="X313" s="5" t="s">
        <v>81</v>
      </c>
      <c r="Y313" s="5" t="s">
        <v>82</v>
      </c>
      <c r="Z313" s="4">
        <v>3</v>
      </c>
      <c r="AA313" s="4">
        <v>3</v>
      </c>
      <c r="AB313" s="9">
        <v>-0.00566573753567742</v>
      </c>
      <c r="AC313" s="9">
        <v>0.000256361683990305</v>
      </c>
      <c r="AD313" s="9"/>
      <c r="AE313" s="9"/>
      <c r="AF313" s="9"/>
      <c r="AG313" s="9"/>
      <c r="AH313" s="9"/>
      <c r="AI313" s="9"/>
      <c r="AJ313" s="4"/>
      <c r="AK313" s="4"/>
      <c r="AL313" s="4"/>
      <c r="AM313" s="4"/>
      <c r="AN313" s="4"/>
      <c r="AO313" s="4"/>
      <c r="AP313" s="4"/>
      <c r="AQ313" s="4"/>
      <c r="AR313" s="4"/>
      <c r="AS313" s="4"/>
      <c r="AT313" s="4"/>
      <c r="AU313" s="4"/>
      <c r="AV313" s="4"/>
      <c r="AW313" s="4"/>
      <c r="AX313" s="4">
        <v>0.434882246452516</v>
      </c>
      <c r="AY313" s="4">
        <v>0.0632300919124106</v>
      </c>
      <c r="BP313" s="4">
        <v>0.0176013423772771</v>
      </c>
    </row>
    <row r="314" s="4" customFormat="1" spans="1:68">
      <c r="A314" s="4">
        <v>313</v>
      </c>
      <c r="B314" s="18">
        <v>53</v>
      </c>
      <c r="C314" s="19" t="s">
        <v>262</v>
      </c>
      <c r="D314" s="5" t="s">
        <v>263</v>
      </c>
      <c r="E314" s="5">
        <v>-15.5916666666667</v>
      </c>
      <c r="F314" s="5">
        <v>-47.7083333333333</v>
      </c>
      <c r="G314" s="20">
        <v>21.2625007629395</v>
      </c>
      <c r="H314" s="21">
        <v>1477</v>
      </c>
      <c r="I314" s="4"/>
      <c r="J314" s="5" t="s">
        <v>94</v>
      </c>
      <c r="K314" s="5" t="s">
        <v>78</v>
      </c>
      <c r="L314" s="4"/>
      <c r="M314" s="4">
        <v>6</v>
      </c>
      <c r="N314" s="5" t="s">
        <v>79</v>
      </c>
      <c r="O314" s="28" t="s">
        <v>80</v>
      </c>
      <c r="P314" s="29">
        <v>5.9</v>
      </c>
      <c r="Q314" s="4">
        <v>26.3</v>
      </c>
      <c r="R314" s="5"/>
      <c r="S314" s="13"/>
      <c r="T314" s="21">
        <v>51</v>
      </c>
      <c r="U314" s="21">
        <v>18</v>
      </c>
      <c r="V314" s="21">
        <v>31</v>
      </c>
      <c r="W314" s="4">
        <v>2</v>
      </c>
      <c r="X314" s="5" t="s">
        <v>81</v>
      </c>
      <c r="Y314" s="5" t="s">
        <v>82</v>
      </c>
      <c r="Z314" s="4">
        <v>3</v>
      </c>
      <c r="AA314" s="4">
        <v>3</v>
      </c>
      <c r="AB314" s="9">
        <v>-0.265508214957459</v>
      </c>
      <c r="AC314" s="9">
        <v>0.000256361683990305</v>
      </c>
      <c r="AD314" s="9"/>
      <c r="AE314" s="9"/>
      <c r="AF314" s="9"/>
      <c r="AG314" s="9"/>
      <c r="AH314" s="9"/>
      <c r="AI314" s="9"/>
      <c r="AJ314" s="4"/>
      <c r="AK314" s="4"/>
      <c r="AL314" s="4"/>
      <c r="AM314" s="4"/>
      <c r="AN314" s="4"/>
      <c r="AO314" s="4"/>
      <c r="AP314" s="4"/>
      <c r="AQ314" s="4"/>
      <c r="AR314" s="4"/>
      <c r="AS314" s="4"/>
      <c r="AT314" s="4"/>
      <c r="AU314" s="4"/>
      <c r="AV314" s="4"/>
      <c r="AW314" s="4"/>
      <c r="AX314" s="4">
        <v>0.0863252706162272</v>
      </c>
      <c r="AY314" s="4">
        <v>0.0496898644680982</v>
      </c>
      <c r="BP314" s="4">
        <v>-0.110400060601104</v>
      </c>
    </row>
    <row r="315" s="4" customFormat="1" spans="1:68">
      <c r="A315" s="4">
        <v>314</v>
      </c>
      <c r="B315" s="18">
        <v>53</v>
      </c>
      <c r="C315" s="19" t="s">
        <v>262</v>
      </c>
      <c r="D315" s="5" t="s">
        <v>263</v>
      </c>
      <c r="E315" s="5">
        <v>-15.5916666666667</v>
      </c>
      <c r="F315" s="5">
        <v>-47.7083333333333</v>
      </c>
      <c r="G315" s="20">
        <v>21.2625007629395</v>
      </c>
      <c r="H315" s="21">
        <v>1477</v>
      </c>
      <c r="I315" s="4"/>
      <c r="J315" s="5" t="s">
        <v>94</v>
      </c>
      <c r="K315" s="5" t="s">
        <v>78</v>
      </c>
      <c r="L315" s="4"/>
      <c r="M315" s="4">
        <v>6</v>
      </c>
      <c r="N315" s="5" t="s">
        <v>79</v>
      </c>
      <c r="O315" s="28" t="s">
        <v>80</v>
      </c>
      <c r="P315" s="29">
        <v>5.9</v>
      </c>
      <c r="Q315" s="4">
        <v>26.3</v>
      </c>
      <c r="R315" s="5"/>
      <c r="S315" s="13"/>
      <c r="T315" s="21">
        <v>51</v>
      </c>
      <c r="U315" s="21">
        <v>18</v>
      </c>
      <c r="V315" s="21">
        <v>31</v>
      </c>
      <c r="W315" s="4">
        <v>2</v>
      </c>
      <c r="X315" s="5" t="s">
        <v>81</v>
      </c>
      <c r="Y315" s="5" t="s">
        <v>82</v>
      </c>
      <c r="Z315" s="4">
        <v>3</v>
      </c>
      <c r="AA315" s="4">
        <v>3</v>
      </c>
      <c r="AB315" s="9">
        <v>-0.171542422539127</v>
      </c>
      <c r="AC315" s="9">
        <v>0.000256361683990305</v>
      </c>
      <c r="AD315" s="9"/>
      <c r="AE315" s="9"/>
      <c r="AF315" s="9"/>
      <c r="AG315" s="9"/>
      <c r="AH315" s="9"/>
      <c r="AI315" s="9"/>
      <c r="AJ315" s="4"/>
      <c r="AK315" s="4"/>
      <c r="AL315" s="4"/>
      <c r="AM315" s="4"/>
      <c r="AN315" s="4"/>
      <c r="AO315" s="4"/>
      <c r="AP315" s="4"/>
      <c r="AQ315" s="4"/>
      <c r="AR315" s="4"/>
      <c r="AS315" s="4"/>
      <c r="AT315" s="4"/>
      <c r="AU315" s="4"/>
      <c r="AV315" s="4"/>
      <c r="AW315" s="4"/>
      <c r="AX315" s="4">
        <v>-0.133665400507769</v>
      </c>
      <c r="AY315" s="4">
        <v>0.0127887373687387</v>
      </c>
      <c r="BP315" s="4">
        <v>0.0258779607678734</v>
      </c>
    </row>
    <row r="316" s="4" customFormat="1" spans="1:68">
      <c r="A316" s="4">
        <v>315</v>
      </c>
      <c r="B316" s="18">
        <v>53</v>
      </c>
      <c r="C316" s="19" t="s">
        <v>262</v>
      </c>
      <c r="D316" s="5" t="s">
        <v>263</v>
      </c>
      <c r="E316" s="5">
        <v>-15.5916666666667</v>
      </c>
      <c r="F316" s="5">
        <v>-47.7083333333333</v>
      </c>
      <c r="G316" s="20">
        <v>21.2625007629395</v>
      </c>
      <c r="H316" s="21">
        <v>1477</v>
      </c>
      <c r="I316" s="4"/>
      <c r="J316" s="5" t="s">
        <v>94</v>
      </c>
      <c r="K316" s="5" t="s">
        <v>78</v>
      </c>
      <c r="L316" s="4"/>
      <c r="M316" s="4">
        <v>6</v>
      </c>
      <c r="N316" s="5" t="s">
        <v>79</v>
      </c>
      <c r="O316" s="28" t="s">
        <v>80</v>
      </c>
      <c r="P316" s="29">
        <v>5.9</v>
      </c>
      <c r="Q316" s="4">
        <v>26.3</v>
      </c>
      <c r="R316" s="5"/>
      <c r="S316" s="13"/>
      <c r="T316" s="21">
        <v>51</v>
      </c>
      <c r="U316" s="21">
        <v>18</v>
      </c>
      <c r="V316" s="21">
        <v>31</v>
      </c>
      <c r="W316" s="4">
        <v>2</v>
      </c>
      <c r="X316" s="5" t="s">
        <v>81</v>
      </c>
      <c r="Y316" s="5" t="s">
        <v>82</v>
      </c>
      <c r="Z316" s="4">
        <v>3</v>
      </c>
      <c r="AA316" s="4">
        <v>3</v>
      </c>
      <c r="AB316" s="9">
        <v>-0.052643733485422</v>
      </c>
      <c r="AC316" s="9">
        <v>0.000256361683990305</v>
      </c>
      <c r="AD316" s="9"/>
      <c r="AE316" s="9"/>
      <c r="AF316" s="9"/>
      <c r="AG316" s="9"/>
      <c r="AH316" s="9"/>
      <c r="AI316" s="9"/>
      <c r="AJ316" s="4"/>
      <c r="AK316" s="4"/>
      <c r="AL316" s="4"/>
      <c r="AM316" s="4"/>
      <c r="AN316" s="4"/>
      <c r="AO316" s="4"/>
      <c r="AP316" s="4"/>
      <c r="AQ316" s="4"/>
      <c r="AR316" s="4"/>
      <c r="AS316" s="4"/>
      <c r="AT316" s="4"/>
      <c r="AU316" s="4"/>
      <c r="AV316" s="4"/>
      <c r="AW316" s="4"/>
      <c r="AX316" s="4">
        <v>-0.295896894581983</v>
      </c>
      <c r="AY316" s="4">
        <v>0.0156120894315222</v>
      </c>
      <c r="BP316" s="4">
        <v>-0.129638265266048</v>
      </c>
    </row>
    <row r="317" s="3" customFormat="1" spans="1:61">
      <c r="A317" s="4">
        <v>316</v>
      </c>
      <c r="B317" s="6">
        <v>54</v>
      </c>
      <c r="C317" s="24" t="s">
        <v>264</v>
      </c>
      <c r="D317" s="13" t="s">
        <v>265</v>
      </c>
      <c r="E317" s="25">
        <v>33.15</v>
      </c>
      <c r="F317" s="25">
        <v>116.55</v>
      </c>
      <c r="G317" s="20">
        <v>15.2250003814697</v>
      </c>
      <c r="H317" s="21">
        <v>791</v>
      </c>
      <c r="I317" s="3"/>
      <c r="J317" s="13" t="s">
        <v>94</v>
      </c>
      <c r="K317" s="5" t="s">
        <v>78</v>
      </c>
      <c r="L317" s="3">
        <v>2019</v>
      </c>
      <c r="M317" s="3">
        <v>3</v>
      </c>
      <c r="N317" s="13" t="s">
        <v>113</v>
      </c>
      <c r="O317" s="28" t="s">
        <v>80</v>
      </c>
      <c r="P317" s="7">
        <v>7.1</v>
      </c>
      <c r="Q317" s="3">
        <v>9.3</v>
      </c>
      <c r="R317" s="3">
        <v>0.87</v>
      </c>
      <c r="S317" s="13">
        <v>10.6896551724138</v>
      </c>
      <c r="T317" s="21">
        <v>21</v>
      </c>
      <c r="U317" s="21">
        <v>40</v>
      </c>
      <c r="V317" s="21">
        <v>39</v>
      </c>
      <c r="W317" s="3">
        <v>11</v>
      </c>
      <c r="X317" s="5" t="s">
        <v>91</v>
      </c>
      <c r="Y317" s="13" t="s">
        <v>82</v>
      </c>
      <c r="Z317" s="3">
        <v>3</v>
      </c>
      <c r="AA317" s="3">
        <v>3</v>
      </c>
      <c r="AB317" s="9">
        <v>0.0704516609506113</v>
      </c>
      <c r="AC317" s="9">
        <v>0.000256361683990305</v>
      </c>
      <c r="AD317" s="25"/>
      <c r="AE317" s="25"/>
      <c r="AF317" s="9"/>
      <c r="AG317" s="9"/>
      <c r="AH317" s="25">
        <v>0.10212949507638</v>
      </c>
      <c r="AI317" s="25">
        <v>0.00694155213105654</v>
      </c>
      <c r="AJ317" s="4">
        <v>-0.031677834125765</v>
      </c>
      <c r="AK317" s="4">
        <v>0.00719791381504682</v>
      </c>
      <c r="AL317" s="3"/>
      <c r="AM317" s="3"/>
      <c r="AN317" s="4">
        <v>-0.0745414355328539</v>
      </c>
      <c r="AO317" s="4">
        <v>0.000376217392046543</v>
      </c>
      <c r="AP317" s="3">
        <v>0.0666913744986724</v>
      </c>
      <c r="AQ317" s="3">
        <v>0.0143562530821345</v>
      </c>
      <c r="AR317" s="4"/>
      <c r="AS317" s="4"/>
      <c r="AT317" s="3"/>
      <c r="AU317" s="3"/>
      <c r="AV317" s="4">
        <v>-0.0689928714869513</v>
      </c>
      <c r="AW317" s="4">
        <v>0.00559950665344733</v>
      </c>
      <c r="AX317" s="3"/>
      <c r="AY317" s="3"/>
      <c r="AZ317" s="3">
        <v>-0.125886628663403</v>
      </c>
      <c r="BA317" s="3">
        <v>0.00035249114216703</v>
      </c>
      <c r="BF317" s="3">
        <v>0.053718607008422</v>
      </c>
      <c r="BG317" s="3">
        <v>0.0232771594671397</v>
      </c>
      <c r="BH317" s="3">
        <v>0.363290183057452</v>
      </c>
      <c r="BI317" s="3">
        <v>0.0205669628631137</v>
      </c>
    </row>
    <row r="318" s="3" customFormat="1" spans="1:61">
      <c r="A318" s="4">
        <v>317</v>
      </c>
      <c r="B318" s="6">
        <v>54</v>
      </c>
      <c r="C318" s="24" t="s">
        <v>264</v>
      </c>
      <c r="D318" s="13" t="s">
        <v>265</v>
      </c>
      <c r="E318" s="25">
        <v>33.15</v>
      </c>
      <c r="F318" s="25">
        <v>116.55</v>
      </c>
      <c r="G318" s="20">
        <v>15.2250003814697</v>
      </c>
      <c r="H318" s="21">
        <v>791</v>
      </c>
      <c r="I318" s="3"/>
      <c r="J318" s="13" t="s">
        <v>94</v>
      </c>
      <c r="K318" s="5" t="s">
        <v>78</v>
      </c>
      <c r="L318" s="3">
        <v>2019</v>
      </c>
      <c r="M318" s="3">
        <v>3</v>
      </c>
      <c r="N318" s="13" t="s">
        <v>113</v>
      </c>
      <c r="O318" s="28" t="s">
        <v>80</v>
      </c>
      <c r="P318" s="7">
        <v>7.1</v>
      </c>
      <c r="Q318" s="3">
        <v>9.3</v>
      </c>
      <c r="R318" s="3">
        <v>0.87</v>
      </c>
      <c r="S318" s="13">
        <v>10.6896551724138</v>
      </c>
      <c r="T318" s="21">
        <v>21</v>
      </c>
      <c r="U318" s="21">
        <v>40</v>
      </c>
      <c r="V318" s="21">
        <v>39</v>
      </c>
      <c r="W318" s="3">
        <v>11</v>
      </c>
      <c r="X318" s="5" t="s">
        <v>91</v>
      </c>
      <c r="Y318" s="13" t="s">
        <v>82</v>
      </c>
      <c r="Z318" s="3">
        <v>3</v>
      </c>
      <c r="AA318" s="3">
        <v>3</v>
      </c>
      <c r="AB318" s="9">
        <v>0.0704516609506113</v>
      </c>
      <c r="AC318" s="9">
        <v>0.000256361683990305</v>
      </c>
      <c r="AD318" s="25"/>
      <c r="AE318" s="25"/>
      <c r="AF318" s="9"/>
      <c r="AG318" s="9"/>
      <c r="AH318" s="25">
        <v>0.10212949507638</v>
      </c>
      <c r="AI318" s="25">
        <v>0.00694155213105654</v>
      </c>
      <c r="AJ318" s="4">
        <v>-0.031677834125765</v>
      </c>
      <c r="AK318" s="4">
        <v>0.00719791381504682</v>
      </c>
      <c r="AL318" s="3"/>
      <c r="AM318" s="3"/>
      <c r="AN318" s="4">
        <v>-0.113216015598135</v>
      </c>
      <c r="AO318" s="4">
        <v>0.000376217392046544</v>
      </c>
      <c r="AP318" s="3">
        <v>0.108802859848799</v>
      </c>
      <c r="AQ318" s="3">
        <v>0.0143562530821344</v>
      </c>
      <c r="AR318" s="4"/>
      <c r="AS318" s="4"/>
      <c r="AT318" s="3"/>
      <c r="AU318" s="3"/>
      <c r="AV318" s="4">
        <v>0</v>
      </c>
      <c r="AW318" s="4">
        <v>0.0055995066534473</v>
      </c>
      <c r="AX318" s="3"/>
      <c r="AY318" s="3"/>
      <c r="AZ318" s="3">
        <v>-0.138148282534102</v>
      </c>
      <c r="BA318" s="3">
        <v>0.000611239283110564</v>
      </c>
      <c r="BF318" s="3">
        <v>0.276024987909568</v>
      </c>
      <c r="BG318" s="3">
        <v>0.0232771594671397</v>
      </c>
      <c r="BH318" s="3">
        <v>0.408410618337921</v>
      </c>
      <c r="BI318" s="3">
        <v>0.0205669628631137</v>
      </c>
    </row>
    <row r="319" s="3" customFormat="1" spans="1:61">
      <c r="A319" s="4">
        <v>318</v>
      </c>
      <c r="B319" s="6">
        <v>54</v>
      </c>
      <c r="C319" s="24" t="s">
        <v>264</v>
      </c>
      <c r="D319" s="13" t="s">
        <v>265</v>
      </c>
      <c r="E319" s="25">
        <v>33.15</v>
      </c>
      <c r="F319" s="25">
        <v>116.55</v>
      </c>
      <c r="G319" s="20">
        <v>15.2250003814697</v>
      </c>
      <c r="H319" s="21">
        <v>791</v>
      </c>
      <c r="I319" s="3"/>
      <c r="J319" s="13" t="s">
        <v>94</v>
      </c>
      <c r="K319" s="5" t="s">
        <v>78</v>
      </c>
      <c r="L319" s="3">
        <v>2019</v>
      </c>
      <c r="M319" s="3">
        <v>3</v>
      </c>
      <c r="N319" s="13" t="s">
        <v>113</v>
      </c>
      <c r="O319" s="28" t="s">
        <v>80</v>
      </c>
      <c r="P319" s="7">
        <v>7.1</v>
      </c>
      <c r="Q319" s="3">
        <v>9.3</v>
      </c>
      <c r="R319" s="3">
        <v>0.87</v>
      </c>
      <c r="S319" s="13">
        <v>10.6896551724138</v>
      </c>
      <c r="T319" s="21">
        <v>21</v>
      </c>
      <c r="U319" s="21">
        <v>40</v>
      </c>
      <c r="V319" s="21">
        <v>39</v>
      </c>
      <c r="W319" s="3">
        <v>11</v>
      </c>
      <c r="X319" s="5" t="s">
        <v>91</v>
      </c>
      <c r="Y319" s="13" t="s">
        <v>82</v>
      </c>
      <c r="Z319" s="3">
        <v>3</v>
      </c>
      <c r="AA319" s="3">
        <v>3</v>
      </c>
      <c r="AB319" s="9">
        <v>0.0216614967811792</v>
      </c>
      <c r="AC319" s="9">
        <v>0.000256361683990305</v>
      </c>
      <c r="AD319" s="25"/>
      <c r="AE319" s="25"/>
      <c r="AF319" s="9"/>
      <c r="AG319" s="9"/>
      <c r="AH319" s="25">
        <v>0.185899378141838</v>
      </c>
      <c r="AI319" s="25">
        <v>0.00694155213105649</v>
      </c>
      <c r="AJ319" s="4">
        <v>-0.164237881360657</v>
      </c>
      <c r="AK319" s="4">
        <v>0.00719791381504678</v>
      </c>
      <c r="AL319" s="3"/>
      <c r="AM319" s="3"/>
      <c r="AN319" s="4">
        <v>-0.249906968513026</v>
      </c>
      <c r="AO319" s="4">
        <v>0.000376217392046544</v>
      </c>
      <c r="AP319" s="3">
        <v>0.129211731480006</v>
      </c>
      <c r="AQ319" s="3">
        <v>0.0143562530821344</v>
      </c>
      <c r="AR319" s="4"/>
      <c r="AS319" s="4"/>
      <c r="AT319" s="3"/>
      <c r="AU319" s="3"/>
      <c r="AV319" s="4">
        <v>-0.916290731874155</v>
      </c>
      <c r="AW319" s="4">
        <v>0.00559950665344732</v>
      </c>
      <c r="AX319" s="3"/>
      <c r="AY319" s="3"/>
      <c r="AZ319" s="3">
        <v>-0.175890361460313</v>
      </c>
      <c r="BA319" s="3">
        <v>0.00103055098562524</v>
      </c>
      <c r="BF319" s="3">
        <v>0.331413737058179</v>
      </c>
      <c r="BG319" s="3">
        <v>0.0232771594671397</v>
      </c>
      <c r="BH319" s="3">
        <v>0.363290183057452</v>
      </c>
      <c r="BI319" s="3">
        <v>0.0205669628631137</v>
      </c>
    </row>
    <row r="320" s="3" customFormat="1" spans="1:61">
      <c r="A320" s="4">
        <v>319</v>
      </c>
      <c r="B320" s="6">
        <v>54</v>
      </c>
      <c r="C320" s="24" t="s">
        <v>264</v>
      </c>
      <c r="D320" s="13" t="s">
        <v>265</v>
      </c>
      <c r="E320" s="25">
        <v>33.15</v>
      </c>
      <c r="F320" s="25">
        <v>116.55</v>
      </c>
      <c r="G320" s="20">
        <v>15.2250003814697</v>
      </c>
      <c r="H320" s="21">
        <v>791</v>
      </c>
      <c r="I320" s="3"/>
      <c r="J320" s="13" t="s">
        <v>94</v>
      </c>
      <c r="K320" s="5" t="s">
        <v>78</v>
      </c>
      <c r="L320" s="3">
        <v>2019</v>
      </c>
      <c r="M320" s="3">
        <v>3</v>
      </c>
      <c r="N320" s="13" t="s">
        <v>113</v>
      </c>
      <c r="O320" s="28" t="s">
        <v>80</v>
      </c>
      <c r="P320" s="7">
        <v>7.1</v>
      </c>
      <c r="Q320" s="3">
        <v>9.3</v>
      </c>
      <c r="R320" s="3">
        <v>0.87</v>
      </c>
      <c r="S320" s="13">
        <v>10.6896551724138</v>
      </c>
      <c r="T320" s="21">
        <v>21</v>
      </c>
      <c r="U320" s="21">
        <v>40</v>
      </c>
      <c r="V320" s="21">
        <v>39</v>
      </c>
      <c r="W320" s="3">
        <v>11</v>
      </c>
      <c r="X320" s="5" t="s">
        <v>91</v>
      </c>
      <c r="Y320" s="13" t="s">
        <v>82</v>
      </c>
      <c r="Z320" s="3">
        <v>3</v>
      </c>
      <c r="AA320" s="3">
        <v>3</v>
      </c>
      <c r="AB320" s="9">
        <v>0.0216614967811792</v>
      </c>
      <c r="AC320" s="9">
        <v>0.000256361683990305</v>
      </c>
      <c r="AD320" s="25"/>
      <c r="AE320" s="25"/>
      <c r="AF320" s="9"/>
      <c r="AG320" s="9"/>
      <c r="AH320" s="25">
        <v>0.20359895524124</v>
      </c>
      <c r="AI320" s="25">
        <v>0.00694155213105651</v>
      </c>
      <c r="AJ320" s="4">
        <v>-0.181937458460055</v>
      </c>
      <c r="AK320" s="4">
        <v>0.00719791381504678</v>
      </c>
      <c r="AL320" s="3"/>
      <c r="AM320" s="3"/>
      <c r="AN320" s="4">
        <v>-0.242699730108077</v>
      </c>
      <c r="AO320" s="4">
        <v>0.000376217392046543</v>
      </c>
      <c r="AP320" s="3">
        <v>0.296265816143172</v>
      </c>
      <c r="AQ320" s="3">
        <v>0.0143562530821345</v>
      </c>
      <c r="AR320" s="4"/>
      <c r="AS320" s="4"/>
      <c r="AT320" s="3"/>
      <c r="AU320" s="3"/>
      <c r="AV320" s="4">
        <v>-0.628608659422374</v>
      </c>
      <c r="AW320" s="4">
        <v>0.00559950665344732</v>
      </c>
      <c r="AX320" s="3"/>
      <c r="AY320" s="3"/>
      <c r="AZ320" s="3">
        <v>-0.188794380264101</v>
      </c>
      <c r="BA320" s="3">
        <v>0.000210401294663721</v>
      </c>
      <c r="BF320" s="3">
        <v>0.353358191312738</v>
      </c>
      <c r="BG320" s="3">
        <v>0.0232771594671397</v>
      </c>
      <c r="BH320" s="3">
        <v>0.575917089346735</v>
      </c>
      <c r="BI320" s="3">
        <v>0.0205669628631137</v>
      </c>
    </row>
    <row r="321" s="3" customFormat="1" spans="1:61">
      <c r="A321" s="4">
        <v>320</v>
      </c>
      <c r="B321" s="6">
        <v>54</v>
      </c>
      <c r="C321" s="24" t="s">
        <v>264</v>
      </c>
      <c r="D321" s="13" t="s">
        <v>265</v>
      </c>
      <c r="E321" s="25">
        <v>33.15</v>
      </c>
      <c r="F321" s="25">
        <v>116.55</v>
      </c>
      <c r="G321" s="20">
        <v>15.2250003814697</v>
      </c>
      <c r="H321" s="21">
        <v>791</v>
      </c>
      <c r="I321" s="3"/>
      <c r="J321" s="13" t="s">
        <v>94</v>
      </c>
      <c r="K321" s="5" t="s">
        <v>78</v>
      </c>
      <c r="L321" s="3">
        <v>2019</v>
      </c>
      <c r="M321" s="3">
        <v>3</v>
      </c>
      <c r="N321" s="13" t="s">
        <v>113</v>
      </c>
      <c r="O321" s="28" t="s">
        <v>80</v>
      </c>
      <c r="P321" s="7">
        <v>7.1</v>
      </c>
      <c r="Q321" s="3">
        <v>9.3</v>
      </c>
      <c r="R321" s="3">
        <v>0.87</v>
      </c>
      <c r="S321" s="13">
        <v>10.6896551724138</v>
      </c>
      <c r="T321" s="21">
        <v>21</v>
      </c>
      <c r="U321" s="21">
        <v>40</v>
      </c>
      <c r="V321" s="21">
        <v>39</v>
      </c>
      <c r="W321" s="3">
        <v>11</v>
      </c>
      <c r="X321" s="5" t="s">
        <v>91</v>
      </c>
      <c r="Y321" s="13" t="s">
        <v>82</v>
      </c>
      <c r="Z321" s="3">
        <v>3</v>
      </c>
      <c r="AA321" s="3">
        <v>3</v>
      </c>
      <c r="AB321" s="9">
        <v>0.0428637044317823</v>
      </c>
      <c r="AC321" s="9">
        <v>0.000256361683990306</v>
      </c>
      <c r="AD321" s="25"/>
      <c r="AE321" s="25"/>
      <c r="AF321" s="9"/>
      <c r="AG321" s="9"/>
      <c r="AH321" s="25">
        <v>0.194788325559085</v>
      </c>
      <c r="AI321" s="25">
        <v>0.00694155213105653</v>
      </c>
      <c r="AJ321" s="4">
        <v>-0.151924621127298</v>
      </c>
      <c r="AK321" s="4">
        <v>0.00719791381504678</v>
      </c>
      <c r="AL321" s="3"/>
      <c r="AM321" s="3"/>
      <c r="AN321" s="4">
        <v>-0.268155650101426</v>
      </c>
      <c r="AO321" s="4">
        <v>0.000376217392046544</v>
      </c>
      <c r="AP321" s="3">
        <v>0.216223108469636</v>
      </c>
      <c r="AQ321" s="3">
        <v>0.0143562530821344</v>
      </c>
      <c r="AR321" s="4"/>
      <c r="AS321" s="4"/>
      <c r="AT321" s="3"/>
      <c r="AU321" s="3"/>
      <c r="AV321" s="4">
        <v>-1.09861228866811</v>
      </c>
      <c r="AW321" s="4">
        <v>0.00559950665344731</v>
      </c>
      <c r="AX321" s="3"/>
      <c r="AY321" s="3"/>
      <c r="AZ321" s="3">
        <v>-0.201867091956775</v>
      </c>
      <c r="BA321" s="3">
        <v>0.000673616058570981</v>
      </c>
      <c r="BF321" s="3">
        <v>0.52919884402261</v>
      </c>
      <c r="BG321" s="3">
        <v>0.0232771594671397</v>
      </c>
      <c r="BH321" s="3">
        <v>0.457200782507353</v>
      </c>
      <c r="BI321" s="3">
        <v>0.0205669628631137</v>
      </c>
    </row>
    <row r="322" s="3" customFormat="1" spans="1:61">
      <c r="A322" s="4">
        <v>321</v>
      </c>
      <c r="B322" s="6">
        <v>54</v>
      </c>
      <c r="C322" s="24" t="s">
        <v>264</v>
      </c>
      <c r="D322" s="13" t="s">
        <v>265</v>
      </c>
      <c r="E322" s="25">
        <v>33.15</v>
      </c>
      <c r="F322" s="25">
        <v>116.55</v>
      </c>
      <c r="G322" s="20">
        <v>15.2250003814697</v>
      </c>
      <c r="H322" s="21">
        <v>791</v>
      </c>
      <c r="I322" s="3"/>
      <c r="J322" s="13" t="s">
        <v>94</v>
      </c>
      <c r="K322" s="5" t="s">
        <v>78</v>
      </c>
      <c r="L322" s="3">
        <v>2019</v>
      </c>
      <c r="M322" s="3">
        <v>3</v>
      </c>
      <c r="N322" s="13" t="s">
        <v>113</v>
      </c>
      <c r="O322" s="28" t="s">
        <v>80</v>
      </c>
      <c r="P322" s="7">
        <v>7.14</v>
      </c>
      <c r="Q322" s="3">
        <v>12</v>
      </c>
      <c r="R322" s="3">
        <v>1.08</v>
      </c>
      <c r="S322" s="13">
        <v>11.1111111111111</v>
      </c>
      <c r="T322" s="21">
        <v>21</v>
      </c>
      <c r="U322" s="21">
        <v>40</v>
      </c>
      <c r="V322" s="21">
        <v>39</v>
      </c>
      <c r="W322" s="3">
        <v>11</v>
      </c>
      <c r="X322" s="5" t="s">
        <v>91</v>
      </c>
      <c r="Y322" s="13" t="s">
        <v>82</v>
      </c>
      <c r="Z322" s="3">
        <v>3</v>
      </c>
      <c r="AA322" s="3">
        <v>3</v>
      </c>
      <c r="AB322" s="9">
        <v>0.036589447432292</v>
      </c>
      <c r="AC322" s="9">
        <v>0.000256361683990306</v>
      </c>
      <c r="AD322" s="25"/>
      <c r="AE322" s="25"/>
      <c r="AF322" s="9"/>
      <c r="AG322" s="9"/>
      <c r="AH322" s="25">
        <v>0.154150679827258</v>
      </c>
      <c r="AI322" s="25">
        <v>0.00694155213105653</v>
      </c>
      <c r="AJ322" s="4">
        <v>-0.117561232394971</v>
      </c>
      <c r="AK322" s="4">
        <v>0.00719791381504684</v>
      </c>
      <c r="AL322" s="3"/>
      <c r="AM322" s="3"/>
      <c r="AN322" s="4">
        <v>-0.101632645543812</v>
      </c>
      <c r="AO322" s="4">
        <v>0.000376217392046545</v>
      </c>
      <c r="AP322" s="3">
        <v>0.230523658611832</v>
      </c>
      <c r="AQ322" s="3">
        <v>0.0143562530821345</v>
      </c>
      <c r="AR322" s="4"/>
      <c r="AS322" s="4"/>
      <c r="AT322" s="3"/>
      <c r="AU322" s="3"/>
      <c r="AV322" s="4">
        <v>0.03509131981127</v>
      </c>
      <c r="AW322" s="4">
        <v>0.00559950665344732</v>
      </c>
      <c r="AX322" s="3"/>
      <c r="AY322" s="3"/>
      <c r="AZ322" s="3">
        <v>-0.0800400812513617</v>
      </c>
      <c r="BA322" s="3">
        <v>0.00338741320988435</v>
      </c>
      <c r="BF322" s="3">
        <v>-0.0191393402106974</v>
      </c>
      <c r="BG322" s="3">
        <v>0.0232771594671396</v>
      </c>
      <c r="BH322" s="3">
        <v>0.317454230785451</v>
      </c>
      <c r="BI322" s="3">
        <v>0.0205669628631138</v>
      </c>
    </row>
    <row r="323" s="3" customFormat="1" spans="1:61">
      <c r="A323" s="4">
        <v>322</v>
      </c>
      <c r="B323" s="6">
        <v>54</v>
      </c>
      <c r="C323" s="24" t="s">
        <v>264</v>
      </c>
      <c r="D323" s="13" t="s">
        <v>265</v>
      </c>
      <c r="E323" s="25">
        <v>33.15</v>
      </c>
      <c r="F323" s="25">
        <v>116.55</v>
      </c>
      <c r="G323" s="20">
        <v>15.2250003814697</v>
      </c>
      <c r="H323" s="21">
        <v>791</v>
      </c>
      <c r="I323" s="3"/>
      <c r="J323" s="13" t="s">
        <v>94</v>
      </c>
      <c r="K323" s="5" t="s">
        <v>78</v>
      </c>
      <c r="L323" s="3">
        <v>2019</v>
      </c>
      <c r="M323" s="3">
        <v>3</v>
      </c>
      <c r="N323" s="13" t="s">
        <v>113</v>
      </c>
      <c r="O323" s="28" t="s">
        <v>80</v>
      </c>
      <c r="P323" s="7">
        <v>7.14</v>
      </c>
      <c r="Q323" s="3">
        <v>12</v>
      </c>
      <c r="R323" s="3">
        <v>1.08</v>
      </c>
      <c r="S323" s="13">
        <v>11.1111111111111</v>
      </c>
      <c r="T323" s="21">
        <v>21</v>
      </c>
      <c r="U323" s="21">
        <v>40</v>
      </c>
      <c r="V323" s="21">
        <v>39</v>
      </c>
      <c r="W323" s="3">
        <v>11</v>
      </c>
      <c r="X323" s="5" t="s">
        <v>91</v>
      </c>
      <c r="Y323" s="13" t="s">
        <v>82</v>
      </c>
      <c r="Z323" s="3">
        <v>3</v>
      </c>
      <c r="AA323" s="3">
        <v>3</v>
      </c>
      <c r="AB323" s="9">
        <v>0.036589447432292</v>
      </c>
      <c r="AC323" s="9">
        <v>0.000256361683990306</v>
      </c>
      <c r="AD323" s="25"/>
      <c r="AE323" s="25"/>
      <c r="AF323" s="9"/>
      <c r="AG323" s="9"/>
      <c r="AH323" s="25">
        <v>0.154150679827258</v>
      </c>
      <c r="AI323" s="25">
        <v>0.00694155213105653</v>
      </c>
      <c r="AJ323" s="4">
        <v>-0.117561232394971</v>
      </c>
      <c r="AK323" s="4">
        <v>0.00719791381504684</v>
      </c>
      <c r="AL323" s="3"/>
      <c r="AM323" s="3"/>
      <c r="AN323" s="4">
        <v>-0.128342795871386</v>
      </c>
      <c r="AO323" s="4">
        <v>0.000376217392046546</v>
      </c>
      <c r="AP323" s="3">
        <v>0.177681177237452</v>
      </c>
      <c r="AQ323" s="3">
        <v>0.0143562530821345</v>
      </c>
      <c r="AR323" s="4"/>
      <c r="AS323" s="4"/>
      <c r="AT323" s="3"/>
      <c r="AU323" s="3"/>
      <c r="AV323" s="4">
        <v>0.133531392624523</v>
      </c>
      <c r="AW323" s="4">
        <v>0.0055995066534473</v>
      </c>
      <c r="AX323" s="3">
        <v>0.0354381205777067</v>
      </c>
      <c r="AY323" s="3">
        <v>0.021297805213191</v>
      </c>
      <c r="AZ323" s="3">
        <v>-0.06169007347771</v>
      </c>
      <c r="BA323" s="3">
        <v>0.00431325926826405</v>
      </c>
      <c r="BF323" s="3">
        <v>-0.0288481543376584</v>
      </c>
      <c r="BG323" s="3">
        <v>0.0232771594671396</v>
      </c>
      <c r="BH323" s="3">
        <v>0.425411372290543</v>
      </c>
      <c r="BI323" s="3">
        <v>0.0205669628631138</v>
      </c>
    </row>
    <row r="324" s="3" customFormat="1" spans="1:61">
      <c r="A324" s="4">
        <v>323</v>
      </c>
      <c r="B324" s="6">
        <v>54</v>
      </c>
      <c r="C324" s="24" t="s">
        <v>264</v>
      </c>
      <c r="D324" s="13" t="s">
        <v>265</v>
      </c>
      <c r="E324" s="25">
        <v>33.15</v>
      </c>
      <c r="F324" s="25">
        <v>116.55</v>
      </c>
      <c r="G324" s="20">
        <v>15.2250003814697</v>
      </c>
      <c r="H324" s="21">
        <v>791</v>
      </c>
      <c r="I324" s="3"/>
      <c r="J324" s="13" t="s">
        <v>94</v>
      </c>
      <c r="K324" s="5" t="s">
        <v>78</v>
      </c>
      <c r="L324" s="3">
        <v>2019</v>
      </c>
      <c r="M324" s="3">
        <v>3</v>
      </c>
      <c r="N324" s="13" t="s">
        <v>113</v>
      </c>
      <c r="O324" s="28" t="s">
        <v>80</v>
      </c>
      <c r="P324" s="7">
        <v>7.14</v>
      </c>
      <c r="Q324" s="3">
        <v>12</v>
      </c>
      <c r="R324" s="3">
        <v>1.08</v>
      </c>
      <c r="S324" s="13">
        <v>11.1111111111111</v>
      </c>
      <c r="T324" s="21">
        <v>21</v>
      </c>
      <c r="U324" s="21">
        <v>40</v>
      </c>
      <c r="V324" s="21">
        <v>39</v>
      </c>
      <c r="W324" s="3">
        <v>11</v>
      </c>
      <c r="X324" s="5" t="s">
        <v>91</v>
      </c>
      <c r="Y324" s="13" t="s">
        <v>82</v>
      </c>
      <c r="Z324" s="3">
        <v>3</v>
      </c>
      <c r="AA324" s="3">
        <v>3</v>
      </c>
      <c r="AB324" s="9">
        <v>0.0660901118289901</v>
      </c>
      <c r="AC324" s="9">
        <v>0.000256361683990305</v>
      </c>
      <c r="AD324" s="25"/>
      <c r="AE324" s="25"/>
      <c r="AF324" s="9"/>
      <c r="AG324" s="9"/>
      <c r="AH324" s="25">
        <v>0.182321556793955</v>
      </c>
      <c r="AI324" s="25">
        <v>0.00694155213105652</v>
      </c>
      <c r="AJ324" s="4">
        <v>-0.116231444964971</v>
      </c>
      <c r="AK324" s="4">
        <v>0.00719791381504683</v>
      </c>
      <c r="AL324" s="3"/>
      <c r="AM324" s="3"/>
      <c r="AN324" s="4">
        <v>-0.195858142511488</v>
      </c>
      <c r="AO324" s="4">
        <v>0.000376217392046545</v>
      </c>
      <c r="AP324" s="3">
        <v>0.22314355131421</v>
      </c>
      <c r="AQ324" s="3">
        <v>0.0143562530821345</v>
      </c>
      <c r="AR324" s="4"/>
      <c r="AS324" s="4"/>
      <c r="AT324" s="3"/>
      <c r="AU324" s="3"/>
      <c r="AV324" s="4">
        <v>-0.074107972153722</v>
      </c>
      <c r="AW324" s="4">
        <v>0.0055995066534473</v>
      </c>
      <c r="AX324" s="3">
        <v>-0.00667336477242258</v>
      </c>
      <c r="AY324" s="3">
        <v>0.021297805213191</v>
      </c>
      <c r="AZ324" s="3">
        <v>-0.0347879011267248</v>
      </c>
      <c r="BA324" s="3">
        <v>0.00471760756572347</v>
      </c>
      <c r="BF324" s="3">
        <v>0.0991803200896342</v>
      </c>
      <c r="BG324" s="3">
        <v>0.0232771594671396</v>
      </c>
      <c r="BH324" s="3">
        <v>0.702716631576096</v>
      </c>
      <c r="BI324" s="3">
        <v>0.0205669628631138</v>
      </c>
    </row>
    <row r="325" s="3" customFormat="1" spans="1:61">
      <c r="A325" s="4">
        <v>324</v>
      </c>
      <c r="B325" s="6">
        <v>54</v>
      </c>
      <c r="C325" s="24" t="s">
        <v>264</v>
      </c>
      <c r="D325" s="13" t="s">
        <v>265</v>
      </c>
      <c r="E325" s="25">
        <v>33.15</v>
      </c>
      <c r="F325" s="25">
        <v>116.55</v>
      </c>
      <c r="G325" s="20">
        <v>15.2250003814697</v>
      </c>
      <c r="H325" s="21">
        <v>791</v>
      </c>
      <c r="I325" s="3"/>
      <c r="J325" s="13" t="s">
        <v>94</v>
      </c>
      <c r="K325" s="5" t="s">
        <v>78</v>
      </c>
      <c r="L325" s="3">
        <v>2019</v>
      </c>
      <c r="M325" s="3">
        <v>3</v>
      </c>
      <c r="N325" s="13" t="s">
        <v>113</v>
      </c>
      <c r="O325" s="28" t="s">
        <v>80</v>
      </c>
      <c r="P325" s="7">
        <v>7.14</v>
      </c>
      <c r="Q325" s="3">
        <v>12</v>
      </c>
      <c r="R325" s="3">
        <v>1.08</v>
      </c>
      <c r="S325" s="13">
        <v>11.1111111111111</v>
      </c>
      <c r="T325" s="21">
        <v>21</v>
      </c>
      <c r="U325" s="21">
        <v>40</v>
      </c>
      <c r="V325" s="21">
        <v>39</v>
      </c>
      <c r="W325" s="3">
        <v>11</v>
      </c>
      <c r="X325" s="5" t="s">
        <v>91</v>
      </c>
      <c r="Y325" s="13" t="s">
        <v>82</v>
      </c>
      <c r="Z325" s="3">
        <v>3</v>
      </c>
      <c r="AA325" s="3">
        <v>3</v>
      </c>
      <c r="AB325" s="9">
        <v>0.0602591915181967</v>
      </c>
      <c r="AC325" s="9">
        <v>0.000256361683990305</v>
      </c>
      <c r="AD325" s="25"/>
      <c r="AE325" s="25"/>
      <c r="AF325" s="9"/>
      <c r="AG325" s="9"/>
      <c r="AH325" s="25">
        <v>0.175352887477861</v>
      </c>
      <c r="AI325" s="25">
        <v>0.00694155213105653</v>
      </c>
      <c r="AJ325" s="4">
        <v>-0.115093695959663</v>
      </c>
      <c r="AK325" s="4">
        <v>0.00719791381504676</v>
      </c>
      <c r="AL325" s="3"/>
      <c r="AM325" s="3"/>
      <c r="AN325" s="4">
        <v>-0.239381112445893</v>
      </c>
      <c r="AO325" s="4">
        <v>0.000376217392046545</v>
      </c>
      <c r="AP325" s="3">
        <v>0.266628663253948</v>
      </c>
      <c r="AQ325" s="3">
        <v>0.0143562530821344</v>
      </c>
      <c r="AR325" s="4"/>
      <c r="AS325" s="4"/>
      <c r="AT325" s="3"/>
      <c r="AU325" s="3"/>
      <c r="AV325" s="4">
        <v>-0.113328685307003</v>
      </c>
      <c r="AW325" s="4">
        <v>0.00559950665344732</v>
      </c>
      <c r="AX325" s="3">
        <v>0.0566876466618306</v>
      </c>
      <c r="AY325" s="3">
        <v>0.0212978052131909</v>
      </c>
      <c r="AZ325" s="3">
        <v>-0.0259768134402459</v>
      </c>
      <c r="BA325" s="3">
        <v>0.00320028673269575</v>
      </c>
      <c r="BF325" s="3">
        <v>0.0708868114470222</v>
      </c>
      <c r="BG325" s="3">
        <v>0.0232771594671396</v>
      </c>
      <c r="BH325" s="3">
        <v>0.67792197296288</v>
      </c>
      <c r="BI325" s="3">
        <v>0.0205669628631138</v>
      </c>
    </row>
    <row r="326" s="3" customFormat="1" spans="1:61">
      <c r="A326" s="4">
        <v>325</v>
      </c>
      <c r="B326" s="6">
        <v>54</v>
      </c>
      <c r="C326" s="24" t="s">
        <v>264</v>
      </c>
      <c r="D326" s="13" t="s">
        <v>265</v>
      </c>
      <c r="E326" s="25">
        <v>33.15</v>
      </c>
      <c r="F326" s="25">
        <v>116.55</v>
      </c>
      <c r="G326" s="20">
        <v>15.2250003814697</v>
      </c>
      <c r="H326" s="21">
        <v>791</v>
      </c>
      <c r="I326" s="3"/>
      <c r="J326" s="13" t="s">
        <v>94</v>
      </c>
      <c r="K326" s="5" t="s">
        <v>78</v>
      </c>
      <c r="L326" s="3">
        <v>2019</v>
      </c>
      <c r="M326" s="3">
        <v>3</v>
      </c>
      <c r="N326" s="13" t="s">
        <v>113</v>
      </c>
      <c r="O326" s="28" t="s">
        <v>80</v>
      </c>
      <c r="P326" s="7">
        <v>7.14</v>
      </c>
      <c r="Q326" s="3">
        <v>12</v>
      </c>
      <c r="R326" s="3">
        <v>1.08</v>
      </c>
      <c r="S326" s="13">
        <v>11.1111111111111</v>
      </c>
      <c r="T326" s="21">
        <v>21</v>
      </c>
      <c r="U326" s="21">
        <v>40</v>
      </c>
      <c r="V326" s="21">
        <v>39</v>
      </c>
      <c r="W326" s="3">
        <v>11</v>
      </c>
      <c r="X326" s="5" t="s">
        <v>91</v>
      </c>
      <c r="Y326" s="13" t="s">
        <v>82</v>
      </c>
      <c r="Z326" s="3">
        <v>3</v>
      </c>
      <c r="AA326" s="3">
        <v>3</v>
      </c>
      <c r="AB326" s="9">
        <v>0.036589447432292</v>
      </c>
      <c r="AC326" s="9">
        <v>0.000256361683990306</v>
      </c>
      <c r="AD326" s="25"/>
      <c r="AE326" s="25"/>
      <c r="AF326" s="9"/>
      <c r="AG326" s="9"/>
      <c r="AH326" s="25">
        <v>0.229788094032878</v>
      </c>
      <c r="AI326" s="25">
        <v>0.00694155213105651</v>
      </c>
      <c r="AJ326" s="4">
        <v>-0.193198646600591</v>
      </c>
      <c r="AK326" s="4">
        <v>0.00719791381504677</v>
      </c>
      <c r="AL326" s="3"/>
      <c r="AM326" s="3"/>
      <c r="AN326" s="4">
        <v>-0.25191484859315</v>
      </c>
      <c r="AO326" s="4">
        <v>0.000376217392046546</v>
      </c>
      <c r="AP326" s="3">
        <v>0.22314355131421</v>
      </c>
      <c r="AQ326" s="3">
        <v>0.0143562530821345</v>
      </c>
      <c r="AR326" s="4"/>
      <c r="AS326" s="4"/>
      <c r="AT326" s="3"/>
      <c r="AU326" s="3"/>
      <c r="AV326" s="4">
        <v>-0.498991166118988</v>
      </c>
      <c r="AW326" s="4">
        <v>0.0055995066534473</v>
      </c>
      <c r="AX326" s="3">
        <v>-0.092666860901934</v>
      </c>
      <c r="AY326" s="3">
        <v>0.0212978052131909</v>
      </c>
      <c r="AZ326" s="3">
        <v>-0.0800400812513617</v>
      </c>
      <c r="BA326" s="3">
        <v>0.00201570857112624</v>
      </c>
      <c r="BF326" s="3">
        <v>0.444199617289305</v>
      </c>
      <c r="BG326" s="3">
        <v>0.0232771594671396</v>
      </c>
      <c r="BH326" s="3">
        <v>0.392561703272256</v>
      </c>
      <c r="BI326" s="3">
        <v>0.0205669628631138</v>
      </c>
    </row>
    <row r="327" s="4" customFormat="1" spans="1:51">
      <c r="A327" s="4">
        <v>326</v>
      </c>
      <c r="B327" s="18">
        <v>55</v>
      </c>
      <c r="C327" s="19" t="s">
        <v>266</v>
      </c>
      <c r="D327" s="5" t="s">
        <v>267</v>
      </c>
      <c r="E327" s="4">
        <v>31.5833333333333</v>
      </c>
      <c r="F327" s="4">
        <v>102.583333333333</v>
      </c>
      <c r="G327" s="20">
        <v>-0.274999976158142</v>
      </c>
      <c r="H327" s="21">
        <v>850</v>
      </c>
      <c r="I327" s="4"/>
      <c r="J327" s="13" t="s">
        <v>185</v>
      </c>
      <c r="K327" s="5" t="s">
        <v>182</v>
      </c>
      <c r="L327" s="4">
        <v>2019</v>
      </c>
      <c r="M327" s="4">
        <v>1</v>
      </c>
      <c r="N327" s="5" t="s">
        <v>79</v>
      </c>
      <c r="O327" s="36" t="s">
        <v>80</v>
      </c>
      <c r="P327" s="29">
        <v>5.45</v>
      </c>
      <c r="Q327" s="4">
        <v>110.716</v>
      </c>
      <c r="R327" s="4">
        <v>7.98696</v>
      </c>
      <c r="S327" s="13">
        <v>13.8620952152008</v>
      </c>
      <c r="T327" s="21">
        <v>14</v>
      </c>
      <c r="U327" s="21">
        <v>21</v>
      </c>
      <c r="V327" s="21">
        <v>65</v>
      </c>
      <c r="W327" s="4"/>
      <c r="X327" s="4"/>
      <c r="Y327" s="5" t="s">
        <v>82</v>
      </c>
      <c r="Z327" s="4">
        <v>9</v>
      </c>
      <c r="AA327" s="4">
        <v>9</v>
      </c>
      <c r="AB327" s="9">
        <v>0.012627548533447</v>
      </c>
      <c r="AC327" s="9">
        <v>0.00561006983140473</v>
      </c>
      <c r="AD327" s="9">
        <v>-0.417751713578155</v>
      </c>
      <c r="AE327" s="9">
        <v>0.00415690212259262</v>
      </c>
      <c r="AF327" s="9">
        <v>-0.430379262111603</v>
      </c>
      <c r="AG327" s="9">
        <v>0.00976697195399734</v>
      </c>
      <c r="AH327" s="9">
        <v>-0.458764593044755</v>
      </c>
      <c r="AI327" s="9">
        <v>0.00372441134616596</v>
      </c>
      <c r="AJ327" s="4">
        <v>0.471392141578201</v>
      </c>
      <c r="AK327" s="4">
        <v>0.00933448117757073</v>
      </c>
      <c r="AL327" s="4">
        <v>0.0410128794665986</v>
      </c>
      <c r="AM327" s="4">
        <v>0.00788131346875857</v>
      </c>
      <c r="AN327" s="4">
        <v>0.190134988973145</v>
      </c>
      <c r="AO327" s="4">
        <v>0.00132802383562721</v>
      </c>
      <c r="AP327" s="4">
        <v>-0.22151222141886</v>
      </c>
      <c r="AQ327" s="4">
        <v>0.00326756299790546</v>
      </c>
      <c r="AR327" s="4"/>
      <c r="AS327" s="4"/>
      <c r="AT327" s="4">
        <v>-0.164649652633485</v>
      </c>
      <c r="AU327" s="4">
        <v>0.00500810953172171</v>
      </c>
      <c r="AV327" s="4"/>
      <c r="AW327" s="4"/>
      <c r="AX327" s="4">
        <v>-0.0214347829105486</v>
      </c>
      <c r="AY327" s="4">
        <v>0.0212978052131909</v>
      </c>
    </row>
    <row r="328" s="4" customFormat="1" spans="1:51">
      <c r="A328" s="4">
        <v>327</v>
      </c>
      <c r="B328" s="18">
        <v>55</v>
      </c>
      <c r="C328" s="19" t="s">
        <v>266</v>
      </c>
      <c r="D328" s="5" t="s">
        <v>267</v>
      </c>
      <c r="E328" s="4">
        <v>31.5833333333333</v>
      </c>
      <c r="F328" s="4">
        <v>102.583333333333</v>
      </c>
      <c r="G328" s="20">
        <v>-0.274999976158142</v>
      </c>
      <c r="H328" s="21">
        <v>850</v>
      </c>
      <c r="I328" s="4"/>
      <c r="J328" s="13" t="s">
        <v>254</v>
      </c>
      <c r="K328" s="5" t="s">
        <v>182</v>
      </c>
      <c r="L328" s="4">
        <v>2019</v>
      </c>
      <c r="M328" s="4">
        <v>1</v>
      </c>
      <c r="N328" s="5" t="s">
        <v>79</v>
      </c>
      <c r="O328" s="36" t="s">
        <v>80</v>
      </c>
      <c r="P328" s="29">
        <v>5.45</v>
      </c>
      <c r="Q328" s="4">
        <v>110.716</v>
      </c>
      <c r="R328" s="4">
        <v>7.98696</v>
      </c>
      <c r="S328" s="13">
        <v>13.8620952152008</v>
      </c>
      <c r="T328" s="21">
        <v>14</v>
      </c>
      <c r="U328" s="21">
        <v>21</v>
      </c>
      <c r="V328" s="21">
        <v>65</v>
      </c>
      <c r="W328" s="4"/>
      <c r="X328" s="4"/>
      <c r="Y328" s="5" t="s">
        <v>82</v>
      </c>
      <c r="Z328" s="4">
        <v>9</v>
      </c>
      <c r="AA328" s="4">
        <v>9</v>
      </c>
      <c r="AB328" s="9">
        <v>-0.341245699719447</v>
      </c>
      <c r="AC328" s="9">
        <v>0.00671938723016778</v>
      </c>
      <c r="AD328" s="9">
        <v>-0.471133425894535</v>
      </c>
      <c r="AE328" s="9">
        <v>0.00555658720356574</v>
      </c>
      <c r="AF328" s="9">
        <v>-0.129887726175089</v>
      </c>
      <c r="AG328" s="9">
        <v>0.0122759744337335</v>
      </c>
      <c r="AH328" s="9">
        <v>-0.520229991709854</v>
      </c>
      <c r="AI328" s="9">
        <v>0.00371603267807724</v>
      </c>
      <c r="AJ328" s="4">
        <v>0.178984291990407</v>
      </c>
      <c r="AK328" s="4">
        <v>0.0104354199082451</v>
      </c>
      <c r="AL328" s="4">
        <v>0.0490965658153202</v>
      </c>
      <c r="AM328" s="4">
        <v>0.00927261988164297</v>
      </c>
      <c r="AN328" s="4">
        <v>0.219066259620262</v>
      </c>
      <c r="AO328" s="4">
        <v>0.00129901122331257</v>
      </c>
      <c r="AP328" s="4">
        <v>-0.220832764801796</v>
      </c>
      <c r="AQ328" s="4">
        <v>0.00324932820821705</v>
      </c>
      <c r="AR328" s="4"/>
      <c r="AS328" s="4"/>
      <c r="AT328" s="4">
        <v>0.0307563823635631</v>
      </c>
      <c r="AU328" s="4">
        <v>0.0512855249278563</v>
      </c>
      <c r="AV328" s="4"/>
      <c r="AW328" s="4"/>
      <c r="AX328" s="4">
        <v>-0.0763729787845754</v>
      </c>
      <c r="AY328" s="4">
        <v>0.0212978052131911</v>
      </c>
    </row>
    <row r="329" s="4" customFormat="1" spans="1:51">
      <c r="A329" s="4">
        <v>328</v>
      </c>
      <c r="B329" s="18">
        <v>55</v>
      </c>
      <c r="C329" s="19" t="s">
        <v>266</v>
      </c>
      <c r="D329" s="5" t="s">
        <v>267</v>
      </c>
      <c r="E329" s="4">
        <v>31.5833333333333</v>
      </c>
      <c r="F329" s="4">
        <v>102.583333333333</v>
      </c>
      <c r="G329" s="20">
        <v>-0.274999976158142</v>
      </c>
      <c r="H329" s="21">
        <v>850</v>
      </c>
      <c r="I329" s="4"/>
      <c r="J329" s="13" t="s">
        <v>188</v>
      </c>
      <c r="K329" s="5" t="s">
        <v>182</v>
      </c>
      <c r="L329" s="4">
        <v>2019</v>
      </c>
      <c r="M329" s="4">
        <v>1</v>
      </c>
      <c r="N329" s="5" t="s">
        <v>79</v>
      </c>
      <c r="O329" s="36" t="s">
        <v>80</v>
      </c>
      <c r="P329" s="29">
        <v>5.45</v>
      </c>
      <c r="Q329" s="4">
        <v>110.716</v>
      </c>
      <c r="R329" s="4">
        <v>7.98696</v>
      </c>
      <c r="S329" s="13">
        <v>13.8620952152008</v>
      </c>
      <c r="T329" s="21">
        <v>14</v>
      </c>
      <c r="U329" s="21">
        <v>21</v>
      </c>
      <c r="V329" s="21">
        <v>65</v>
      </c>
      <c r="W329" s="4"/>
      <c r="X329" s="4"/>
      <c r="Y329" s="5" t="s">
        <v>82</v>
      </c>
      <c r="Z329" s="4">
        <v>9</v>
      </c>
      <c r="AA329" s="4">
        <v>9</v>
      </c>
      <c r="AB329" s="9">
        <v>0.0719771988859316</v>
      </c>
      <c r="AC329" s="9">
        <v>0.00626186974148961</v>
      </c>
      <c r="AD329" s="9">
        <v>-0.287933966942178</v>
      </c>
      <c r="AE329" s="9">
        <v>0.00512668340760976</v>
      </c>
      <c r="AF329" s="9">
        <v>-0.359911165828108</v>
      </c>
      <c r="AG329" s="9">
        <v>0.0113885531490993</v>
      </c>
      <c r="AH329" s="9">
        <v>-0.516507886109022</v>
      </c>
      <c r="AI329" s="9">
        <v>0.00594733902573493</v>
      </c>
      <c r="AJ329" s="4">
        <v>0.588485084994953</v>
      </c>
      <c r="AK329" s="4">
        <v>0.0122092087672246</v>
      </c>
      <c r="AL329" s="4">
        <v>0.228573919166843</v>
      </c>
      <c r="AM329" s="4">
        <v>0.0110740224333447</v>
      </c>
      <c r="AN329" s="4">
        <v>0.141477263350259</v>
      </c>
      <c r="AO329" s="4">
        <v>0.00223845971076722</v>
      </c>
      <c r="AP329" s="4">
        <v>-0.263127173476027</v>
      </c>
      <c r="AQ329" s="4">
        <v>0.00471259191446666</v>
      </c>
      <c r="AR329" s="4"/>
      <c r="AS329" s="4"/>
      <c r="AT329" s="4">
        <v>-0.129316323756278</v>
      </c>
      <c r="AU329" s="4">
        <v>0.00387774736874157</v>
      </c>
      <c r="AV329" s="4"/>
      <c r="AW329" s="4"/>
      <c r="AX329" s="4">
        <v>-0.0235304974101906</v>
      </c>
      <c r="AY329" s="4">
        <v>0.0212978052131909</v>
      </c>
    </row>
    <row r="330" s="4" customFormat="1" spans="1:51">
      <c r="A330" s="4">
        <v>329</v>
      </c>
      <c r="B330" s="18">
        <v>55</v>
      </c>
      <c r="C330" s="19" t="s">
        <v>266</v>
      </c>
      <c r="D330" s="5" t="s">
        <v>267</v>
      </c>
      <c r="E330" s="4">
        <v>31.5833333333333</v>
      </c>
      <c r="F330" s="4">
        <v>102.583333333333</v>
      </c>
      <c r="G330" s="20">
        <v>-0.274999976158142</v>
      </c>
      <c r="H330" s="21">
        <v>850</v>
      </c>
      <c r="I330" s="4"/>
      <c r="J330" s="13" t="s">
        <v>188</v>
      </c>
      <c r="K330" s="5" t="s">
        <v>182</v>
      </c>
      <c r="L330" s="4">
        <v>2019</v>
      </c>
      <c r="M330" s="4">
        <v>1</v>
      </c>
      <c r="N330" s="5" t="s">
        <v>79</v>
      </c>
      <c r="O330" s="36" t="s">
        <v>80</v>
      </c>
      <c r="P330" s="29">
        <v>5.45</v>
      </c>
      <c r="Q330" s="4">
        <v>110.716</v>
      </c>
      <c r="R330" s="4">
        <v>7.98696</v>
      </c>
      <c r="S330" s="13">
        <v>13.8620952152008</v>
      </c>
      <c r="T330" s="21">
        <v>14</v>
      </c>
      <c r="U330" s="21">
        <v>21</v>
      </c>
      <c r="V330" s="21">
        <v>65</v>
      </c>
      <c r="W330" s="4"/>
      <c r="X330" s="4"/>
      <c r="Y330" s="5" t="s">
        <v>82</v>
      </c>
      <c r="Z330" s="4">
        <v>9</v>
      </c>
      <c r="AA330" s="4">
        <v>9</v>
      </c>
      <c r="AB330" s="9">
        <v>-0.090214343434071</v>
      </c>
      <c r="AC330" s="9">
        <v>0.00735394086640146</v>
      </c>
      <c r="AD330" s="9">
        <v>-0.338447162663177</v>
      </c>
      <c r="AE330" s="9">
        <v>0.00432400056588825</v>
      </c>
      <c r="AF330" s="9">
        <v>-0.248232819229106</v>
      </c>
      <c r="AG330" s="9">
        <v>0.0116779414322897</v>
      </c>
      <c r="AH330" s="9">
        <v>-0.51898774986576</v>
      </c>
      <c r="AI330" s="9">
        <v>0.00417323160000992</v>
      </c>
      <c r="AJ330" s="4">
        <v>0.428773406431687</v>
      </c>
      <c r="AK330" s="4">
        <v>0.0115271724664114</v>
      </c>
      <c r="AL330" s="4">
        <v>0.180540587202581</v>
      </c>
      <c r="AM330" s="4">
        <v>0.00849723216589818</v>
      </c>
      <c r="AN330" s="4">
        <v>0.180192380390768</v>
      </c>
      <c r="AO330" s="4">
        <v>0.00136962058328103</v>
      </c>
      <c r="AP330" s="4">
        <v>-0.368329698770937</v>
      </c>
      <c r="AQ330" s="4">
        <v>0.0034697934374543</v>
      </c>
      <c r="AR330" s="4"/>
      <c r="AS330" s="4"/>
      <c r="AT330" s="4">
        <v>-0.155277586116639</v>
      </c>
      <c r="AU330" s="4">
        <v>0.00335375877756419</v>
      </c>
      <c r="AV330" s="4"/>
      <c r="AW330" s="4"/>
      <c r="AX330" s="4">
        <v>-0.040821994520251</v>
      </c>
      <c r="AY330" s="4">
        <v>0.021297805213191</v>
      </c>
    </row>
    <row r="331" s="4" customFormat="1" spans="1:51">
      <c r="A331" s="4">
        <v>330</v>
      </c>
      <c r="B331" s="18">
        <v>55</v>
      </c>
      <c r="C331" s="19" t="s">
        <v>266</v>
      </c>
      <c r="D331" s="5" t="s">
        <v>267</v>
      </c>
      <c r="E331" s="4">
        <v>31.5833333333333</v>
      </c>
      <c r="F331" s="4">
        <v>102.583333333333</v>
      </c>
      <c r="G331" s="20">
        <v>-0.274999976158142</v>
      </c>
      <c r="H331" s="21">
        <v>850</v>
      </c>
      <c r="I331" s="4"/>
      <c r="J331" s="13" t="s">
        <v>188</v>
      </c>
      <c r="K331" s="5" t="s">
        <v>182</v>
      </c>
      <c r="L331" s="4">
        <v>2019</v>
      </c>
      <c r="M331" s="4">
        <v>1</v>
      </c>
      <c r="N331" s="5" t="s">
        <v>79</v>
      </c>
      <c r="O331" s="36" t="s">
        <v>80</v>
      </c>
      <c r="P331" s="29">
        <v>5.45</v>
      </c>
      <c r="Q331" s="4">
        <v>110.716</v>
      </c>
      <c r="R331" s="4">
        <v>7.98696</v>
      </c>
      <c r="S331" s="13">
        <v>13.8620952152008</v>
      </c>
      <c r="T331" s="21">
        <v>14</v>
      </c>
      <c r="U331" s="21">
        <v>21</v>
      </c>
      <c r="V331" s="21">
        <v>65</v>
      </c>
      <c r="W331" s="4"/>
      <c r="X331" s="4"/>
      <c r="Y331" s="5" t="s">
        <v>82</v>
      </c>
      <c r="Z331" s="4">
        <v>9</v>
      </c>
      <c r="AA331" s="4">
        <v>9</v>
      </c>
      <c r="AB331" s="9">
        <v>-0.0715777198526031</v>
      </c>
      <c r="AC331" s="9">
        <v>0.00740187254981396</v>
      </c>
      <c r="AD331" s="9">
        <v>-0.379708416069403</v>
      </c>
      <c r="AE331" s="9">
        <v>0.0173343302294026</v>
      </c>
      <c r="AF331" s="9">
        <v>-0.308130696216799</v>
      </c>
      <c r="AG331" s="9">
        <v>0.0247362027792165</v>
      </c>
      <c r="AH331" s="9">
        <v>-0.563411504546093</v>
      </c>
      <c r="AI331" s="9">
        <v>0.00592589055634503</v>
      </c>
      <c r="AJ331" s="4">
        <v>0.491833784693489</v>
      </c>
      <c r="AK331" s="4">
        <v>0.013327763106159</v>
      </c>
      <c r="AL331" s="4">
        <v>0.183703088476693</v>
      </c>
      <c r="AM331" s="4">
        <v>0.0232602207857475</v>
      </c>
      <c r="AN331" s="4">
        <v>0.164411357908527</v>
      </c>
      <c r="AO331" s="4">
        <v>0.00186606116372938</v>
      </c>
      <c r="AP331" s="4">
        <v>-0.325212657438365</v>
      </c>
      <c r="AQ331" s="4">
        <v>0.00381890042518356</v>
      </c>
      <c r="AR331" s="4"/>
      <c r="AS331" s="4"/>
      <c r="AT331" s="4">
        <v>-0.227381243837513</v>
      </c>
      <c r="AU331" s="4">
        <v>0.00332953558070221</v>
      </c>
      <c r="AV331" s="4"/>
      <c r="AW331" s="4"/>
      <c r="AX331" s="4">
        <v>-0.0912757757760869</v>
      </c>
      <c r="AY331" s="4">
        <v>0.021297805213191</v>
      </c>
    </row>
    <row r="332" s="3" customFormat="1" spans="1:71">
      <c r="A332" s="4">
        <v>331</v>
      </c>
      <c r="B332" s="6">
        <v>56</v>
      </c>
      <c r="C332" s="24" t="s">
        <v>268</v>
      </c>
      <c r="D332" s="13" t="s">
        <v>269</v>
      </c>
      <c r="E332" s="3">
        <v>32.1</v>
      </c>
      <c r="F332" s="3">
        <v>114.0167</v>
      </c>
      <c r="G332" s="26">
        <v>15.2</v>
      </c>
      <c r="H332" s="27">
        <v>1063</v>
      </c>
      <c r="I332" s="3">
        <v>204</v>
      </c>
      <c r="J332" s="13" t="s">
        <v>188</v>
      </c>
      <c r="K332" s="5" t="s">
        <v>182</v>
      </c>
      <c r="L332" s="41">
        <v>2019</v>
      </c>
      <c r="M332" s="41">
        <v>7</v>
      </c>
      <c r="N332" s="41" t="s">
        <v>96</v>
      </c>
      <c r="O332" s="36" t="s">
        <v>80</v>
      </c>
      <c r="P332" s="7">
        <v>3.8</v>
      </c>
      <c r="Q332" s="3">
        <v>28.56</v>
      </c>
      <c r="R332" s="3">
        <v>1.79</v>
      </c>
      <c r="S332" s="13">
        <v>15.9553072625698</v>
      </c>
      <c r="T332" s="21">
        <v>20</v>
      </c>
      <c r="U332" s="21">
        <v>31</v>
      </c>
      <c r="V332" s="21">
        <v>49</v>
      </c>
      <c r="W332" s="3"/>
      <c r="X332" s="3"/>
      <c r="Y332" s="13" t="s">
        <v>82</v>
      </c>
      <c r="Z332" s="3">
        <v>3</v>
      </c>
      <c r="AA332" s="3">
        <v>3</v>
      </c>
      <c r="AB332" s="9">
        <v>-0.916290731874155</v>
      </c>
      <c r="AC332" s="9">
        <v>0.00781772872908511</v>
      </c>
      <c r="AD332" s="25">
        <v>-0.348306694268216</v>
      </c>
      <c r="AE332" s="25">
        <v>0.0366359092656671</v>
      </c>
      <c r="AF332" s="9">
        <v>0.56798403760594</v>
      </c>
      <c r="AG332" s="9">
        <v>0.0444536379947521</v>
      </c>
      <c r="AH332" s="25">
        <v>-0.150480950938296</v>
      </c>
      <c r="AI332" s="25">
        <v>0.00167680685931538</v>
      </c>
      <c r="AJ332" s="4">
        <v>-0.765809780935861</v>
      </c>
      <c r="AK332" s="4">
        <v>0.00949453558840047</v>
      </c>
      <c r="AL332" s="3">
        <v>-0.197825743329922</v>
      </c>
      <c r="AM332" s="3">
        <v>0.0383127161249826</v>
      </c>
      <c r="AN332" s="4">
        <v>0.470003629245736</v>
      </c>
      <c r="AO332" s="4">
        <v>0.000125086565096953</v>
      </c>
      <c r="AP332" s="3">
        <v>-0.163505284994479</v>
      </c>
      <c r="AQ332" s="3">
        <v>0.00635752702929702</v>
      </c>
      <c r="AR332" s="4"/>
      <c r="AS332" s="4"/>
      <c r="AT332" s="3"/>
      <c r="AU332" s="3"/>
      <c r="AV332" s="4">
        <v>0.673606931526005</v>
      </c>
      <c r="AW332" s="4">
        <v>0.0026109669469386</v>
      </c>
      <c r="AX332" s="3">
        <v>0.00664454271867094</v>
      </c>
      <c r="AY332" s="3">
        <v>0.021297805213191</v>
      </c>
      <c r="AZ332" s="3">
        <v>-0.194006070669591</v>
      </c>
      <c r="BA332" s="3">
        <v>0.00851531810634389</v>
      </c>
      <c r="BP332" s="3">
        <v>-1.22775812750039</v>
      </c>
      <c r="BQ332" s="3">
        <v>0.0358124956037179</v>
      </c>
      <c r="BR332" s="3">
        <v>-0.483348176542258</v>
      </c>
      <c r="BS332" s="3">
        <v>0.00722578993773282</v>
      </c>
    </row>
    <row r="333" s="3" customFormat="1" spans="1:71">
      <c r="A333" s="4">
        <v>332</v>
      </c>
      <c r="B333" s="6">
        <v>56</v>
      </c>
      <c r="C333" s="24" t="s">
        <v>268</v>
      </c>
      <c r="D333" s="13" t="s">
        <v>269</v>
      </c>
      <c r="E333" s="3">
        <v>32.1</v>
      </c>
      <c r="F333" s="3">
        <v>114.0167</v>
      </c>
      <c r="G333" s="26">
        <v>15.2</v>
      </c>
      <c r="H333" s="27">
        <v>1063</v>
      </c>
      <c r="I333" s="3">
        <v>204</v>
      </c>
      <c r="J333" s="13" t="s">
        <v>188</v>
      </c>
      <c r="K333" s="5" t="s">
        <v>182</v>
      </c>
      <c r="L333" s="41">
        <v>2019</v>
      </c>
      <c r="M333" s="41">
        <v>7</v>
      </c>
      <c r="N333" s="41" t="s">
        <v>96</v>
      </c>
      <c r="O333" s="36" t="s">
        <v>80</v>
      </c>
      <c r="P333" s="7">
        <v>4.12</v>
      </c>
      <c r="Q333" s="3">
        <v>32.65</v>
      </c>
      <c r="R333" s="3">
        <v>2.19</v>
      </c>
      <c r="S333" s="13">
        <v>14.9086757990868</v>
      </c>
      <c r="T333" s="21">
        <v>20</v>
      </c>
      <c r="U333" s="21">
        <v>31</v>
      </c>
      <c r="V333" s="21">
        <v>49</v>
      </c>
      <c r="W333" s="3"/>
      <c r="X333" s="3"/>
      <c r="Y333" s="13" t="s">
        <v>82</v>
      </c>
      <c r="Z333" s="3">
        <v>3</v>
      </c>
      <c r="AA333" s="3">
        <v>3</v>
      </c>
      <c r="AB333" s="9">
        <v>-0.92754788639879</v>
      </c>
      <c r="AC333" s="9">
        <v>0.0165839158986871</v>
      </c>
      <c r="AD333" s="25">
        <v>-0.42744401482694</v>
      </c>
      <c r="AE333" s="25">
        <v>0.0307314639781559</v>
      </c>
      <c r="AF333" s="9">
        <v>0.500103871571851</v>
      </c>
      <c r="AG333" s="9">
        <v>0.0473153798768429</v>
      </c>
      <c r="AH333" s="25">
        <v>-0.284318669189352</v>
      </c>
      <c r="AI333" s="25">
        <v>0.00278888652533186</v>
      </c>
      <c r="AJ333" s="4">
        <v>-0.643229217209438</v>
      </c>
      <c r="AK333" s="4">
        <v>0.019372802424019</v>
      </c>
      <c r="AL333" s="3">
        <v>-0.14312534563759</v>
      </c>
      <c r="AM333" s="3">
        <v>0.0335203505034879</v>
      </c>
      <c r="AN333" s="4">
        <v>0.389151532616641</v>
      </c>
      <c r="AO333" s="4">
        <v>0.000386055731244233</v>
      </c>
      <c r="AP333" s="3">
        <v>-0.365191208970224</v>
      </c>
      <c r="AQ333" s="3">
        <v>0.00831771439871996</v>
      </c>
      <c r="AR333" s="4"/>
      <c r="AS333" s="4"/>
      <c r="AT333" s="3"/>
      <c r="AU333" s="3"/>
      <c r="AV333" s="4">
        <v>-0.248218765624384</v>
      </c>
      <c r="AW333" s="4">
        <v>0.0342815470183446</v>
      </c>
      <c r="AX333" s="3">
        <v>-0.237252371625897</v>
      </c>
      <c r="AY333" s="3">
        <v>0.00699197434407138</v>
      </c>
      <c r="AZ333" s="3">
        <v>-0.491437523965375</v>
      </c>
      <c r="BA333" s="3">
        <v>0.00905836689113068</v>
      </c>
      <c r="BP333" s="3">
        <v>-1.42907139047595</v>
      </c>
      <c r="BQ333" s="3">
        <v>0.0305129610343285</v>
      </c>
      <c r="BR333" s="3">
        <v>-0.76075031837429</v>
      </c>
      <c r="BS333" s="3">
        <v>0.00339986941382717</v>
      </c>
    </row>
    <row r="334" s="4" customFormat="1" spans="1:63">
      <c r="A334" s="4">
        <v>333</v>
      </c>
      <c r="B334" s="18">
        <v>57</v>
      </c>
      <c r="C334" s="19" t="s">
        <v>270</v>
      </c>
      <c r="D334" s="5" t="s">
        <v>271</v>
      </c>
      <c r="E334" s="4">
        <v>23.029</v>
      </c>
      <c r="F334" s="4">
        <v>108.45</v>
      </c>
      <c r="G334" s="20">
        <v>21.6</v>
      </c>
      <c r="H334" s="21">
        <v>1500</v>
      </c>
      <c r="I334" s="4"/>
      <c r="J334" s="13" t="s">
        <v>188</v>
      </c>
      <c r="K334" s="5" t="s">
        <v>182</v>
      </c>
      <c r="L334" s="4">
        <v>2012</v>
      </c>
      <c r="M334" s="4">
        <v>12</v>
      </c>
      <c r="N334" s="5" t="s">
        <v>79</v>
      </c>
      <c r="O334" s="36" t="s">
        <v>80</v>
      </c>
      <c r="P334" s="29">
        <v>5.11</v>
      </c>
      <c r="Q334" s="4">
        <v>26.09</v>
      </c>
      <c r="R334" s="4">
        <v>1.2</v>
      </c>
      <c r="S334" s="13">
        <v>21.7416666666667</v>
      </c>
      <c r="T334" s="34">
        <v>6.56</v>
      </c>
      <c r="U334" s="34">
        <v>52.38</v>
      </c>
      <c r="V334" s="34">
        <v>41.06</v>
      </c>
      <c r="W334" s="4">
        <v>1</v>
      </c>
      <c r="X334" s="5" t="s">
        <v>81</v>
      </c>
      <c r="Y334" s="5" t="s">
        <v>82</v>
      </c>
      <c r="Z334" s="4">
        <v>3</v>
      </c>
      <c r="AA334" s="4">
        <v>3</v>
      </c>
      <c r="AB334" s="9">
        <v>0.863105518942168</v>
      </c>
      <c r="AC334" s="9">
        <v>0.00657499483691248</v>
      </c>
      <c r="AD334" s="9">
        <v>0.372065150233446</v>
      </c>
      <c r="AE334" s="9">
        <v>0.00104205169944716</v>
      </c>
      <c r="AF334" s="9">
        <v>-0.491040368708721</v>
      </c>
      <c r="AG334" s="9">
        <v>0.00761704653635964</v>
      </c>
      <c r="AH334" s="9">
        <v>0.249121389023797</v>
      </c>
      <c r="AI334" s="9">
        <v>0.00285011685170008</v>
      </c>
      <c r="AJ334" s="4">
        <v>0.61398412991837</v>
      </c>
      <c r="AK334" s="4">
        <v>0.00942511168861254</v>
      </c>
      <c r="AL334" s="4">
        <v>0.12294376120965</v>
      </c>
      <c r="AM334" s="4">
        <v>0.00389216855114723</v>
      </c>
      <c r="AN334" s="4">
        <v>-0.16102355911502</v>
      </c>
      <c r="AO334" s="4">
        <v>0.000376217392046543</v>
      </c>
      <c r="AP334" s="4">
        <v>0.159541528462135</v>
      </c>
      <c r="AQ334" s="4">
        <v>0.0031787706831801</v>
      </c>
      <c r="AR334" s="4">
        <v>0.255933374137201</v>
      </c>
      <c r="AS334" s="4">
        <v>0.0026616757235904</v>
      </c>
      <c r="AT334" s="4"/>
      <c r="AU334" s="4"/>
      <c r="AV334" s="4"/>
      <c r="AW334" s="4"/>
      <c r="AX334" s="4">
        <v>-0.29939722690806</v>
      </c>
      <c r="AY334" s="4">
        <v>0.00696536088629426</v>
      </c>
      <c r="AZ334" s="4">
        <v>0.0481192483441986</v>
      </c>
      <c r="BA334" s="4">
        <v>0.000126181800981572</v>
      </c>
      <c r="BJ334" s="4">
        <v>-0.010582109330537</v>
      </c>
      <c r="BK334" s="4">
        <v>0.00823045267489712</v>
      </c>
    </row>
    <row r="335" s="4" customFormat="1" spans="1:63">
      <c r="A335" s="4">
        <v>334</v>
      </c>
      <c r="B335" s="18">
        <v>57</v>
      </c>
      <c r="C335" s="19" t="s">
        <v>270</v>
      </c>
      <c r="D335" s="5" t="s">
        <v>271</v>
      </c>
      <c r="E335" s="4">
        <v>23.029</v>
      </c>
      <c r="F335" s="4">
        <v>108.45</v>
      </c>
      <c r="G335" s="20">
        <v>21.6</v>
      </c>
      <c r="H335" s="21">
        <v>1500</v>
      </c>
      <c r="I335" s="4"/>
      <c r="J335" s="13" t="s">
        <v>188</v>
      </c>
      <c r="K335" s="5" t="s">
        <v>182</v>
      </c>
      <c r="L335" s="4">
        <v>2012</v>
      </c>
      <c r="M335" s="4">
        <v>12</v>
      </c>
      <c r="N335" s="5" t="s">
        <v>79</v>
      </c>
      <c r="O335" s="36" t="s">
        <v>80</v>
      </c>
      <c r="P335" s="29">
        <v>5.11</v>
      </c>
      <c r="Q335" s="4">
        <v>26.09</v>
      </c>
      <c r="R335" s="4">
        <v>1.2</v>
      </c>
      <c r="S335" s="13">
        <v>21.7416666666667</v>
      </c>
      <c r="T335" s="34">
        <v>6.56</v>
      </c>
      <c r="U335" s="34">
        <v>52.38</v>
      </c>
      <c r="V335" s="34">
        <v>41.06</v>
      </c>
      <c r="W335" s="4">
        <v>1</v>
      </c>
      <c r="X335" s="5" t="s">
        <v>81</v>
      </c>
      <c r="Y335" s="5" t="s">
        <v>82</v>
      </c>
      <c r="Z335" s="4">
        <v>3</v>
      </c>
      <c r="AA335" s="4">
        <v>3</v>
      </c>
      <c r="AB335" s="9">
        <v>0.71949321310688</v>
      </c>
      <c r="AC335" s="9">
        <v>0.00376465305394602</v>
      </c>
      <c r="AD335" s="9">
        <v>0.204340646470946</v>
      </c>
      <c r="AE335" s="9">
        <v>0.000755739527242011</v>
      </c>
      <c r="AF335" s="9">
        <v>-0.515152566635935</v>
      </c>
      <c r="AG335" s="9">
        <v>0.00452039258118804</v>
      </c>
      <c r="AH335" s="9">
        <v>0.0544779025605875</v>
      </c>
      <c r="AI335" s="9">
        <v>0.00231869504842684</v>
      </c>
      <c r="AJ335" s="4">
        <v>0.665015310546297</v>
      </c>
      <c r="AK335" s="4">
        <v>0.00608334810237286</v>
      </c>
      <c r="AL335" s="4">
        <v>0.149862743910359</v>
      </c>
      <c r="AM335" s="4">
        <v>0.00307443457566886</v>
      </c>
      <c r="AN335" s="4">
        <v>-0.16102355911502</v>
      </c>
      <c r="AO335" s="4">
        <v>0.000376217392046543</v>
      </c>
      <c r="AP335" s="4">
        <v>-0.179855464298761</v>
      </c>
      <c r="AQ335" s="4">
        <v>0.000853600918191867</v>
      </c>
      <c r="AR335" s="4">
        <v>0.75377180237638</v>
      </c>
      <c r="AS335" s="4">
        <v>0.00780348904267589</v>
      </c>
      <c r="AT335" s="4"/>
      <c r="AU335" s="4"/>
      <c r="AV335" s="4"/>
      <c r="AW335" s="4"/>
      <c r="AX335" s="4">
        <v>-0.253380712633</v>
      </c>
      <c r="AY335" s="4">
        <v>0.0106599309402016</v>
      </c>
      <c r="AZ335" s="4">
        <v>0.0481192483441986</v>
      </c>
      <c r="BA335" s="4">
        <v>0.000126181800981572</v>
      </c>
      <c r="BJ335" s="4">
        <v>-0.010582109330537</v>
      </c>
      <c r="BK335" s="4">
        <v>0.00823045267489712</v>
      </c>
    </row>
    <row r="336" s="4" customFormat="1" spans="1:63">
      <c r="A336" s="4">
        <v>335</v>
      </c>
      <c r="B336" s="18">
        <v>57</v>
      </c>
      <c r="C336" s="19" t="s">
        <v>270</v>
      </c>
      <c r="D336" s="5" t="s">
        <v>271</v>
      </c>
      <c r="E336" s="4">
        <v>23.029</v>
      </c>
      <c r="F336" s="4">
        <v>108.45</v>
      </c>
      <c r="G336" s="20">
        <v>21.6</v>
      </c>
      <c r="H336" s="21">
        <v>1500</v>
      </c>
      <c r="I336" s="4"/>
      <c r="J336" s="13" t="s">
        <v>188</v>
      </c>
      <c r="K336" s="5" t="s">
        <v>182</v>
      </c>
      <c r="L336" s="4">
        <v>2012</v>
      </c>
      <c r="M336" s="4">
        <v>12</v>
      </c>
      <c r="N336" s="5" t="s">
        <v>79</v>
      </c>
      <c r="O336" s="36" t="s">
        <v>80</v>
      </c>
      <c r="P336" s="29">
        <v>5.11</v>
      </c>
      <c r="Q336" s="4">
        <v>26.09</v>
      </c>
      <c r="R336" s="4">
        <v>1.2</v>
      </c>
      <c r="S336" s="13">
        <v>21.7416666666667</v>
      </c>
      <c r="T336" s="34">
        <v>6.56</v>
      </c>
      <c r="U336" s="34">
        <v>52.38</v>
      </c>
      <c r="V336" s="34">
        <v>41.06</v>
      </c>
      <c r="W336" s="4">
        <v>1</v>
      </c>
      <c r="X336" s="5" t="s">
        <v>81</v>
      </c>
      <c r="Y336" s="5" t="s">
        <v>82</v>
      </c>
      <c r="Z336" s="4">
        <v>3</v>
      </c>
      <c r="AA336" s="4">
        <v>3</v>
      </c>
      <c r="AB336" s="9">
        <v>0.507210836764832</v>
      </c>
      <c r="AC336" s="9">
        <v>0.00528568487168263</v>
      </c>
      <c r="AD336" s="9">
        <v>0.226600632073044</v>
      </c>
      <c r="AE336" s="9">
        <v>0.000739831290872884</v>
      </c>
      <c r="AF336" s="9">
        <v>-0.280610204691788</v>
      </c>
      <c r="AG336" s="9">
        <v>0.0060255161625555</v>
      </c>
      <c r="AH336" s="9">
        <v>-0.00420817004793445</v>
      </c>
      <c r="AI336" s="9">
        <v>0.00335222033607961</v>
      </c>
      <c r="AJ336" s="4">
        <v>0.511419006812766</v>
      </c>
      <c r="AK336" s="4">
        <v>0.00863790520776225</v>
      </c>
      <c r="AL336" s="4">
        <v>0.230808802120979</v>
      </c>
      <c r="AM336" s="4">
        <v>0.0040920516269525</v>
      </c>
      <c r="AN336" s="4">
        <v>-0.16102355911502</v>
      </c>
      <c r="AO336" s="4">
        <v>0.000376217392046543</v>
      </c>
      <c r="AP336" s="4">
        <v>-0.172510686229695</v>
      </c>
      <c r="AQ336" s="4">
        <v>0.0019081222392203</v>
      </c>
      <c r="AR336" s="4">
        <v>0.0769610411361284</v>
      </c>
      <c r="AS336" s="4">
        <v>0.0103623228166438</v>
      </c>
      <c r="AT336" s="4"/>
      <c r="AU336" s="4"/>
      <c r="AV336" s="4"/>
      <c r="AW336" s="4"/>
      <c r="AX336" s="4">
        <v>-0.150658051094823</v>
      </c>
      <c r="AY336" s="4">
        <v>0.00764302503746419</v>
      </c>
      <c r="AZ336" s="4">
        <v>0.0481192483441986</v>
      </c>
      <c r="BA336" s="4">
        <v>0.000126181800981572</v>
      </c>
      <c r="BJ336" s="4">
        <v>-0.010582109330537</v>
      </c>
      <c r="BK336" s="4">
        <v>0.00823045267489712</v>
      </c>
    </row>
    <row r="337" s="4" customFormat="1" spans="1:63">
      <c r="A337" s="4">
        <v>336</v>
      </c>
      <c r="B337" s="18">
        <v>57</v>
      </c>
      <c r="C337" s="19" t="s">
        <v>270</v>
      </c>
      <c r="D337" s="5" t="s">
        <v>271</v>
      </c>
      <c r="E337" s="4">
        <v>23.029</v>
      </c>
      <c r="F337" s="4">
        <v>108.45</v>
      </c>
      <c r="G337" s="20">
        <v>21.6</v>
      </c>
      <c r="H337" s="21">
        <v>1500</v>
      </c>
      <c r="I337" s="4"/>
      <c r="J337" s="13" t="s">
        <v>188</v>
      </c>
      <c r="K337" s="5" t="s">
        <v>182</v>
      </c>
      <c r="L337" s="4">
        <v>2012</v>
      </c>
      <c r="M337" s="4">
        <v>12</v>
      </c>
      <c r="N337" s="5" t="s">
        <v>79</v>
      </c>
      <c r="O337" s="36" t="s">
        <v>80</v>
      </c>
      <c r="P337" s="29">
        <v>5.11</v>
      </c>
      <c r="Q337" s="4">
        <v>26.09</v>
      </c>
      <c r="R337" s="4">
        <v>1.2</v>
      </c>
      <c r="S337" s="13">
        <v>21.7416666666667</v>
      </c>
      <c r="T337" s="34">
        <v>6.56</v>
      </c>
      <c r="U337" s="34">
        <v>52.38</v>
      </c>
      <c r="V337" s="34">
        <v>41.06</v>
      </c>
      <c r="W337" s="4">
        <v>2</v>
      </c>
      <c r="X337" s="5" t="s">
        <v>81</v>
      </c>
      <c r="Y337" s="5" t="s">
        <v>82</v>
      </c>
      <c r="Z337" s="4">
        <v>3</v>
      </c>
      <c r="AA337" s="4">
        <v>3</v>
      </c>
      <c r="AB337" s="9">
        <v>0.876461450514456</v>
      </c>
      <c r="AC337" s="9">
        <v>0.00308505382439903</v>
      </c>
      <c r="AD337" s="9">
        <v>0.354973291171588</v>
      </c>
      <c r="AE337" s="9">
        <v>0.000589063325762329</v>
      </c>
      <c r="AF337" s="9">
        <v>-0.521488159342866</v>
      </c>
      <c r="AG337" s="9">
        <v>0.00367411715016136</v>
      </c>
      <c r="AH337" s="9">
        <v>0.154347162782994</v>
      </c>
      <c r="AI337" s="9">
        <v>0.00491519424468668</v>
      </c>
      <c r="AJ337" s="4">
        <v>0.722114287731462</v>
      </c>
      <c r="AK337" s="4">
        <v>0.0080002480690857</v>
      </c>
      <c r="AL337" s="4">
        <v>0.200626128388594</v>
      </c>
      <c r="AM337" s="4">
        <v>0.00550425757044902</v>
      </c>
      <c r="AN337" s="4">
        <v>-0.118272392162357</v>
      </c>
      <c r="AO337" s="4">
        <v>0.000376217392046543</v>
      </c>
      <c r="AP337" s="4">
        <v>-0.176930708159078</v>
      </c>
      <c r="AQ337" s="4">
        <v>0.00151128995519692</v>
      </c>
      <c r="AR337" s="4">
        <v>0.0408219945202552</v>
      </c>
      <c r="AS337" s="4">
        <v>0.00284814814814815</v>
      </c>
      <c r="AT337" s="4"/>
      <c r="AU337" s="4"/>
      <c r="AV337" s="4"/>
      <c r="AW337" s="4"/>
      <c r="AX337" s="4">
        <v>-0.238198847107732</v>
      </c>
      <c r="AY337" s="4">
        <v>0.00974479098152856</v>
      </c>
      <c r="AZ337" s="4">
        <v>-0.0579872576503493</v>
      </c>
      <c r="BA337" s="4">
        <v>0.000233199518606961</v>
      </c>
      <c r="BJ337" s="4">
        <v>0.0412429585340492</v>
      </c>
      <c r="BK337" s="4">
        <v>0.00823045267489715</v>
      </c>
    </row>
    <row r="338" s="4" customFormat="1" spans="1:63">
      <c r="A338" s="4">
        <v>337</v>
      </c>
      <c r="B338" s="18">
        <v>57</v>
      </c>
      <c r="C338" s="19" t="s">
        <v>270</v>
      </c>
      <c r="D338" s="5" t="s">
        <v>271</v>
      </c>
      <c r="E338" s="4">
        <v>23.029</v>
      </c>
      <c r="F338" s="4">
        <v>108.45</v>
      </c>
      <c r="G338" s="20">
        <v>21.6</v>
      </c>
      <c r="H338" s="21">
        <v>1500</v>
      </c>
      <c r="I338" s="4"/>
      <c r="J338" s="13" t="s">
        <v>188</v>
      </c>
      <c r="K338" s="5" t="s">
        <v>182</v>
      </c>
      <c r="L338" s="4">
        <v>2012</v>
      </c>
      <c r="M338" s="4">
        <v>12</v>
      </c>
      <c r="N338" s="5" t="s">
        <v>79</v>
      </c>
      <c r="O338" s="36" t="s">
        <v>80</v>
      </c>
      <c r="P338" s="29">
        <v>5.11</v>
      </c>
      <c r="Q338" s="4">
        <v>26.09</v>
      </c>
      <c r="R338" s="4">
        <v>1.2</v>
      </c>
      <c r="S338" s="13">
        <v>21.7416666666667</v>
      </c>
      <c r="T338" s="34">
        <v>6.56</v>
      </c>
      <c r="U338" s="34">
        <v>52.38</v>
      </c>
      <c r="V338" s="34">
        <v>41.06</v>
      </c>
      <c r="W338" s="4">
        <v>2</v>
      </c>
      <c r="X338" s="5" t="s">
        <v>81</v>
      </c>
      <c r="Y338" s="5" t="s">
        <v>82</v>
      </c>
      <c r="Z338" s="4">
        <v>3</v>
      </c>
      <c r="AA338" s="4">
        <v>3</v>
      </c>
      <c r="AB338" s="9">
        <v>0.426653442381085</v>
      </c>
      <c r="AC338" s="9">
        <v>0.0105741095878555</v>
      </c>
      <c r="AD338" s="9">
        <v>0.239036514324166</v>
      </c>
      <c r="AE338" s="9">
        <v>0.000575499511764606</v>
      </c>
      <c r="AF338" s="9">
        <v>-0.18761692805692</v>
      </c>
      <c r="AG338" s="9">
        <v>0.0111496090996201</v>
      </c>
      <c r="AH338" s="9">
        <v>-0.010917883953102</v>
      </c>
      <c r="AI338" s="9">
        <v>0.00243141701065734</v>
      </c>
      <c r="AJ338" s="4">
        <v>0.437571326334188</v>
      </c>
      <c r="AK338" s="4">
        <v>0.0130055265985128</v>
      </c>
      <c r="AL338" s="4">
        <v>0.249954398277268</v>
      </c>
      <c r="AM338" s="4">
        <v>0.00300691652242196</v>
      </c>
      <c r="AN338" s="4">
        <v>-0.118272392162357</v>
      </c>
      <c r="AO338" s="4">
        <v>0.000376217392046543</v>
      </c>
      <c r="AP338" s="4">
        <v>-0.334006144126019</v>
      </c>
      <c r="AQ338" s="4">
        <v>0.00261517223981075</v>
      </c>
      <c r="AR338" s="4">
        <v>0.485507815781701</v>
      </c>
      <c r="AS338" s="4">
        <v>0.0130978796844181</v>
      </c>
      <c r="AT338" s="4"/>
      <c r="AU338" s="4"/>
      <c r="AV338" s="4"/>
      <c r="AW338" s="4"/>
      <c r="AX338" s="4">
        <v>0.0130243340561831</v>
      </c>
      <c r="AY338" s="4">
        <v>0.00803433388861243</v>
      </c>
      <c r="AZ338" s="4">
        <v>-0.0579872576503493</v>
      </c>
      <c r="BA338" s="4">
        <v>0.000233199518606961</v>
      </c>
      <c r="BJ338" s="4">
        <v>0.0412429585340492</v>
      </c>
      <c r="BK338" s="4">
        <v>0.00823045267489715</v>
      </c>
    </row>
    <row r="339" s="4" customFormat="1" spans="1:63">
      <c r="A339" s="4">
        <v>338</v>
      </c>
      <c r="B339" s="18">
        <v>57</v>
      </c>
      <c r="C339" s="19" t="s">
        <v>270</v>
      </c>
      <c r="D339" s="5" t="s">
        <v>271</v>
      </c>
      <c r="E339" s="4">
        <v>23.029</v>
      </c>
      <c r="F339" s="4">
        <v>108.45</v>
      </c>
      <c r="G339" s="20">
        <v>21.6</v>
      </c>
      <c r="H339" s="21">
        <v>1500</v>
      </c>
      <c r="I339" s="4"/>
      <c r="J339" s="13" t="s">
        <v>188</v>
      </c>
      <c r="K339" s="5" t="s">
        <v>182</v>
      </c>
      <c r="L339" s="4">
        <v>2012</v>
      </c>
      <c r="M339" s="4">
        <v>12</v>
      </c>
      <c r="N339" s="5" t="s">
        <v>79</v>
      </c>
      <c r="O339" s="36" t="s">
        <v>80</v>
      </c>
      <c r="P339" s="29">
        <v>5.11</v>
      </c>
      <c r="Q339" s="4">
        <v>26.09</v>
      </c>
      <c r="R339" s="4">
        <v>1.2</v>
      </c>
      <c r="S339" s="13">
        <v>21.7416666666667</v>
      </c>
      <c r="T339" s="34">
        <v>6.56</v>
      </c>
      <c r="U339" s="34">
        <v>52.38</v>
      </c>
      <c r="V339" s="34">
        <v>41.06</v>
      </c>
      <c r="W339" s="4">
        <v>2</v>
      </c>
      <c r="X339" s="5" t="s">
        <v>81</v>
      </c>
      <c r="Y339" s="5" t="s">
        <v>82</v>
      </c>
      <c r="Z339" s="4">
        <v>3</v>
      </c>
      <c r="AA339" s="4">
        <v>3</v>
      </c>
      <c r="AB339" s="9">
        <v>0.419934607746931</v>
      </c>
      <c r="AC339" s="9">
        <v>0.00574731035430517</v>
      </c>
      <c r="AD339" s="9">
        <v>0.0243096840906803</v>
      </c>
      <c r="AE339" s="9">
        <v>0.0027265762399161</v>
      </c>
      <c r="AF339" s="9">
        <v>-0.395624923656251</v>
      </c>
      <c r="AG339" s="9">
        <v>0.00847388659422126</v>
      </c>
      <c r="AH339" s="9">
        <v>-0.200173121126721</v>
      </c>
      <c r="AI339" s="9">
        <v>0.0034878333178733</v>
      </c>
      <c r="AJ339" s="4">
        <v>0.620107728873653</v>
      </c>
      <c r="AK339" s="4">
        <v>0.00923514367217848</v>
      </c>
      <c r="AL339" s="4">
        <v>0.2244828052174</v>
      </c>
      <c r="AM339" s="4">
        <v>0.00621440955778941</v>
      </c>
      <c r="AN339" s="4">
        <v>-0.118272392162357</v>
      </c>
      <c r="AO339" s="4">
        <v>0.000376217392046543</v>
      </c>
      <c r="AP339" s="4">
        <v>-0.507310681658546</v>
      </c>
      <c r="AQ339" s="4">
        <v>0.00151848105003423</v>
      </c>
      <c r="AR339" s="4">
        <v>-0.083381608939051</v>
      </c>
      <c r="AS339" s="4">
        <v>0.0110538122243226</v>
      </c>
      <c r="AT339" s="4"/>
      <c r="AU339" s="4"/>
      <c r="AV339" s="4"/>
      <c r="AW339" s="4"/>
      <c r="AX339" s="4">
        <v>0.0808725397808675</v>
      </c>
      <c r="AY339" s="4">
        <v>0.0111066009240518</v>
      </c>
      <c r="AZ339" s="4">
        <v>-0.0579872576503493</v>
      </c>
      <c r="BA339" s="4">
        <v>0.000233199518606961</v>
      </c>
      <c r="BJ339" s="4">
        <v>0.0412429585340492</v>
      </c>
      <c r="BK339" s="4">
        <v>0.00823045267489715</v>
      </c>
    </row>
    <row r="340" s="4" customFormat="1" spans="1:63">
      <c r="A340" s="4">
        <v>339</v>
      </c>
      <c r="B340" s="18">
        <v>57</v>
      </c>
      <c r="C340" s="19" t="s">
        <v>270</v>
      </c>
      <c r="D340" s="5" t="s">
        <v>271</v>
      </c>
      <c r="E340" s="4">
        <v>23.029</v>
      </c>
      <c r="F340" s="4">
        <v>108.45</v>
      </c>
      <c r="G340" s="20">
        <v>21.6</v>
      </c>
      <c r="H340" s="21">
        <v>1500</v>
      </c>
      <c r="I340" s="4"/>
      <c r="J340" s="13" t="s">
        <v>188</v>
      </c>
      <c r="K340" s="5" t="s">
        <v>182</v>
      </c>
      <c r="L340" s="4">
        <v>2012</v>
      </c>
      <c r="M340" s="4">
        <v>12</v>
      </c>
      <c r="N340" s="5" t="s">
        <v>79</v>
      </c>
      <c r="O340" s="36" t="s">
        <v>80</v>
      </c>
      <c r="P340" s="29">
        <v>5.11</v>
      </c>
      <c r="Q340" s="4">
        <v>26.09</v>
      </c>
      <c r="R340" s="4">
        <v>1.2</v>
      </c>
      <c r="S340" s="13">
        <v>21.7416666666667</v>
      </c>
      <c r="T340" s="34">
        <v>6.56</v>
      </c>
      <c r="U340" s="34">
        <v>52.38</v>
      </c>
      <c r="V340" s="34">
        <v>41.06</v>
      </c>
      <c r="W340" s="4">
        <v>3</v>
      </c>
      <c r="X340" s="5" t="s">
        <v>81</v>
      </c>
      <c r="Y340" s="5" t="s">
        <v>82</v>
      </c>
      <c r="Z340" s="4">
        <v>3</v>
      </c>
      <c r="AA340" s="4">
        <v>3</v>
      </c>
      <c r="AB340" s="9">
        <v>1.15288889017366</v>
      </c>
      <c r="AC340" s="9">
        <v>0.00350683887552056</v>
      </c>
      <c r="AD340" s="9">
        <v>0.339920455486107</v>
      </c>
      <c r="AE340" s="9">
        <v>0.000511053750436837</v>
      </c>
      <c r="AF340" s="9">
        <v>-0.812968434687549</v>
      </c>
      <c r="AG340" s="9">
        <v>0.00401789262595739</v>
      </c>
      <c r="AH340" s="9">
        <v>0.657916661960299</v>
      </c>
      <c r="AI340" s="9">
        <v>0.00304699884840041</v>
      </c>
      <c r="AJ340" s="4">
        <v>0.494972228213357</v>
      </c>
      <c r="AK340" s="4">
        <v>0.00655383772392097</v>
      </c>
      <c r="AL340" s="4">
        <v>-0.317996206474191</v>
      </c>
      <c r="AM340" s="4">
        <v>0.00355805259883725</v>
      </c>
      <c r="AN340" s="4">
        <v>-0.15872734685467</v>
      </c>
      <c r="AO340" s="4">
        <v>0.000376217392046544</v>
      </c>
      <c r="AP340" s="4">
        <v>0.126751705639144</v>
      </c>
      <c r="AQ340" s="4">
        <v>0.00395665936206477</v>
      </c>
      <c r="AR340" s="4">
        <v>0.405465108108164</v>
      </c>
      <c r="AS340" s="4">
        <v>0.00334362139917695</v>
      </c>
      <c r="AT340" s="4"/>
      <c r="AU340" s="4"/>
      <c r="AV340" s="4"/>
      <c r="AW340" s="4"/>
      <c r="AX340" s="4">
        <v>0.0895798605616647</v>
      </c>
      <c r="AY340" s="4">
        <v>0.00602888753488017</v>
      </c>
      <c r="AZ340" s="4">
        <v>0.119346757632566</v>
      </c>
      <c r="BA340" s="4">
        <v>0.000118207779541096</v>
      </c>
      <c r="BJ340" s="4">
        <v>-0.197168064910949</v>
      </c>
      <c r="BK340" s="4">
        <v>0.00823045267489716</v>
      </c>
    </row>
    <row r="341" s="4" customFormat="1" spans="1:63">
      <c r="A341" s="4">
        <v>340</v>
      </c>
      <c r="B341" s="18">
        <v>57</v>
      </c>
      <c r="C341" s="19" t="s">
        <v>270</v>
      </c>
      <c r="D341" s="5" t="s">
        <v>271</v>
      </c>
      <c r="E341" s="4">
        <v>23.029</v>
      </c>
      <c r="F341" s="4">
        <v>108.45</v>
      </c>
      <c r="G341" s="20">
        <v>21.6</v>
      </c>
      <c r="H341" s="21">
        <v>1500</v>
      </c>
      <c r="I341" s="4"/>
      <c r="J341" s="13" t="s">
        <v>188</v>
      </c>
      <c r="K341" s="5" t="s">
        <v>182</v>
      </c>
      <c r="L341" s="4">
        <v>2012</v>
      </c>
      <c r="M341" s="4">
        <v>12</v>
      </c>
      <c r="N341" s="5" t="s">
        <v>79</v>
      </c>
      <c r="O341" s="36" t="s">
        <v>80</v>
      </c>
      <c r="P341" s="29">
        <v>5.11</v>
      </c>
      <c r="Q341" s="4">
        <v>26.09</v>
      </c>
      <c r="R341" s="4">
        <v>1.2</v>
      </c>
      <c r="S341" s="13">
        <v>21.7416666666667</v>
      </c>
      <c r="T341" s="34">
        <v>6.56</v>
      </c>
      <c r="U341" s="34">
        <v>52.38</v>
      </c>
      <c r="V341" s="34">
        <v>41.06</v>
      </c>
      <c r="W341" s="4">
        <v>3</v>
      </c>
      <c r="X341" s="5" t="s">
        <v>81</v>
      </c>
      <c r="Y341" s="5" t="s">
        <v>82</v>
      </c>
      <c r="Z341" s="4">
        <v>3</v>
      </c>
      <c r="AA341" s="4">
        <v>3</v>
      </c>
      <c r="AB341" s="9">
        <v>0.991068644000332</v>
      </c>
      <c r="AC341" s="9">
        <v>0.00339124001705663</v>
      </c>
      <c r="AD341" s="9">
        <v>0.206414163440127</v>
      </c>
      <c r="AE341" s="9">
        <v>0.000413494568674543</v>
      </c>
      <c r="AF341" s="9">
        <v>-0.784654480560205</v>
      </c>
      <c r="AG341" s="9">
        <v>0.00380473458573117</v>
      </c>
      <c r="AH341" s="9">
        <v>0.397401922068589</v>
      </c>
      <c r="AI341" s="9">
        <v>0.00278498203961461</v>
      </c>
      <c r="AJ341" s="4">
        <v>0.593666721931743</v>
      </c>
      <c r="AK341" s="4">
        <v>0.00617622205667125</v>
      </c>
      <c r="AL341" s="4">
        <v>-0.190987758628463</v>
      </c>
      <c r="AM341" s="4">
        <v>0.00319847660828917</v>
      </c>
      <c r="AN341" s="4">
        <v>-0.15872734685467</v>
      </c>
      <c r="AO341" s="4">
        <v>0.000376217392046544</v>
      </c>
      <c r="AP341" s="4">
        <v>-0.131769277631123</v>
      </c>
      <c r="AQ341" s="4">
        <v>0.0033961116467282</v>
      </c>
      <c r="AR341" s="4">
        <v>0.559615787935423</v>
      </c>
      <c r="AS341" s="4">
        <v>0.00690901360544218</v>
      </c>
      <c r="AT341" s="4"/>
      <c r="AU341" s="4"/>
      <c r="AV341" s="4"/>
      <c r="AW341" s="4"/>
      <c r="AX341" s="4">
        <v>0.234333366859346</v>
      </c>
      <c r="AY341" s="4">
        <v>0.00317229596661873</v>
      </c>
      <c r="AZ341" s="4">
        <v>0.119346757632566</v>
      </c>
      <c r="BA341" s="4">
        <v>0.000118207779541096</v>
      </c>
      <c r="BJ341" s="4">
        <v>-0.197168064910949</v>
      </c>
      <c r="BK341" s="4">
        <v>0.00823045267489716</v>
      </c>
    </row>
    <row r="342" s="4" customFormat="1" spans="1:63">
      <c r="A342" s="4">
        <v>341</v>
      </c>
      <c r="B342" s="18">
        <v>57</v>
      </c>
      <c r="C342" s="19" t="s">
        <v>270</v>
      </c>
      <c r="D342" s="5" t="s">
        <v>271</v>
      </c>
      <c r="E342" s="4">
        <v>23.029</v>
      </c>
      <c r="F342" s="4">
        <v>108.45</v>
      </c>
      <c r="G342" s="20">
        <v>21.6</v>
      </c>
      <c r="H342" s="21">
        <v>1500</v>
      </c>
      <c r="I342" s="4"/>
      <c r="J342" s="13" t="s">
        <v>188</v>
      </c>
      <c r="K342" s="5" t="s">
        <v>182</v>
      </c>
      <c r="L342" s="4">
        <v>2012</v>
      </c>
      <c r="M342" s="4">
        <v>12</v>
      </c>
      <c r="N342" s="5" t="s">
        <v>79</v>
      </c>
      <c r="O342" s="36" t="s">
        <v>80</v>
      </c>
      <c r="P342" s="29">
        <v>5.11</v>
      </c>
      <c r="Q342" s="4">
        <v>26.09</v>
      </c>
      <c r="R342" s="4">
        <v>1.2</v>
      </c>
      <c r="S342" s="13">
        <v>21.7416666666667</v>
      </c>
      <c r="T342" s="34">
        <v>6.56</v>
      </c>
      <c r="U342" s="34">
        <v>52.38</v>
      </c>
      <c r="V342" s="34">
        <v>41.06</v>
      </c>
      <c r="W342" s="4">
        <v>3</v>
      </c>
      <c r="X342" s="5" t="s">
        <v>81</v>
      </c>
      <c r="Y342" s="5" t="s">
        <v>82</v>
      </c>
      <c r="Z342" s="4">
        <v>3</v>
      </c>
      <c r="AA342" s="4">
        <v>3</v>
      </c>
      <c r="AB342" s="9">
        <v>0.944347365523486</v>
      </c>
      <c r="AC342" s="9">
        <v>0.00503244089663536</v>
      </c>
      <c r="AD342" s="9">
        <v>0.189113647126549</v>
      </c>
      <c r="AE342" s="9">
        <v>0.000973536007898676</v>
      </c>
      <c r="AF342" s="9">
        <v>-0.755233718396939</v>
      </c>
      <c r="AG342" s="9">
        <v>0.00600597690453403</v>
      </c>
      <c r="AH342" s="9">
        <v>0.435795527904798</v>
      </c>
      <c r="AI342" s="9">
        <v>0.0032884502771561</v>
      </c>
      <c r="AJ342" s="4">
        <v>0.508551837618688</v>
      </c>
      <c r="AK342" s="4">
        <v>0.00832089117379147</v>
      </c>
      <c r="AL342" s="4">
        <v>-0.246681880778246</v>
      </c>
      <c r="AM342" s="4">
        <v>0.00426198628505478</v>
      </c>
      <c r="AN342" s="4">
        <v>-0.15872734685467</v>
      </c>
      <c r="AO342" s="4">
        <v>0.000376217392046544</v>
      </c>
      <c r="AP342" s="4">
        <v>-0.0249567319738675</v>
      </c>
      <c r="AQ342" s="4">
        <v>0.000807990421235939</v>
      </c>
      <c r="AR342" s="4">
        <v>0.27763173659828</v>
      </c>
      <c r="AS342" s="4">
        <v>0.0112881542699725</v>
      </c>
      <c r="AT342" s="4"/>
      <c r="AU342" s="4"/>
      <c r="AV342" s="4"/>
      <c r="AW342" s="4"/>
      <c r="AX342" s="4">
        <v>0.168302516181759</v>
      </c>
      <c r="AY342" s="4">
        <v>0.00526034257529991</v>
      </c>
      <c r="AZ342" s="4">
        <v>0.119346757632566</v>
      </c>
      <c r="BA342" s="4">
        <v>0.000118207779541096</v>
      </c>
      <c r="BJ342" s="4">
        <v>-0.197168064910949</v>
      </c>
      <c r="BK342" s="4">
        <v>0.00823045267489716</v>
      </c>
    </row>
    <row r="343" s="4" customFormat="1" spans="1:63">
      <c r="A343" s="4">
        <v>342</v>
      </c>
      <c r="B343" s="18">
        <v>57</v>
      </c>
      <c r="C343" s="19" t="s">
        <v>270</v>
      </c>
      <c r="D343" s="5" t="s">
        <v>271</v>
      </c>
      <c r="E343" s="4">
        <v>23.029</v>
      </c>
      <c r="F343" s="4">
        <v>108.45</v>
      </c>
      <c r="G343" s="20">
        <v>21.6</v>
      </c>
      <c r="H343" s="21">
        <v>1500</v>
      </c>
      <c r="I343" s="4"/>
      <c r="J343" s="13" t="s">
        <v>188</v>
      </c>
      <c r="K343" s="5" t="s">
        <v>182</v>
      </c>
      <c r="L343" s="4">
        <v>2012</v>
      </c>
      <c r="M343" s="4">
        <v>12</v>
      </c>
      <c r="N343" s="5" t="s">
        <v>79</v>
      </c>
      <c r="O343" s="36" t="s">
        <v>80</v>
      </c>
      <c r="P343" s="29">
        <v>5.11</v>
      </c>
      <c r="Q343" s="4">
        <v>26.09</v>
      </c>
      <c r="R343" s="4">
        <v>1.2</v>
      </c>
      <c r="S343" s="13">
        <v>21.7416666666667</v>
      </c>
      <c r="T343" s="34">
        <v>6.56</v>
      </c>
      <c r="U343" s="34">
        <v>52.38</v>
      </c>
      <c r="V343" s="34">
        <v>41.06</v>
      </c>
      <c r="W343" s="4">
        <v>4</v>
      </c>
      <c r="X343" s="5" t="s">
        <v>81</v>
      </c>
      <c r="Y343" s="5" t="s">
        <v>82</v>
      </c>
      <c r="Z343" s="4">
        <v>3</v>
      </c>
      <c r="AA343" s="4">
        <v>3</v>
      </c>
      <c r="AB343" s="9">
        <v>1.13426827323472</v>
      </c>
      <c r="AC343" s="9">
        <v>0.00310754948758623</v>
      </c>
      <c r="AD343" s="9">
        <v>0.537269155923953</v>
      </c>
      <c r="AE343" s="9">
        <v>0.00122182440107029</v>
      </c>
      <c r="AF343" s="9">
        <v>-0.596999117310766</v>
      </c>
      <c r="AG343" s="9">
        <v>0.00432937388865652</v>
      </c>
      <c r="AH343" s="9">
        <v>0.405923508299551</v>
      </c>
      <c r="AI343" s="9">
        <v>0.00335561588311432</v>
      </c>
      <c r="AJ343" s="4">
        <v>0.72834476493517</v>
      </c>
      <c r="AK343" s="4">
        <v>0.00646316537070054</v>
      </c>
      <c r="AL343" s="4">
        <v>0.131345647624402</v>
      </c>
      <c r="AM343" s="4">
        <v>0.00457744028418463</v>
      </c>
      <c r="AN343" s="4">
        <v>-0.113876780689319</v>
      </c>
      <c r="AO343" s="4">
        <v>0.000376217392046543</v>
      </c>
      <c r="AP343" s="4">
        <v>-0.0108696722369039</v>
      </c>
      <c r="AQ343" s="4">
        <v>0.0011110483654191</v>
      </c>
      <c r="AR343" s="4">
        <v>0.287682072451781</v>
      </c>
      <c r="AS343" s="4">
        <v>0.00361689814814815</v>
      </c>
      <c r="AT343" s="4"/>
      <c r="AU343" s="4"/>
      <c r="AV343" s="4"/>
      <c r="AW343" s="4"/>
      <c r="AX343" s="4">
        <v>0.331277870942073</v>
      </c>
      <c r="AY343" s="4">
        <v>0.0064264841998836</v>
      </c>
      <c r="AZ343" s="4">
        <v>0.00701757265864654</v>
      </c>
      <c r="BA343" s="4">
        <v>8.24251618091779e-5</v>
      </c>
      <c r="BJ343" s="4">
        <v>0.146603474191875</v>
      </c>
      <c r="BK343" s="4">
        <v>0.00823045267489714</v>
      </c>
    </row>
    <row r="344" s="4" customFormat="1" spans="1:63">
      <c r="A344" s="4">
        <v>343</v>
      </c>
      <c r="B344" s="18">
        <v>57</v>
      </c>
      <c r="C344" s="19" t="s">
        <v>270</v>
      </c>
      <c r="D344" s="5" t="s">
        <v>271</v>
      </c>
      <c r="E344" s="4">
        <v>23.029</v>
      </c>
      <c r="F344" s="4">
        <v>108.45</v>
      </c>
      <c r="G344" s="20">
        <v>21.6</v>
      </c>
      <c r="H344" s="21">
        <v>1500</v>
      </c>
      <c r="I344" s="4"/>
      <c r="J344" s="13" t="s">
        <v>188</v>
      </c>
      <c r="K344" s="5" t="s">
        <v>182</v>
      </c>
      <c r="L344" s="4">
        <v>2012</v>
      </c>
      <c r="M344" s="4">
        <v>12</v>
      </c>
      <c r="N344" s="5" t="s">
        <v>79</v>
      </c>
      <c r="O344" s="36" t="s">
        <v>80</v>
      </c>
      <c r="P344" s="29">
        <v>5.11</v>
      </c>
      <c r="Q344" s="4">
        <v>26.09</v>
      </c>
      <c r="R344" s="4">
        <v>1.2</v>
      </c>
      <c r="S344" s="13">
        <v>21.7416666666667</v>
      </c>
      <c r="T344" s="34">
        <v>6.56</v>
      </c>
      <c r="U344" s="34">
        <v>52.38</v>
      </c>
      <c r="V344" s="34">
        <v>41.06</v>
      </c>
      <c r="W344" s="4">
        <v>4</v>
      </c>
      <c r="X344" s="5" t="s">
        <v>81</v>
      </c>
      <c r="Y344" s="5" t="s">
        <v>82</v>
      </c>
      <c r="Z344" s="4">
        <v>3</v>
      </c>
      <c r="AA344" s="4">
        <v>3</v>
      </c>
      <c r="AB344" s="9">
        <v>0.795833020306146</v>
      </c>
      <c r="AC344" s="9">
        <v>0.00423652128857658</v>
      </c>
      <c r="AD344" s="9">
        <v>0.328201786941587</v>
      </c>
      <c r="AE344" s="9">
        <v>0.000253022493688489</v>
      </c>
      <c r="AF344" s="9">
        <v>-0.467631233364559</v>
      </c>
      <c r="AG344" s="9">
        <v>0.00448954378226506</v>
      </c>
      <c r="AH344" s="9">
        <v>0.173402816730996</v>
      </c>
      <c r="AI344" s="9">
        <v>0.0032214452235444</v>
      </c>
      <c r="AJ344" s="4">
        <v>0.622430203575153</v>
      </c>
      <c r="AK344" s="4">
        <v>0.00745796651212098</v>
      </c>
      <c r="AL344" s="4">
        <v>0.154798970210592</v>
      </c>
      <c r="AM344" s="4">
        <v>0.00347446771723289</v>
      </c>
      <c r="AN344" s="4">
        <v>-0.113876780689319</v>
      </c>
      <c r="AO344" s="4">
        <v>0.000376217392046543</v>
      </c>
      <c r="AP344" s="4">
        <v>-0.456108840926919</v>
      </c>
      <c r="AQ344" s="4">
        <v>0.00159571928852031</v>
      </c>
      <c r="AR344" s="4">
        <v>0.559615787935423</v>
      </c>
      <c r="AS344" s="4">
        <v>0.00563350340136054</v>
      </c>
      <c r="AT344" s="4"/>
      <c r="AU344" s="4"/>
      <c r="AV344" s="4"/>
      <c r="AW344" s="4"/>
      <c r="AX344" s="4">
        <v>0.323088260172918</v>
      </c>
      <c r="AY344" s="4">
        <v>0.00504658925046812</v>
      </c>
      <c r="AZ344" s="4">
        <v>0.00701757265864654</v>
      </c>
      <c r="BA344" s="4">
        <v>8.24251618091779e-5</v>
      </c>
      <c r="BJ344" s="4">
        <v>0.146603474191875</v>
      </c>
      <c r="BK344" s="4">
        <v>0.00823045267489714</v>
      </c>
    </row>
    <row r="345" s="4" customFormat="1" spans="1:63">
      <c r="A345" s="4">
        <v>344</v>
      </c>
      <c r="B345" s="18">
        <v>57</v>
      </c>
      <c r="C345" s="19" t="s">
        <v>270</v>
      </c>
      <c r="D345" s="5" t="s">
        <v>271</v>
      </c>
      <c r="E345" s="4">
        <v>23.029</v>
      </c>
      <c r="F345" s="4">
        <v>108.45</v>
      </c>
      <c r="G345" s="20">
        <v>21.6</v>
      </c>
      <c r="H345" s="21">
        <v>1500</v>
      </c>
      <c r="I345" s="4"/>
      <c r="J345" s="13" t="s">
        <v>188</v>
      </c>
      <c r="K345" s="5" t="s">
        <v>182</v>
      </c>
      <c r="L345" s="4">
        <v>2012</v>
      </c>
      <c r="M345" s="4">
        <v>12</v>
      </c>
      <c r="N345" s="5" t="s">
        <v>79</v>
      </c>
      <c r="O345" s="36" t="s">
        <v>80</v>
      </c>
      <c r="P345" s="29">
        <v>5.11</v>
      </c>
      <c r="Q345" s="4">
        <v>26.09</v>
      </c>
      <c r="R345" s="4">
        <v>1.2</v>
      </c>
      <c r="S345" s="13">
        <v>21.7416666666667</v>
      </c>
      <c r="T345" s="34">
        <v>6.56</v>
      </c>
      <c r="U345" s="34">
        <v>52.38</v>
      </c>
      <c r="V345" s="34">
        <v>41.06</v>
      </c>
      <c r="W345" s="4">
        <v>4</v>
      </c>
      <c r="X345" s="5" t="s">
        <v>81</v>
      </c>
      <c r="Y345" s="5" t="s">
        <v>82</v>
      </c>
      <c r="Z345" s="4">
        <v>3</v>
      </c>
      <c r="AA345" s="4">
        <v>3</v>
      </c>
      <c r="AB345" s="9">
        <v>0.599743948983992</v>
      </c>
      <c r="AC345" s="9">
        <v>0.00782135601142544</v>
      </c>
      <c r="AD345" s="9">
        <v>-0.15498442805932</v>
      </c>
      <c r="AE345" s="9">
        <v>0.00110971715286986</v>
      </c>
      <c r="AF345" s="9">
        <v>-0.754728377043311</v>
      </c>
      <c r="AG345" s="9">
        <v>0.00893107316429528</v>
      </c>
      <c r="AH345" s="9">
        <v>0.078577253336019</v>
      </c>
      <c r="AI345" s="9">
        <v>0.0044697249527402</v>
      </c>
      <c r="AJ345" s="4">
        <v>0.521166695647974</v>
      </c>
      <c r="AK345" s="4">
        <v>0.0122910809641657</v>
      </c>
      <c r="AL345" s="4">
        <v>-0.233561681395339</v>
      </c>
      <c r="AM345" s="4">
        <v>0.00557944210561006</v>
      </c>
      <c r="AN345" s="4">
        <v>-0.113876780689319</v>
      </c>
      <c r="AO345" s="4">
        <v>0.000376217392046543</v>
      </c>
      <c r="AP345" s="4">
        <v>-0.335768259119419</v>
      </c>
      <c r="AQ345" s="4">
        <v>0.000886318540464009</v>
      </c>
      <c r="AR345" s="4">
        <v>0.246860077931526</v>
      </c>
      <c r="AS345" s="4">
        <v>0.00983541666666667</v>
      </c>
      <c r="AT345" s="4"/>
      <c r="AU345" s="4"/>
      <c r="AV345" s="4"/>
      <c r="AW345" s="4"/>
      <c r="AX345" s="4">
        <v>0.307137560531828</v>
      </c>
      <c r="AY345" s="4">
        <v>0.00500631436790754</v>
      </c>
      <c r="AZ345" s="4">
        <v>0.00701757265864654</v>
      </c>
      <c r="BA345" s="4">
        <v>8.24251618091779e-5</v>
      </c>
      <c r="BJ345" s="4">
        <v>0.146603474191875</v>
      </c>
      <c r="BK345" s="4">
        <v>0.00823045267489714</v>
      </c>
    </row>
    <row r="346" s="4" customFormat="1" spans="1:63">
      <c r="A346" s="4">
        <v>345</v>
      </c>
      <c r="B346" s="18">
        <v>57</v>
      </c>
      <c r="C346" s="19" t="s">
        <v>270</v>
      </c>
      <c r="D346" s="5" t="s">
        <v>271</v>
      </c>
      <c r="E346" s="4">
        <v>23.029</v>
      </c>
      <c r="F346" s="4">
        <v>108.45</v>
      </c>
      <c r="G346" s="20">
        <v>21.6</v>
      </c>
      <c r="H346" s="21">
        <v>1500</v>
      </c>
      <c r="I346" s="4"/>
      <c r="J346" s="13" t="s">
        <v>188</v>
      </c>
      <c r="K346" s="5" t="s">
        <v>182</v>
      </c>
      <c r="L346" s="4">
        <v>2012</v>
      </c>
      <c r="M346" s="4">
        <v>12</v>
      </c>
      <c r="N346" s="5" t="s">
        <v>79</v>
      </c>
      <c r="O346" s="36" t="s">
        <v>80</v>
      </c>
      <c r="P346" s="29">
        <v>5.11</v>
      </c>
      <c r="Q346" s="4">
        <v>26.09</v>
      </c>
      <c r="R346" s="4">
        <v>1.2</v>
      </c>
      <c r="S346" s="13">
        <v>21.7416666666667</v>
      </c>
      <c r="T346" s="34">
        <v>6.56</v>
      </c>
      <c r="U346" s="34">
        <v>52.38</v>
      </c>
      <c r="V346" s="34">
        <v>41.06</v>
      </c>
      <c r="W346" s="4">
        <v>5</v>
      </c>
      <c r="X346" s="5" t="s">
        <v>81</v>
      </c>
      <c r="Y346" s="5" t="s">
        <v>82</v>
      </c>
      <c r="Z346" s="4">
        <v>3</v>
      </c>
      <c r="AA346" s="4">
        <v>3</v>
      </c>
      <c r="AB346" s="9">
        <v>0.703057599809535</v>
      </c>
      <c r="AC346" s="9">
        <v>0.00355058713760877</v>
      </c>
      <c r="AD346" s="9">
        <v>0.241937085893303</v>
      </c>
      <c r="AE346" s="9">
        <v>0.0012780316379779</v>
      </c>
      <c r="AF346" s="9">
        <v>-0.461120513916231</v>
      </c>
      <c r="AG346" s="9">
        <v>0.00482861877558666</v>
      </c>
      <c r="AH346" s="9">
        <v>0.00320439734024282</v>
      </c>
      <c r="AI346" s="9">
        <v>0.00436619488493341</v>
      </c>
      <c r="AJ346" s="4">
        <v>0.699853202469289</v>
      </c>
      <c r="AK346" s="4">
        <v>0.0079167820225422</v>
      </c>
      <c r="AL346" s="4">
        <v>0.238732688553062</v>
      </c>
      <c r="AM346" s="4">
        <v>0.0056442265229113</v>
      </c>
      <c r="AN346" s="4">
        <v>-0.145059708126006</v>
      </c>
      <c r="AO346" s="4">
        <v>0.000376217392046543</v>
      </c>
      <c r="AP346" s="4">
        <v>-0.114410351177744</v>
      </c>
      <c r="AQ346" s="4">
        <v>0.0012232648104884</v>
      </c>
      <c r="AR346" s="4">
        <v>0.535518236356362</v>
      </c>
      <c r="AS346" s="4">
        <v>0.00310799347830877</v>
      </c>
      <c r="AT346" s="4"/>
      <c r="AU346" s="4"/>
      <c r="AV346" s="4"/>
      <c r="AW346" s="4"/>
      <c r="AX346" s="4">
        <v>0.531164956321156</v>
      </c>
      <c r="AY346" s="4">
        <v>0.00700365821046518</v>
      </c>
      <c r="AZ346" s="4">
        <v>-0.00706716722309244</v>
      </c>
      <c r="BA346" s="4">
        <v>0.00021702228836862</v>
      </c>
      <c r="BJ346" s="4">
        <v>0.191055236762709</v>
      </c>
      <c r="BK346" s="4">
        <v>0.00823045267489717</v>
      </c>
    </row>
    <row r="347" s="4" customFormat="1" spans="1:63">
      <c r="A347" s="4">
        <v>346</v>
      </c>
      <c r="B347" s="18">
        <v>57</v>
      </c>
      <c r="C347" s="19" t="s">
        <v>270</v>
      </c>
      <c r="D347" s="5" t="s">
        <v>271</v>
      </c>
      <c r="E347" s="4">
        <v>23.029</v>
      </c>
      <c r="F347" s="4">
        <v>108.45</v>
      </c>
      <c r="G347" s="20">
        <v>21.6</v>
      </c>
      <c r="H347" s="21">
        <v>1500</v>
      </c>
      <c r="I347" s="4"/>
      <c r="J347" s="13" t="s">
        <v>188</v>
      </c>
      <c r="K347" s="5" t="s">
        <v>182</v>
      </c>
      <c r="L347" s="4">
        <v>2012</v>
      </c>
      <c r="M347" s="4">
        <v>12</v>
      </c>
      <c r="N347" s="5" t="s">
        <v>79</v>
      </c>
      <c r="O347" s="36" t="s">
        <v>80</v>
      </c>
      <c r="P347" s="29">
        <v>5.11</v>
      </c>
      <c r="Q347" s="4">
        <v>26.09</v>
      </c>
      <c r="R347" s="4">
        <v>1.2</v>
      </c>
      <c r="S347" s="13">
        <v>21.7416666666667</v>
      </c>
      <c r="T347" s="34">
        <v>6.56</v>
      </c>
      <c r="U347" s="34">
        <v>52.38</v>
      </c>
      <c r="V347" s="34">
        <v>41.06</v>
      </c>
      <c r="W347" s="4">
        <v>5</v>
      </c>
      <c r="X347" s="5" t="s">
        <v>81</v>
      </c>
      <c r="Y347" s="5" t="s">
        <v>82</v>
      </c>
      <c r="Z347" s="4">
        <v>3</v>
      </c>
      <c r="AA347" s="4">
        <v>3</v>
      </c>
      <c r="AB347" s="9">
        <v>0.463762024162836</v>
      </c>
      <c r="AC347" s="9">
        <v>0.00494963121884599</v>
      </c>
      <c r="AD347" s="9">
        <v>0.0900718468938369</v>
      </c>
      <c r="AE347" s="9">
        <v>0.000813940124180075</v>
      </c>
      <c r="AF347" s="9">
        <v>-0.373690177268998</v>
      </c>
      <c r="AG347" s="9">
        <v>0.00576357134302607</v>
      </c>
      <c r="AH347" s="9">
        <v>-0.00578528072658169</v>
      </c>
      <c r="AI347" s="9">
        <v>0.0027792354993732</v>
      </c>
      <c r="AJ347" s="4">
        <v>0.469547304889419</v>
      </c>
      <c r="AK347" s="4">
        <v>0.0077288667182192</v>
      </c>
      <c r="AL347" s="4">
        <v>0.0958571276204203</v>
      </c>
      <c r="AM347" s="4">
        <v>0.00359317562355328</v>
      </c>
      <c r="AN347" s="4">
        <v>-0.145059708126006</v>
      </c>
      <c r="AO347" s="4">
        <v>0.000376217392046543</v>
      </c>
      <c r="AP347" s="4">
        <v>-0.311277893048463</v>
      </c>
      <c r="AQ347" s="4">
        <v>0.000551932385345987</v>
      </c>
      <c r="AR347" s="4">
        <v>0.661398482245365</v>
      </c>
      <c r="AS347" s="4">
        <v>0.00659577696843566</v>
      </c>
      <c r="AT347" s="4"/>
      <c r="AU347" s="4"/>
      <c r="AV347" s="4"/>
      <c r="AW347" s="4"/>
      <c r="AX347" s="4">
        <v>0.529171199699712</v>
      </c>
      <c r="AY347" s="4">
        <v>0.00618109368634284</v>
      </c>
      <c r="AZ347" s="4">
        <v>-0.00706716722309244</v>
      </c>
      <c r="BA347" s="4">
        <v>0.00021702228836862</v>
      </c>
      <c r="BJ347" s="4">
        <v>0.191055236762709</v>
      </c>
      <c r="BK347" s="4">
        <v>0.00823045267489717</v>
      </c>
    </row>
    <row r="348" s="4" customFormat="1" spans="1:63">
      <c r="A348" s="4">
        <v>347</v>
      </c>
      <c r="B348" s="18">
        <v>57</v>
      </c>
      <c r="C348" s="19" t="s">
        <v>270</v>
      </c>
      <c r="D348" s="5" t="s">
        <v>271</v>
      </c>
      <c r="E348" s="4">
        <v>23.029</v>
      </c>
      <c r="F348" s="4">
        <v>108.45</v>
      </c>
      <c r="G348" s="20">
        <v>21.6</v>
      </c>
      <c r="H348" s="21">
        <v>1500</v>
      </c>
      <c r="I348" s="4"/>
      <c r="J348" s="13" t="s">
        <v>188</v>
      </c>
      <c r="K348" s="5" t="s">
        <v>182</v>
      </c>
      <c r="L348" s="4">
        <v>2012</v>
      </c>
      <c r="M348" s="4">
        <v>12</v>
      </c>
      <c r="N348" s="5" t="s">
        <v>79</v>
      </c>
      <c r="O348" s="36" t="s">
        <v>80</v>
      </c>
      <c r="P348" s="29">
        <v>5.11</v>
      </c>
      <c r="Q348" s="4">
        <v>26.09</v>
      </c>
      <c r="R348" s="4">
        <v>1.2</v>
      </c>
      <c r="S348" s="13">
        <v>21.7416666666667</v>
      </c>
      <c r="T348" s="34">
        <v>6.56</v>
      </c>
      <c r="U348" s="34">
        <v>52.38</v>
      </c>
      <c r="V348" s="34">
        <v>41.06</v>
      </c>
      <c r="W348" s="4">
        <v>5</v>
      </c>
      <c r="X348" s="5" t="s">
        <v>81</v>
      </c>
      <c r="Y348" s="5" t="s">
        <v>82</v>
      </c>
      <c r="Z348" s="4">
        <v>3</v>
      </c>
      <c r="AA348" s="4">
        <v>3</v>
      </c>
      <c r="AB348" s="9">
        <v>0.515533441283157</v>
      </c>
      <c r="AC348" s="9">
        <v>0.0065226257662477</v>
      </c>
      <c r="AD348" s="9">
        <v>0.123332603648704</v>
      </c>
      <c r="AE348" s="9">
        <v>0.000688179522619108</v>
      </c>
      <c r="AF348" s="9">
        <v>-0.392200837634453</v>
      </c>
      <c r="AG348" s="9">
        <v>0.0072108052888668</v>
      </c>
      <c r="AH348" s="9">
        <v>0.0618754037180875</v>
      </c>
      <c r="AI348" s="9">
        <v>0.00587773375894049</v>
      </c>
      <c r="AJ348" s="4">
        <v>0.45365803756507</v>
      </c>
      <c r="AK348" s="4">
        <v>0.0124003595251882</v>
      </c>
      <c r="AL348" s="4">
        <v>0.0614571999306178</v>
      </c>
      <c r="AM348" s="4">
        <v>0.00656591328155961</v>
      </c>
      <c r="AN348" s="4">
        <v>-0.145059708126006</v>
      </c>
      <c r="AO348" s="4">
        <v>0.000376217392046543</v>
      </c>
      <c r="AP348" s="4">
        <v>-0.292387963489193</v>
      </c>
      <c r="AQ348" s="4">
        <v>0.000624786563870342</v>
      </c>
      <c r="AR348" s="4">
        <v>0.148420005118273</v>
      </c>
      <c r="AS348" s="4">
        <v>0.0121005152596116</v>
      </c>
      <c r="AT348" s="4"/>
      <c r="AU348" s="4"/>
      <c r="AV348" s="4"/>
      <c r="AW348" s="4"/>
      <c r="AX348" s="4">
        <v>0.460752259878667</v>
      </c>
      <c r="AY348" s="4">
        <v>0.00409644069839204</v>
      </c>
      <c r="AZ348" s="4">
        <v>-0.00706716722309244</v>
      </c>
      <c r="BA348" s="4">
        <v>0.00021702228836862</v>
      </c>
      <c r="BJ348" s="4">
        <v>0.191055236762709</v>
      </c>
      <c r="BK348" s="4">
        <v>0.00823045267489717</v>
      </c>
    </row>
    <row r="349" s="4" customFormat="1" spans="1:71">
      <c r="A349" s="4">
        <v>348</v>
      </c>
      <c r="B349" s="18">
        <v>59</v>
      </c>
      <c r="C349" s="19" t="s">
        <v>272</v>
      </c>
      <c r="D349" s="5" t="s">
        <v>273</v>
      </c>
      <c r="E349" s="4">
        <v>35.583</v>
      </c>
      <c r="F349" s="4">
        <v>47.1</v>
      </c>
      <c r="G349" s="20">
        <v>10</v>
      </c>
      <c r="H349" s="21">
        <v>330.6</v>
      </c>
      <c r="I349" s="4">
        <v>2045</v>
      </c>
      <c r="J349" s="13" t="s">
        <v>193</v>
      </c>
      <c r="K349" s="5" t="s">
        <v>182</v>
      </c>
      <c r="L349" s="4"/>
      <c r="M349" s="4">
        <v>9</v>
      </c>
      <c r="N349" s="5" t="s">
        <v>108</v>
      </c>
      <c r="O349" s="36" t="s">
        <v>80</v>
      </c>
      <c r="P349" s="29">
        <v>7.7</v>
      </c>
      <c r="Q349" s="4">
        <v>17.73</v>
      </c>
      <c r="R349" s="4">
        <v>0.3</v>
      </c>
      <c r="S349" s="13">
        <v>59.1</v>
      </c>
      <c r="T349" s="34">
        <v>28</v>
      </c>
      <c r="U349" s="34">
        <v>14.4</v>
      </c>
      <c r="V349" s="34">
        <v>57.6</v>
      </c>
      <c r="W349" s="4"/>
      <c r="X349" s="4"/>
      <c r="Y349" s="5" t="s">
        <v>82</v>
      </c>
      <c r="Z349" s="4">
        <v>4</v>
      </c>
      <c r="AA349" s="4">
        <v>4</v>
      </c>
      <c r="AB349" s="9">
        <v>-0.067579284929328</v>
      </c>
      <c r="AC349" s="9">
        <v>0.000192271262992729</v>
      </c>
      <c r="AD349" s="9">
        <v>-0.133531392624523</v>
      </c>
      <c r="AE349" s="9">
        <v>0.00507233811903595</v>
      </c>
      <c r="AF349" s="9">
        <v>-0.0659521076951946</v>
      </c>
      <c r="AG349" s="9">
        <v>0.00526460938202866</v>
      </c>
      <c r="AH349" s="9">
        <v>-0.795816578406281</v>
      </c>
      <c r="AI349" s="9">
        <v>0.00501977952167771</v>
      </c>
      <c r="AJ349" s="4">
        <v>0.728237293476953</v>
      </c>
      <c r="AK349" s="4">
        <v>0.00521205078467044</v>
      </c>
      <c r="AL349" s="4">
        <v>0.662285185781759</v>
      </c>
      <c r="AM349" s="4">
        <v>0.0100921176407137</v>
      </c>
      <c r="AN349" s="4">
        <v>0.0129034048359078</v>
      </c>
      <c r="AO349" s="4">
        <v>0</v>
      </c>
      <c r="AP349" s="4">
        <v>-0.405465108108164</v>
      </c>
      <c r="AQ349" s="4">
        <v>0</v>
      </c>
      <c r="AR349" s="4"/>
      <c r="AS349" s="4"/>
      <c r="AT349" s="4"/>
      <c r="AU349" s="4"/>
      <c r="AV349" s="4">
        <v>-0.734464161078558</v>
      </c>
      <c r="AW349" s="4">
        <v>0.00518130243788977</v>
      </c>
      <c r="AX349" s="4">
        <v>0.416793180536452</v>
      </c>
      <c r="AY349" s="4">
        <v>0.00446666424853343</v>
      </c>
      <c r="BJ349" s="4">
        <v>0.0953101798043249</v>
      </c>
      <c r="BK349" s="4">
        <v>0.01</v>
      </c>
      <c r="BR349" s="4">
        <v>-0.707133422534685</v>
      </c>
      <c r="BS349" s="4">
        <v>0.0194871192027841</v>
      </c>
    </row>
    <row r="350" s="3" customFormat="1" spans="1:51">
      <c r="A350" s="4">
        <v>349</v>
      </c>
      <c r="B350" s="6">
        <v>60</v>
      </c>
      <c r="C350" s="24" t="s">
        <v>274</v>
      </c>
      <c r="D350" s="26" t="s">
        <v>275</v>
      </c>
      <c r="E350" s="38">
        <v>40.4</v>
      </c>
      <c r="F350" s="38">
        <v>-83.01</v>
      </c>
      <c r="G350" s="39">
        <v>10.8</v>
      </c>
      <c r="H350" s="40">
        <v>934</v>
      </c>
      <c r="I350" s="3"/>
      <c r="J350" s="13" t="s">
        <v>181</v>
      </c>
      <c r="K350" s="5" t="s">
        <v>182</v>
      </c>
      <c r="L350" s="3"/>
      <c r="M350" s="3"/>
      <c r="N350" s="3"/>
      <c r="O350" s="36" t="s">
        <v>80</v>
      </c>
      <c r="P350" s="12"/>
      <c r="Q350" s="42">
        <v>41.5578811090733</v>
      </c>
      <c r="R350" s="12"/>
      <c r="S350" s="13"/>
      <c r="T350" s="21">
        <v>19</v>
      </c>
      <c r="U350" s="21">
        <v>50</v>
      </c>
      <c r="V350" s="21">
        <v>31</v>
      </c>
      <c r="W350" s="3">
        <v>50</v>
      </c>
      <c r="X350" s="13" t="s">
        <v>141</v>
      </c>
      <c r="Y350" s="13" t="s">
        <v>82</v>
      </c>
      <c r="Z350" s="3">
        <v>3</v>
      </c>
      <c r="AA350" s="3">
        <v>6</v>
      </c>
      <c r="AB350" s="9">
        <v>0.131076392705516</v>
      </c>
      <c r="AC350" s="9">
        <v>0.000159514341395919</v>
      </c>
      <c r="AD350" s="25">
        <v>-0.0684083400184072</v>
      </c>
      <c r="AE350" s="25">
        <v>0.00400377318781645</v>
      </c>
      <c r="AF350" s="9">
        <v>-0.199484732723919</v>
      </c>
      <c r="AG350" s="9">
        <v>0.00416328752921236</v>
      </c>
      <c r="AH350" s="25">
        <v>-0.596154529763373</v>
      </c>
      <c r="AI350" s="25">
        <v>0.00520616409829237</v>
      </c>
      <c r="AJ350" s="4">
        <v>0.727230922468888</v>
      </c>
      <c r="AK350" s="4">
        <v>0.00536567843968829</v>
      </c>
      <c r="AL350" s="3">
        <v>0.527746189744968</v>
      </c>
      <c r="AM350" s="3">
        <v>0.00920993728610884</v>
      </c>
      <c r="AN350" s="4"/>
      <c r="AO350" s="4"/>
      <c r="AP350" s="3"/>
      <c r="AQ350" s="3"/>
      <c r="AR350" s="4"/>
      <c r="AS350" s="4"/>
      <c r="AT350" s="3"/>
      <c r="AU350" s="3"/>
      <c r="AV350" s="4"/>
      <c r="AW350" s="4"/>
      <c r="AX350" s="3">
        <v>0.629511657657917</v>
      </c>
      <c r="AY350" s="3">
        <v>0.00481716451206472</v>
      </c>
    </row>
    <row r="351" s="3" customFormat="1" spans="1:51">
      <c r="A351" s="4">
        <v>350</v>
      </c>
      <c r="B351" s="6">
        <v>60</v>
      </c>
      <c r="C351" s="24" t="s">
        <v>274</v>
      </c>
      <c r="D351" s="26" t="s">
        <v>275</v>
      </c>
      <c r="E351" s="38">
        <v>40.4</v>
      </c>
      <c r="F351" s="38">
        <v>-83.01</v>
      </c>
      <c r="G351" s="39">
        <v>10.8</v>
      </c>
      <c r="H351" s="40">
        <v>934</v>
      </c>
      <c r="I351" s="3"/>
      <c r="J351" s="13" t="s">
        <v>181</v>
      </c>
      <c r="K351" s="5" t="s">
        <v>182</v>
      </c>
      <c r="L351" s="3"/>
      <c r="M351" s="3"/>
      <c r="N351" s="3"/>
      <c r="O351" s="28" t="s">
        <v>136</v>
      </c>
      <c r="P351" s="12"/>
      <c r="Q351" s="42">
        <v>15.537420809621</v>
      </c>
      <c r="R351" s="12"/>
      <c r="S351" s="13"/>
      <c r="T351" s="21">
        <v>19</v>
      </c>
      <c r="U351" s="21">
        <v>50</v>
      </c>
      <c r="V351" s="21">
        <v>31</v>
      </c>
      <c r="W351" s="3">
        <v>50</v>
      </c>
      <c r="X351" s="13" t="s">
        <v>141</v>
      </c>
      <c r="Y351" s="13" t="s">
        <v>82</v>
      </c>
      <c r="Z351" s="3">
        <v>3</v>
      </c>
      <c r="AA351" s="3">
        <v>6</v>
      </c>
      <c r="AB351" s="9">
        <v>0.211041784714198</v>
      </c>
      <c r="AC351" s="9">
        <v>0.00015951434139592</v>
      </c>
      <c r="AD351" s="25">
        <v>-0.173240709675697</v>
      </c>
      <c r="AE351" s="25">
        <v>0.00400377318781644</v>
      </c>
      <c r="AF351" s="9">
        <v>-0.384282494389897</v>
      </c>
      <c r="AG351" s="9">
        <v>0.00416328752921235</v>
      </c>
      <c r="AH351" s="25">
        <v>-0.456147118089628</v>
      </c>
      <c r="AI351" s="25">
        <v>0.00520616409829238</v>
      </c>
      <c r="AJ351" s="4">
        <v>0.667188902803831</v>
      </c>
      <c r="AK351" s="4">
        <v>0.00536567843968828</v>
      </c>
      <c r="AL351" s="3">
        <v>0.282906408413931</v>
      </c>
      <c r="AM351" s="3">
        <v>0.00920993728610881</v>
      </c>
      <c r="AN351" s="4"/>
      <c r="AO351" s="4"/>
      <c r="AP351" s="3"/>
      <c r="AQ351" s="3"/>
      <c r="AR351" s="4"/>
      <c r="AS351" s="4"/>
      <c r="AT351" s="3"/>
      <c r="AU351" s="3"/>
      <c r="AV351" s="4"/>
      <c r="AW351" s="4"/>
      <c r="AX351" s="3">
        <v>0.414345512455438</v>
      </c>
      <c r="AY351" s="3">
        <v>0.00535604349320421</v>
      </c>
    </row>
    <row r="352" s="3" customFormat="1" spans="1:51">
      <c r="A352" s="4">
        <v>351</v>
      </c>
      <c r="B352" s="6">
        <v>60</v>
      </c>
      <c r="C352" s="24" t="s">
        <v>274</v>
      </c>
      <c r="D352" s="26" t="s">
        <v>275</v>
      </c>
      <c r="E352" s="38">
        <v>40.4</v>
      </c>
      <c r="F352" s="38">
        <v>-83.01</v>
      </c>
      <c r="G352" s="39">
        <v>10.8</v>
      </c>
      <c r="H352" s="40">
        <v>934</v>
      </c>
      <c r="I352" s="3"/>
      <c r="J352" s="13" t="s">
        <v>181</v>
      </c>
      <c r="K352" s="5" t="s">
        <v>182</v>
      </c>
      <c r="L352" s="3"/>
      <c r="M352" s="3"/>
      <c r="N352" s="3"/>
      <c r="O352" s="28" t="s">
        <v>136</v>
      </c>
      <c r="P352" s="12"/>
      <c r="Q352" s="42">
        <v>11.9655425990125</v>
      </c>
      <c r="R352" s="12"/>
      <c r="S352" s="13"/>
      <c r="T352" s="21">
        <v>19</v>
      </c>
      <c r="U352" s="21">
        <v>50</v>
      </c>
      <c r="V352" s="21">
        <v>31</v>
      </c>
      <c r="W352" s="3">
        <v>50</v>
      </c>
      <c r="X352" s="13" t="s">
        <v>141</v>
      </c>
      <c r="Y352" s="13" t="s">
        <v>82</v>
      </c>
      <c r="Z352" s="3">
        <v>3</v>
      </c>
      <c r="AA352" s="3">
        <v>6</v>
      </c>
      <c r="AB352" s="9">
        <v>-0.22970260611051</v>
      </c>
      <c r="AC352" s="9">
        <v>0.00015951434139592</v>
      </c>
      <c r="AD352" s="25">
        <v>-0.759776440489625</v>
      </c>
      <c r="AE352" s="25">
        <v>0.00400377318781645</v>
      </c>
      <c r="AF352" s="9">
        <v>-0.530073834379115</v>
      </c>
      <c r="AG352" s="9">
        <v>0.00416328752921238</v>
      </c>
      <c r="AH352" s="25">
        <v>-0.195073752421266</v>
      </c>
      <c r="AI352" s="25">
        <v>0.00520616409829238</v>
      </c>
      <c r="AJ352" s="4">
        <v>-0.0346288536892438</v>
      </c>
      <c r="AK352" s="4">
        <v>0.0053656784396883</v>
      </c>
      <c r="AL352" s="3">
        <v>-0.56470268806836</v>
      </c>
      <c r="AM352" s="3">
        <v>0.00920993728610882</v>
      </c>
      <c r="AN352" s="4"/>
      <c r="AO352" s="4"/>
      <c r="AP352" s="3"/>
      <c r="AQ352" s="3"/>
      <c r="AR352" s="4"/>
      <c r="AS352" s="4"/>
      <c r="AT352" s="3"/>
      <c r="AU352" s="3"/>
      <c r="AV352" s="4"/>
      <c r="AW352" s="4"/>
      <c r="AX352" s="3">
        <v>0.117614748517989</v>
      </c>
      <c r="AY352" s="3">
        <v>0.0055894596954218</v>
      </c>
    </row>
    <row r="353" s="3" customFormat="1" spans="1:51">
      <c r="A353" s="4">
        <v>352</v>
      </c>
      <c r="B353" s="6">
        <v>60</v>
      </c>
      <c r="C353" s="24" t="s">
        <v>274</v>
      </c>
      <c r="D353" s="26" t="s">
        <v>275</v>
      </c>
      <c r="E353" s="38">
        <v>40.4</v>
      </c>
      <c r="F353" s="38">
        <v>-83.01</v>
      </c>
      <c r="G353" s="39">
        <v>10.8</v>
      </c>
      <c r="H353" s="40">
        <v>934</v>
      </c>
      <c r="I353" s="3"/>
      <c r="J353" s="13" t="s">
        <v>181</v>
      </c>
      <c r="K353" s="5" t="s">
        <v>182</v>
      </c>
      <c r="L353" s="3"/>
      <c r="M353" s="3"/>
      <c r="N353" s="3"/>
      <c r="O353" s="36" t="s">
        <v>80</v>
      </c>
      <c r="P353" s="12"/>
      <c r="Q353" s="42">
        <v>41.5578811090733</v>
      </c>
      <c r="R353" s="12"/>
      <c r="S353" s="13"/>
      <c r="T353" s="21">
        <v>19</v>
      </c>
      <c r="U353" s="21">
        <v>50</v>
      </c>
      <c r="V353" s="21">
        <v>31</v>
      </c>
      <c r="W353" s="3">
        <v>50</v>
      </c>
      <c r="X353" s="13" t="s">
        <v>141</v>
      </c>
      <c r="Y353" s="13" t="s">
        <v>82</v>
      </c>
      <c r="Z353" s="3">
        <v>3</v>
      </c>
      <c r="AA353" s="3">
        <v>6</v>
      </c>
      <c r="AB353" s="9">
        <v>-0.365868238254315</v>
      </c>
      <c r="AC353" s="9">
        <v>0.00015951434139592</v>
      </c>
      <c r="AD353" s="25">
        <v>0.396598161780767</v>
      </c>
      <c r="AE353" s="25">
        <v>0.00400377318781645</v>
      </c>
      <c r="AF353" s="9">
        <v>0.762466400035083</v>
      </c>
      <c r="AG353" s="9">
        <v>0.00416328752921237</v>
      </c>
      <c r="AH353" s="25">
        <v>-0.767946365435024</v>
      </c>
      <c r="AI353" s="25">
        <v>0.00520616409829237</v>
      </c>
      <c r="AJ353" s="4">
        <v>0.402078127180707</v>
      </c>
      <c r="AK353" s="4">
        <v>0.00536567843968828</v>
      </c>
      <c r="AL353" s="3">
        <v>1.16454452721579</v>
      </c>
      <c r="AM353" s="3">
        <v>0.00920993728610883</v>
      </c>
      <c r="AN353" s="4"/>
      <c r="AO353" s="4"/>
      <c r="AP353" s="3"/>
      <c r="AQ353" s="3"/>
      <c r="AR353" s="4"/>
      <c r="AS353" s="4"/>
      <c r="AT353" s="3"/>
      <c r="AU353" s="3"/>
      <c r="AV353" s="4"/>
      <c r="AW353" s="4"/>
      <c r="AX353" s="3">
        <v>0.305492612321884</v>
      </c>
      <c r="AY353" s="3">
        <v>0.0033311678847192</v>
      </c>
    </row>
    <row r="354" s="3" customFormat="1" spans="1:51">
      <c r="A354" s="4">
        <v>353</v>
      </c>
      <c r="B354" s="6">
        <v>60</v>
      </c>
      <c r="C354" s="24" t="s">
        <v>274</v>
      </c>
      <c r="D354" s="26" t="s">
        <v>275</v>
      </c>
      <c r="E354" s="38">
        <v>40.4</v>
      </c>
      <c r="F354" s="38">
        <v>-83.01</v>
      </c>
      <c r="G354" s="39">
        <v>10.8</v>
      </c>
      <c r="H354" s="40">
        <v>934</v>
      </c>
      <c r="I354" s="3"/>
      <c r="J354" s="13" t="s">
        <v>181</v>
      </c>
      <c r="K354" s="5" t="s">
        <v>182</v>
      </c>
      <c r="L354" s="3"/>
      <c r="M354" s="3"/>
      <c r="N354" s="3"/>
      <c r="O354" s="28" t="s">
        <v>136</v>
      </c>
      <c r="P354" s="12"/>
      <c r="Q354" s="42">
        <v>15.537420809621</v>
      </c>
      <c r="R354" s="12"/>
      <c r="S354" s="13"/>
      <c r="T354" s="21">
        <v>19</v>
      </c>
      <c r="U354" s="21">
        <v>50</v>
      </c>
      <c r="V354" s="21">
        <v>31</v>
      </c>
      <c r="W354" s="3">
        <v>50</v>
      </c>
      <c r="X354" s="13" t="s">
        <v>141</v>
      </c>
      <c r="Y354" s="13" t="s">
        <v>82</v>
      </c>
      <c r="Z354" s="3">
        <v>3</v>
      </c>
      <c r="AA354" s="3">
        <v>6</v>
      </c>
      <c r="AB354" s="9">
        <v>-0.384639565120335</v>
      </c>
      <c r="AC354" s="9">
        <v>0.00015951434139592</v>
      </c>
      <c r="AD354" s="25">
        <v>-0.172025435968051</v>
      </c>
      <c r="AE354" s="25">
        <v>0.00400377318781645</v>
      </c>
      <c r="AF354" s="9">
        <v>0.21261412915228</v>
      </c>
      <c r="AG354" s="9">
        <v>0.00416328752921236</v>
      </c>
      <c r="AH354" s="25">
        <v>-0.543040677407412</v>
      </c>
      <c r="AI354" s="25">
        <v>0.00520616409829237</v>
      </c>
      <c r="AJ354" s="4">
        <v>0.158401112287079</v>
      </c>
      <c r="AK354" s="4">
        <v>0.00536567843968829</v>
      </c>
      <c r="AL354" s="3">
        <v>0.371015241439361</v>
      </c>
      <c r="AM354" s="3">
        <v>0.00920993728610883</v>
      </c>
      <c r="AN354" s="4"/>
      <c r="AO354" s="4"/>
      <c r="AP354" s="3"/>
      <c r="AQ354" s="3"/>
      <c r="AR354" s="4"/>
      <c r="AS354" s="4"/>
      <c r="AT354" s="3"/>
      <c r="AU354" s="3"/>
      <c r="AV354" s="4"/>
      <c r="AW354" s="4"/>
      <c r="AX354" s="3">
        <v>0.354263367207281</v>
      </c>
      <c r="AY354" s="3">
        <v>0.00650252032281083</v>
      </c>
    </row>
    <row r="355" s="3" customFormat="1" spans="1:51">
      <c r="A355" s="4">
        <v>354</v>
      </c>
      <c r="B355" s="6">
        <v>60</v>
      </c>
      <c r="C355" s="24" t="s">
        <v>274</v>
      </c>
      <c r="D355" s="26" t="s">
        <v>275</v>
      </c>
      <c r="E355" s="38">
        <v>40.4</v>
      </c>
      <c r="F355" s="38">
        <v>-83.01</v>
      </c>
      <c r="G355" s="39">
        <v>10.8</v>
      </c>
      <c r="H355" s="40">
        <v>934</v>
      </c>
      <c r="I355" s="3"/>
      <c r="J355" s="13" t="s">
        <v>181</v>
      </c>
      <c r="K355" s="5" t="s">
        <v>182</v>
      </c>
      <c r="L355" s="3"/>
      <c r="M355" s="3"/>
      <c r="N355" s="3"/>
      <c r="O355" s="28" t="s">
        <v>136</v>
      </c>
      <c r="P355" s="12"/>
      <c r="Q355" s="42">
        <v>11.9655425990125</v>
      </c>
      <c r="R355" s="12"/>
      <c r="S355" s="13"/>
      <c r="T355" s="21">
        <v>19</v>
      </c>
      <c r="U355" s="21">
        <v>50</v>
      </c>
      <c r="V355" s="21">
        <v>31</v>
      </c>
      <c r="W355" s="3">
        <v>50</v>
      </c>
      <c r="X355" s="13" t="s">
        <v>141</v>
      </c>
      <c r="Y355" s="13" t="s">
        <v>82</v>
      </c>
      <c r="Z355" s="3">
        <v>3</v>
      </c>
      <c r="AA355" s="3">
        <v>6</v>
      </c>
      <c r="AB355" s="9">
        <v>-0.0829957578971692</v>
      </c>
      <c r="AC355" s="9">
        <v>0.00015951434139592</v>
      </c>
      <c r="AD355" s="25">
        <v>0.552459415469701</v>
      </c>
      <c r="AE355" s="25">
        <v>0.00400377318781645</v>
      </c>
      <c r="AF355" s="9">
        <v>0.635455173366869</v>
      </c>
      <c r="AG355" s="9">
        <v>0.0041632875292124</v>
      </c>
      <c r="AH355" s="25">
        <v>-0.205328911084119</v>
      </c>
      <c r="AI355" s="25">
        <v>0.00520616409829236</v>
      </c>
      <c r="AJ355" s="4">
        <v>0.12233315318695</v>
      </c>
      <c r="AK355" s="4">
        <v>0.00536567843968829</v>
      </c>
      <c r="AL355" s="3">
        <v>0.757788326553822</v>
      </c>
      <c r="AM355" s="3">
        <v>0.0092099372861088</v>
      </c>
      <c r="AN355" s="4"/>
      <c r="AO355" s="4"/>
      <c r="AP355" s="3"/>
      <c r="AQ355" s="3"/>
      <c r="AR355" s="4"/>
      <c r="AS355" s="4"/>
      <c r="AT355" s="3"/>
      <c r="AU355" s="3"/>
      <c r="AV355" s="4"/>
      <c r="AW355" s="4"/>
      <c r="AX355" s="3">
        <v>-0.390351470298116</v>
      </c>
      <c r="AY355" s="3">
        <v>0.00501977952167772</v>
      </c>
    </row>
    <row r="356" s="4" customFormat="1" spans="1:69">
      <c r="A356" s="4">
        <v>355</v>
      </c>
      <c r="B356" s="18">
        <v>61</v>
      </c>
      <c r="C356" s="19" t="s">
        <v>276</v>
      </c>
      <c r="D356" s="5" t="s">
        <v>277</v>
      </c>
      <c r="E356" s="9">
        <v>-28</v>
      </c>
      <c r="F356" s="9">
        <v>49.9</v>
      </c>
      <c r="G356" s="20">
        <v>15</v>
      </c>
      <c r="H356" s="21">
        <v>166</v>
      </c>
      <c r="I356" s="4">
        <v>1425</v>
      </c>
      <c r="J356" s="13" t="s">
        <v>193</v>
      </c>
      <c r="K356" s="5" t="s">
        <v>182</v>
      </c>
      <c r="L356" s="4"/>
      <c r="M356" s="4">
        <v>1</v>
      </c>
      <c r="N356" s="5" t="s">
        <v>96</v>
      </c>
      <c r="O356" s="36" t="s">
        <v>80</v>
      </c>
      <c r="P356" s="29">
        <v>4.73</v>
      </c>
      <c r="Q356" s="4">
        <v>42.98</v>
      </c>
      <c r="R356" s="4"/>
      <c r="S356" s="13"/>
      <c r="T356" s="34"/>
      <c r="U356" s="34"/>
      <c r="V356" s="34"/>
      <c r="W356" s="18">
        <v>12</v>
      </c>
      <c r="X356" s="5" t="s">
        <v>91</v>
      </c>
      <c r="Y356" s="5" t="s">
        <v>82</v>
      </c>
      <c r="Z356" s="4">
        <v>6</v>
      </c>
      <c r="AA356" s="4">
        <v>6</v>
      </c>
      <c r="AB356" s="9">
        <v>-0.133531392624522</v>
      </c>
      <c r="AC356" s="9">
        <v>0.0023030045351474</v>
      </c>
      <c r="AD356" s="9"/>
      <c r="AE356" s="9"/>
      <c r="AF356" s="9"/>
      <c r="AG356" s="9"/>
      <c r="AH356" s="9">
        <v>-0.17388816266558</v>
      </c>
      <c r="AI356" s="9">
        <v>0.00183155659522169</v>
      </c>
      <c r="AJ356" s="4">
        <v>0.0403567700410573</v>
      </c>
      <c r="AK356" s="4">
        <v>0.00413456113036908</v>
      </c>
      <c r="AL356" s="4"/>
      <c r="AM356" s="4"/>
      <c r="AN356" s="4">
        <v>0.28821047404928</v>
      </c>
      <c r="AO356" s="4">
        <v>0.00126730726570034</v>
      </c>
      <c r="AP356" s="4"/>
      <c r="AQ356" s="4"/>
      <c r="AR356" s="4"/>
      <c r="AS356" s="4"/>
      <c r="AT356" s="4"/>
      <c r="AU356" s="4"/>
      <c r="AV356" s="4"/>
      <c r="AW356" s="4"/>
      <c r="AX356" s="4"/>
      <c r="AY356" s="4"/>
      <c r="BP356" s="4">
        <v>-0.311983918297012</v>
      </c>
      <c r="BQ356" s="4">
        <v>0.00477759418531065</v>
      </c>
    </row>
    <row r="357" s="4" customFormat="1" spans="1:69">
      <c r="A357" s="4">
        <v>356</v>
      </c>
      <c r="B357" s="18">
        <v>61</v>
      </c>
      <c r="C357" s="19" t="s">
        <v>276</v>
      </c>
      <c r="D357" s="5" t="s">
        <v>277</v>
      </c>
      <c r="E357" s="9">
        <v>-28</v>
      </c>
      <c r="F357" s="9">
        <v>49.9</v>
      </c>
      <c r="G357" s="20">
        <v>15</v>
      </c>
      <c r="H357" s="21">
        <v>166</v>
      </c>
      <c r="I357" s="4">
        <v>1425</v>
      </c>
      <c r="J357" s="13" t="s">
        <v>193</v>
      </c>
      <c r="K357" s="5" t="s">
        <v>182</v>
      </c>
      <c r="L357" s="4"/>
      <c r="M357" s="4">
        <v>1</v>
      </c>
      <c r="N357" s="5" t="s">
        <v>96</v>
      </c>
      <c r="O357" s="36" t="s">
        <v>80</v>
      </c>
      <c r="P357" s="29">
        <v>4.73</v>
      </c>
      <c r="Q357" s="4">
        <v>42.98</v>
      </c>
      <c r="R357" s="4"/>
      <c r="S357" s="13"/>
      <c r="T357" s="34"/>
      <c r="U357" s="34"/>
      <c r="V357" s="34"/>
      <c r="W357" s="18">
        <v>12</v>
      </c>
      <c r="X357" s="5" t="s">
        <v>91</v>
      </c>
      <c r="Y357" s="5" t="s">
        <v>82</v>
      </c>
      <c r="Z357" s="4">
        <v>6</v>
      </c>
      <c r="AA357" s="4">
        <v>6</v>
      </c>
      <c r="AB357" s="9">
        <v>0.154150679827258</v>
      </c>
      <c r="AC357" s="9">
        <v>0.00205498866213152</v>
      </c>
      <c r="AD357" s="9"/>
      <c r="AE357" s="9"/>
      <c r="AF357" s="9"/>
      <c r="AG357" s="9"/>
      <c r="AH357" s="9">
        <v>-0.0688599281206296</v>
      </c>
      <c r="AI357" s="9">
        <v>0.00176039894029856</v>
      </c>
      <c r="AJ357" s="4">
        <v>0.223010607947886</v>
      </c>
      <c r="AK357" s="4">
        <v>0.00381538760243008</v>
      </c>
      <c r="AL357" s="4"/>
      <c r="AM357" s="4"/>
      <c r="AN357" s="4">
        <v>0.227783930870712</v>
      </c>
      <c r="AO357" s="4">
        <v>0.00128311618870716</v>
      </c>
      <c r="AP357" s="4"/>
      <c r="AQ357" s="4"/>
      <c r="AR357" s="4"/>
      <c r="AS357" s="4"/>
      <c r="AT357" s="4"/>
      <c r="AU357" s="4"/>
      <c r="AV357" s="4"/>
      <c r="AW357" s="4"/>
      <c r="AX357" s="4"/>
      <c r="AY357" s="4"/>
      <c r="BP357" s="4">
        <v>-0.309698203016156</v>
      </c>
      <c r="BQ357" s="4">
        <v>0.00477148002356638</v>
      </c>
    </row>
    <row r="358" s="4" customFormat="1" spans="1:69">
      <c r="A358" s="4">
        <v>357</v>
      </c>
      <c r="B358" s="18">
        <v>61</v>
      </c>
      <c r="C358" s="19" t="s">
        <v>276</v>
      </c>
      <c r="D358" s="5" t="s">
        <v>277</v>
      </c>
      <c r="E358" s="9">
        <v>-28</v>
      </c>
      <c r="F358" s="9">
        <v>49.9</v>
      </c>
      <c r="G358" s="20">
        <v>15</v>
      </c>
      <c r="H358" s="21">
        <v>166</v>
      </c>
      <c r="I358" s="4">
        <v>1425</v>
      </c>
      <c r="J358" s="13" t="s">
        <v>193</v>
      </c>
      <c r="K358" s="5" t="s">
        <v>182</v>
      </c>
      <c r="L358" s="4"/>
      <c r="M358" s="4">
        <v>7</v>
      </c>
      <c r="N358" s="5" t="s">
        <v>79</v>
      </c>
      <c r="O358" s="36" t="s">
        <v>80</v>
      </c>
      <c r="P358" s="29">
        <v>4.73</v>
      </c>
      <c r="Q358" s="4">
        <v>42.98</v>
      </c>
      <c r="R358" s="4"/>
      <c r="S358" s="13"/>
      <c r="T358" s="34"/>
      <c r="U358" s="34"/>
      <c r="V358" s="34"/>
      <c r="W358" s="18">
        <v>12</v>
      </c>
      <c r="X358" s="5" t="s">
        <v>91</v>
      </c>
      <c r="Y358" s="5" t="s">
        <v>82</v>
      </c>
      <c r="Z358" s="4">
        <v>6</v>
      </c>
      <c r="AA358" s="4">
        <v>6</v>
      </c>
      <c r="AB358" s="9">
        <v>-0.115512887121844</v>
      </c>
      <c r="AC358" s="9">
        <v>0.00173880717745017</v>
      </c>
      <c r="AD358" s="9"/>
      <c r="AE358" s="9"/>
      <c r="AF358" s="9"/>
      <c r="AG358" s="9"/>
      <c r="AH358" s="9"/>
      <c r="AI358" s="9"/>
      <c r="AJ358" s="4"/>
      <c r="AK358" s="4"/>
      <c r="AL358" s="4"/>
      <c r="AM358" s="4"/>
      <c r="AN358" s="4"/>
      <c r="AO358" s="4"/>
      <c r="AP358" s="4"/>
      <c r="AQ358" s="4"/>
      <c r="AR358" s="4"/>
      <c r="AS358" s="4"/>
      <c r="AT358" s="4"/>
      <c r="AU358" s="4"/>
      <c r="AV358" s="4"/>
      <c r="AW358" s="4"/>
      <c r="AX358" s="4"/>
      <c r="AY358" s="4"/>
      <c r="BP358" s="4">
        <v>-0.340545562008849</v>
      </c>
      <c r="BQ358" s="4">
        <v>0.0286017641480546</v>
      </c>
    </row>
    <row r="359" s="4" customFormat="1" spans="1:69">
      <c r="A359" s="4">
        <v>358</v>
      </c>
      <c r="B359" s="18">
        <v>61</v>
      </c>
      <c r="C359" s="19" t="s">
        <v>276</v>
      </c>
      <c r="D359" s="5" t="s">
        <v>277</v>
      </c>
      <c r="E359" s="9">
        <v>-28</v>
      </c>
      <c r="F359" s="9">
        <v>49.9</v>
      </c>
      <c r="G359" s="20">
        <v>15</v>
      </c>
      <c r="H359" s="21">
        <v>166</v>
      </c>
      <c r="I359" s="4">
        <v>1425</v>
      </c>
      <c r="J359" s="13" t="s">
        <v>193</v>
      </c>
      <c r="K359" s="5" t="s">
        <v>182</v>
      </c>
      <c r="L359" s="4"/>
      <c r="M359" s="4">
        <v>7</v>
      </c>
      <c r="N359" s="5" t="s">
        <v>79</v>
      </c>
      <c r="O359" s="36" t="s">
        <v>80</v>
      </c>
      <c r="P359" s="29">
        <v>4.73</v>
      </c>
      <c r="Q359" s="4">
        <v>42.98</v>
      </c>
      <c r="R359" s="4"/>
      <c r="S359" s="13"/>
      <c r="T359" s="34"/>
      <c r="U359" s="34"/>
      <c r="V359" s="34"/>
      <c r="W359" s="18">
        <v>12</v>
      </c>
      <c r="X359" s="5" t="s">
        <v>91</v>
      </c>
      <c r="Y359" s="5" t="s">
        <v>82</v>
      </c>
      <c r="Z359" s="4">
        <v>6</v>
      </c>
      <c r="AA359" s="4">
        <v>6</v>
      </c>
      <c r="AB359" s="9">
        <v>-0.246133069538909</v>
      </c>
      <c r="AC359" s="9">
        <v>0.00186314693222604</v>
      </c>
      <c r="AD359" s="9"/>
      <c r="AE359" s="9"/>
      <c r="AF359" s="9"/>
      <c r="AG359" s="9"/>
      <c r="AH359" s="9"/>
      <c r="AI359" s="9"/>
      <c r="AJ359" s="4"/>
      <c r="AK359" s="4"/>
      <c r="AL359" s="4"/>
      <c r="AM359" s="4"/>
      <c r="AN359" s="4"/>
      <c r="AO359" s="4"/>
      <c r="AP359" s="4"/>
      <c r="AQ359" s="4"/>
      <c r="AR359" s="4"/>
      <c r="AS359" s="4"/>
      <c r="AT359" s="4"/>
      <c r="AU359" s="4"/>
      <c r="AV359" s="4"/>
      <c r="AW359" s="4"/>
      <c r="AX359" s="4"/>
      <c r="AY359" s="4"/>
      <c r="BP359" s="4">
        <v>-0.556571645554195</v>
      </c>
      <c r="BQ359" s="4">
        <v>0.0331191963389783</v>
      </c>
    </row>
    <row r="360" s="3" customFormat="1" spans="1:75">
      <c r="A360" s="4">
        <v>359</v>
      </c>
      <c r="B360" s="35">
        <v>62</v>
      </c>
      <c r="C360" s="24" t="s">
        <v>75</v>
      </c>
      <c r="D360" s="13" t="s">
        <v>278</v>
      </c>
      <c r="E360" s="13">
        <v>63.916667</v>
      </c>
      <c r="F360" s="13">
        <v>-145.733333</v>
      </c>
      <c r="G360" s="26">
        <v>-2</v>
      </c>
      <c r="H360" s="27">
        <v>303</v>
      </c>
      <c r="I360" s="13"/>
      <c r="J360" s="13" t="s">
        <v>94</v>
      </c>
      <c r="K360" s="5" t="s">
        <v>78</v>
      </c>
      <c r="L360" s="13">
        <v>2004</v>
      </c>
      <c r="M360" s="13">
        <v>5</v>
      </c>
      <c r="N360" s="13" t="s">
        <v>113</v>
      </c>
      <c r="O360" s="13"/>
      <c r="P360" s="12"/>
      <c r="Q360" s="12"/>
      <c r="R360" s="12"/>
      <c r="S360" s="13"/>
      <c r="T360" s="21">
        <v>25</v>
      </c>
      <c r="U360" s="21">
        <v>51</v>
      </c>
      <c r="V360" s="21">
        <v>24</v>
      </c>
      <c r="W360" s="13">
        <v>2</v>
      </c>
      <c r="X360" s="5" t="s">
        <v>81</v>
      </c>
      <c r="Y360" s="13" t="s">
        <v>82</v>
      </c>
      <c r="Z360" s="13">
        <v>4</v>
      </c>
      <c r="AA360" s="13">
        <v>4</v>
      </c>
      <c r="AB360" s="9">
        <v>-0.693147180559945</v>
      </c>
      <c r="AC360" s="9">
        <v>0.0372821279916753</v>
      </c>
      <c r="AD360" s="25"/>
      <c r="AE360" s="25"/>
      <c r="AF360" s="9"/>
      <c r="AG360" s="9"/>
      <c r="AH360" s="25"/>
      <c r="AI360" s="25"/>
      <c r="AJ360" s="4"/>
      <c r="AK360" s="4"/>
      <c r="AL360" s="3"/>
      <c r="AM360" s="3"/>
      <c r="AN360" s="4"/>
      <c r="AO360" s="4"/>
      <c r="AP360" s="3"/>
      <c r="AQ360" s="3"/>
      <c r="AR360" s="4"/>
      <c r="AS360" s="4"/>
      <c r="AT360" s="3"/>
      <c r="AU360" s="3"/>
      <c r="AV360" s="4"/>
      <c r="AW360" s="4"/>
      <c r="AX360" s="3"/>
      <c r="AY360" s="3"/>
      <c r="BP360" s="3">
        <v>0.416160397224912</v>
      </c>
      <c r="BQ360" s="3">
        <v>0.00854526710491187</v>
      </c>
      <c r="BV360" s="3">
        <v>-0.322773392263051</v>
      </c>
      <c r="BW360" s="3">
        <v>0.478058494503628</v>
      </c>
    </row>
    <row r="361" s="3" customFormat="1" spans="1:75">
      <c r="A361" s="4">
        <v>360</v>
      </c>
      <c r="B361" s="35">
        <v>62</v>
      </c>
      <c r="C361" s="24" t="s">
        <v>75</v>
      </c>
      <c r="D361" s="13" t="s">
        <v>278</v>
      </c>
      <c r="E361" s="13">
        <v>63.916667</v>
      </c>
      <c r="F361" s="13">
        <v>-145.733333</v>
      </c>
      <c r="G361" s="26">
        <v>-2</v>
      </c>
      <c r="H361" s="27">
        <v>303</v>
      </c>
      <c r="I361" s="13"/>
      <c r="J361" s="13" t="s">
        <v>94</v>
      </c>
      <c r="K361" s="5" t="s">
        <v>78</v>
      </c>
      <c r="L361" s="13">
        <v>2004</v>
      </c>
      <c r="M361" s="13">
        <v>7</v>
      </c>
      <c r="N361" s="13" t="s">
        <v>113</v>
      </c>
      <c r="O361" s="13"/>
      <c r="P361" s="12"/>
      <c r="Q361" s="12"/>
      <c r="R361" s="12"/>
      <c r="S361" s="13"/>
      <c r="T361" s="21">
        <v>25</v>
      </c>
      <c r="U361" s="21">
        <v>51</v>
      </c>
      <c r="V361" s="21">
        <v>24</v>
      </c>
      <c r="W361" s="35">
        <v>2</v>
      </c>
      <c r="X361" s="5" t="s">
        <v>81</v>
      </c>
      <c r="Y361" s="13" t="s">
        <v>82</v>
      </c>
      <c r="Z361" s="13">
        <v>4</v>
      </c>
      <c r="AA361" s="13">
        <v>4</v>
      </c>
      <c r="AB361" s="9">
        <v>0.495875719071331</v>
      </c>
      <c r="AC361" s="9">
        <v>0.0212027604708022</v>
      </c>
      <c r="AD361" s="25"/>
      <c r="AE361" s="25"/>
      <c r="AF361" s="9"/>
      <c r="AG361" s="9"/>
      <c r="AH361" s="25"/>
      <c r="AI361" s="25"/>
      <c r="AJ361" s="4"/>
      <c r="AK361" s="4"/>
      <c r="AL361" s="3"/>
      <c r="AM361" s="3"/>
      <c r="AN361" s="4"/>
      <c r="AO361" s="4"/>
      <c r="AP361" s="3"/>
      <c r="AQ361" s="3"/>
      <c r="AR361" s="4"/>
      <c r="AS361" s="4"/>
      <c r="AT361" s="3"/>
      <c r="AU361" s="3"/>
      <c r="AV361" s="4"/>
      <c r="AW361" s="4"/>
      <c r="AX361" s="3"/>
      <c r="AY361" s="3"/>
      <c r="BP361" s="3">
        <v>0.751987680582879</v>
      </c>
      <c r="BQ361" s="3">
        <v>0.104888589044433</v>
      </c>
      <c r="BV361" s="3">
        <v>0.434878993314458</v>
      </c>
      <c r="BW361" s="3">
        <v>0.217139492747774</v>
      </c>
    </row>
    <row r="362" s="3" customFormat="1" spans="1:75">
      <c r="A362" s="4">
        <v>361</v>
      </c>
      <c r="B362" s="35">
        <v>62</v>
      </c>
      <c r="C362" s="24" t="s">
        <v>75</v>
      </c>
      <c r="D362" s="13" t="s">
        <v>278</v>
      </c>
      <c r="E362" s="13">
        <v>63.916667</v>
      </c>
      <c r="F362" s="13">
        <v>-145.733333</v>
      </c>
      <c r="G362" s="26">
        <v>-2</v>
      </c>
      <c r="H362" s="27">
        <v>303</v>
      </c>
      <c r="I362" s="13"/>
      <c r="J362" s="13" t="s">
        <v>94</v>
      </c>
      <c r="K362" s="5" t="s">
        <v>78</v>
      </c>
      <c r="L362" s="13">
        <v>2004</v>
      </c>
      <c r="M362" s="13">
        <v>8</v>
      </c>
      <c r="N362" s="13" t="s">
        <v>113</v>
      </c>
      <c r="O362" s="13"/>
      <c r="P362" s="12"/>
      <c r="Q362" s="12"/>
      <c r="R362" s="12"/>
      <c r="S362" s="13"/>
      <c r="T362" s="21">
        <v>25</v>
      </c>
      <c r="U362" s="21">
        <v>51</v>
      </c>
      <c r="V362" s="21">
        <v>24</v>
      </c>
      <c r="W362" s="35">
        <v>2</v>
      </c>
      <c r="X362" s="5" t="s">
        <v>81</v>
      </c>
      <c r="Y362" s="13" t="s">
        <v>82</v>
      </c>
      <c r="Z362" s="13">
        <v>4</v>
      </c>
      <c r="AA362" s="13">
        <v>4</v>
      </c>
      <c r="AB362" s="9">
        <v>0.0809690625336671</v>
      </c>
      <c r="AC362" s="9">
        <v>0.0374572094715318</v>
      </c>
      <c r="AD362" s="25"/>
      <c r="AE362" s="25"/>
      <c r="AF362" s="9"/>
      <c r="AG362" s="9"/>
      <c r="AH362" s="25"/>
      <c r="AI362" s="25"/>
      <c r="AJ362" s="4"/>
      <c r="AK362" s="4"/>
      <c r="AL362" s="3"/>
      <c r="AM362" s="3"/>
      <c r="AN362" s="4"/>
      <c r="AO362" s="4"/>
      <c r="AP362" s="3"/>
      <c r="AQ362" s="3"/>
      <c r="AR362" s="4"/>
      <c r="AS362" s="4"/>
      <c r="AT362" s="3"/>
      <c r="AU362" s="3"/>
      <c r="AV362" s="4"/>
      <c r="AW362" s="4"/>
      <c r="AX362" s="3"/>
      <c r="AY362" s="3"/>
      <c r="BP362" s="3">
        <v>0.214280864056364</v>
      </c>
      <c r="BQ362" s="3">
        <v>0.0415403100952838</v>
      </c>
      <c r="BV362" s="3">
        <v>0.890972923889865</v>
      </c>
      <c r="BW362" s="3">
        <v>0.230810322156476</v>
      </c>
    </row>
    <row r="363" s="4" customFormat="1" spans="1:35">
      <c r="A363" s="4">
        <v>362</v>
      </c>
      <c r="B363" s="18">
        <v>63</v>
      </c>
      <c r="C363" s="19" t="s">
        <v>279</v>
      </c>
      <c r="D363" s="5" t="s">
        <v>280</v>
      </c>
      <c r="E363" s="9">
        <v>-28.6142139434814</v>
      </c>
      <c r="F363" s="9">
        <v>26.8670959472656</v>
      </c>
      <c r="G363" s="20">
        <v>15.46</v>
      </c>
      <c r="H363" s="21">
        <v>568</v>
      </c>
      <c r="I363" s="4"/>
      <c r="J363" s="5" t="s">
        <v>193</v>
      </c>
      <c r="K363" s="5" t="s">
        <v>182</v>
      </c>
      <c r="L363" s="4">
        <v>1998</v>
      </c>
      <c r="M363" s="4">
        <v>6</v>
      </c>
      <c r="N363" s="5" t="s">
        <v>79</v>
      </c>
      <c r="O363" s="4"/>
      <c r="P363" s="20">
        <v>6.09999990463257</v>
      </c>
      <c r="Q363" s="5"/>
      <c r="R363" s="5">
        <v>0.330000013113022</v>
      </c>
      <c r="S363" s="13">
        <v>0</v>
      </c>
      <c r="T363" s="21">
        <v>14</v>
      </c>
      <c r="U363" s="21">
        <v>10</v>
      </c>
      <c r="V363" s="21">
        <v>76</v>
      </c>
      <c r="W363" s="18"/>
      <c r="X363" s="4"/>
      <c r="Y363" s="5" t="s">
        <v>82</v>
      </c>
      <c r="Z363" s="4">
        <v>5</v>
      </c>
      <c r="AA363" s="4">
        <v>5</v>
      </c>
      <c r="AB363" s="9">
        <v>-0.402612039125758</v>
      </c>
      <c r="AC363" s="9">
        <v>0.00300179408164754</v>
      </c>
      <c r="AD363" s="9">
        <v>-0.374693449441411</v>
      </c>
      <c r="AE363" s="9">
        <v>0.00747532139577589</v>
      </c>
      <c r="AF363" s="9">
        <v>0.0279185896843463</v>
      </c>
      <c r="AG363" s="9">
        <v>0.0104771154774234</v>
      </c>
      <c r="AH363" s="9"/>
      <c r="AI363" s="9"/>
    </row>
    <row r="364" s="3" customFormat="1" spans="1:71">
      <c r="A364" s="4">
        <v>363</v>
      </c>
      <c r="B364" s="6">
        <v>64</v>
      </c>
      <c r="C364" s="24" t="s">
        <v>281</v>
      </c>
      <c r="D364" s="13" t="s">
        <v>282</v>
      </c>
      <c r="E364" s="25">
        <v>43.3186607360839</v>
      </c>
      <c r="F364" s="25">
        <v>11.3305139541625</v>
      </c>
      <c r="G364" s="26">
        <v>15</v>
      </c>
      <c r="H364" s="27">
        <v>930</v>
      </c>
      <c r="I364" s="3"/>
      <c r="J364" s="13" t="s">
        <v>193</v>
      </c>
      <c r="K364" s="5" t="s">
        <v>182</v>
      </c>
      <c r="L364" s="3"/>
      <c r="M364" s="3"/>
      <c r="N364" s="3"/>
      <c r="O364" s="3"/>
      <c r="P364" s="7">
        <v>7.55</v>
      </c>
      <c r="Q364" s="3">
        <v>52.3</v>
      </c>
      <c r="R364" s="3">
        <v>4.7</v>
      </c>
      <c r="S364" s="13">
        <v>11.1276595744681</v>
      </c>
      <c r="T364" s="8">
        <v>19</v>
      </c>
      <c r="U364" s="8">
        <v>20</v>
      </c>
      <c r="V364" s="8">
        <v>61</v>
      </c>
      <c r="W364" s="6">
        <v>55</v>
      </c>
      <c r="X364" s="13" t="s">
        <v>141</v>
      </c>
      <c r="Y364" s="13" t="s">
        <v>82</v>
      </c>
      <c r="Z364" s="3">
        <v>3</v>
      </c>
      <c r="AA364" s="3">
        <v>3</v>
      </c>
      <c r="AB364" s="9">
        <v>-1.76928162346677</v>
      </c>
      <c r="AC364" s="9">
        <v>0.000256361683990306</v>
      </c>
      <c r="AD364" s="25">
        <v>-1.85002929307342</v>
      </c>
      <c r="AE364" s="25">
        <v>0.00533448946951657</v>
      </c>
      <c r="AF364" s="9">
        <v>-0.0807476696066417</v>
      </c>
      <c r="AG364" s="9">
        <v>0.00559085115350688</v>
      </c>
      <c r="AH364" s="25">
        <v>-1.27368612716038</v>
      </c>
      <c r="AI364" s="25">
        <v>0.00694155213105649</v>
      </c>
      <c r="AJ364" s="4">
        <v>-0.495595496306391</v>
      </c>
      <c r="AK364" s="4">
        <v>0.00719791381504674</v>
      </c>
      <c r="AL364" s="3">
        <v>-0.576343165913035</v>
      </c>
      <c r="AM364" s="3">
        <v>0.012276041600573</v>
      </c>
      <c r="AN364" s="4"/>
      <c r="AO364" s="4"/>
      <c r="AP364" s="3"/>
      <c r="AQ364" s="3"/>
      <c r="AR364" s="4"/>
      <c r="AS364" s="4"/>
      <c r="AT364" s="3"/>
      <c r="AU364" s="3"/>
      <c r="AV364" s="4"/>
      <c r="AW364" s="4"/>
      <c r="AX364" s="3"/>
      <c r="AY364" s="3"/>
      <c r="BR364" s="3">
        <v>-2.32974902193487</v>
      </c>
      <c r="BS364" s="3">
        <v>0.0069415521310565</v>
      </c>
    </row>
    <row r="365" s="3" customFormat="1" ht="18" customHeight="1" spans="1:71">
      <c r="A365" s="4">
        <v>364</v>
      </c>
      <c r="B365" s="6">
        <v>64</v>
      </c>
      <c r="C365" s="24" t="s">
        <v>281</v>
      </c>
      <c r="D365" s="13" t="s">
        <v>282</v>
      </c>
      <c r="E365" s="25">
        <v>43.3186607360839</v>
      </c>
      <c r="F365" s="25">
        <v>11.3305139541625</v>
      </c>
      <c r="G365" s="26">
        <v>15</v>
      </c>
      <c r="H365" s="27">
        <v>930</v>
      </c>
      <c r="I365" s="3"/>
      <c r="J365" s="13" t="s">
        <v>185</v>
      </c>
      <c r="K365" s="5" t="s">
        <v>182</v>
      </c>
      <c r="L365" s="3"/>
      <c r="M365" s="3"/>
      <c r="N365" s="3"/>
      <c r="O365" s="3"/>
      <c r="P365" s="7">
        <v>7.55</v>
      </c>
      <c r="Q365" s="3">
        <v>52.3</v>
      </c>
      <c r="R365" s="3">
        <v>4.7</v>
      </c>
      <c r="S365" s="13">
        <v>11.1276595744681</v>
      </c>
      <c r="T365" s="8">
        <v>19</v>
      </c>
      <c r="U365" s="8">
        <v>20</v>
      </c>
      <c r="V365" s="8">
        <v>61</v>
      </c>
      <c r="W365" s="6">
        <v>55</v>
      </c>
      <c r="X365" s="13" t="s">
        <v>141</v>
      </c>
      <c r="Y365" s="13" t="s">
        <v>82</v>
      </c>
      <c r="Z365" s="3">
        <v>3</v>
      </c>
      <c r="AA365" s="3">
        <v>3</v>
      </c>
      <c r="AB365" s="9">
        <v>-0.469999689841649</v>
      </c>
      <c r="AC365" s="9">
        <v>0.000256361683990306</v>
      </c>
      <c r="AD365" s="25">
        <v>-1.13708030090259</v>
      </c>
      <c r="AE365" s="25">
        <v>0.00533448946951656</v>
      </c>
      <c r="AF365" s="9">
        <v>-0.667080611060947</v>
      </c>
      <c r="AG365" s="9">
        <v>0.00559085115350688</v>
      </c>
      <c r="AH365" s="25">
        <v>-0.327641315536961</v>
      </c>
      <c r="AI365" s="25">
        <v>0.00694155213105651</v>
      </c>
      <c r="AJ365" s="4">
        <v>-0.142358374304691</v>
      </c>
      <c r="AK365" s="4">
        <v>0.00719791381504681</v>
      </c>
      <c r="AL365" s="3">
        <v>-0.809438985365631</v>
      </c>
      <c r="AM365" s="3">
        <v>0.012276041600573</v>
      </c>
      <c r="AN365" s="4"/>
      <c r="AO365" s="4"/>
      <c r="AP365" s="3"/>
      <c r="AQ365" s="3"/>
      <c r="AR365" s="4"/>
      <c r="AS365" s="4"/>
      <c r="AT365" s="3"/>
      <c r="AU365" s="3"/>
      <c r="AV365" s="4"/>
      <c r="AW365" s="4"/>
      <c r="AX365" s="3"/>
      <c r="AY365" s="3"/>
      <c r="BR365" s="3">
        <v>-2.6320298938078</v>
      </c>
      <c r="BS365" s="3">
        <v>0.0069415521310565</v>
      </c>
    </row>
    <row r="366" s="4" customFormat="1" spans="1:37">
      <c r="A366" s="4">
        <v>365</v>
      </c>
      <c r="B366" s="18">
        <v>65</v>
      </c>
      <c r="C366" s="19" t="s">
        <v>283</v>
      </c>
      <c r="D366" s="5" t="s">
        <v>284</v>
      </c>
      <c r="E366" s="9">
        <v>16.73333</v>
      </c>
      <c r="F366" s="9">
        <v>-92.48333</v>
      </c>
      <c r="G366" s="20">
        <v>15</v>
      </c>
      <c r="H366" s="21">
        <v>1400</v>
      </c>
      <c r="I366" s="4"/>
      <c r="J366" s="13" t="s">
        <v>181</v>
      </c>
      <c r="K366" s="5" t="s">
        <v>182</v>
      </c>
      <c r="L366" s="4"/>
      <c r="M366" s="4"/>
      <c r="N366" s="4"/>
      <c r="O366" s="36" t="s">
        <v>80</v>
      </c>
      <c r="P366" s="12"/>
      <c r="Q366" s="12"/>
      <c r="R366" s="12"/>
      <c r="S366" s="13"/>
      <c r="T366" s="21">
        <v>25</v>
      </c>
      <c r="U366" s="21">
        <v>28</v>
      </c>
      <c r="V366" s="21">
        <v>47</v>
      </c>
      <c r="W366" s="18">
        <v>7.5</v>
      </c>
      <c r="X366" s="5" t="s">
        <v>91</v>
      </c>
      <c r="Y366" s="5" t="s">
        <v>82</v>
      </c>
      <c r="Z366" s="4">
        <v>8</v>
      </c>
      <c r="AA366" s="4">
        <v>8</v>
      </c>
      <c r="AB366" s="9">
        <v>-0.218060999506</v>
      </c>
      <c r="AC366" s="9">
        <v>0.0651882160854146</v>
      </c>
      <c r="AD366" s="9"/>
      <c r="AE366" s="9"/>
      <c r="AF366" s="9"/>
      <c r="AG366" s="9"/>
      <c r="AH366" s="9">
        <v>-1.62354841569394</v>
      </c>
      <c r="AI366" s="9">
        <v>0.0017362677700877</v>
      </c>
      <c r="AJ366" s="4">
        <v>1.40548741618793</v>
      </c>
      <c r="AK366" s="4">
        <v>0.0669244838555024</v>
      </c>
    </row>
    <row r="367" s="4" customFormat="1" spans="1:37">
      <c r="A367" s="4">
        <v>366</v>
      </c>
      <c r="B367" s="18">
        <v>65</v>
      </c>
      <c r="C367" s="19" t="s">
        <v>283</v>
      </c>
      <c r="D367" s="5" t="s">
        <v>284</v>
      </c>
      <c r="E367" s="9">
        <v>16.73333</v>
      </c>
      <c r="F367" s="9">
        <v>-92.48333</v>
      </c>
      <c r="G367" s="20">
        <v>15</v>
      </c>
      <c r="H367" s="21">
        <v>1400</v>
      </c>
      <c r="I367" s="4"/>
      <c r="J367" s="13" t="s">
        <v>181</v>
      </c>
      <c r="K367" s="5" t="s">
        <v>182</v>
      </c>
      <c r="L367" s="4"/>
      <c r="M367" s="4"/>
      <c r="N367" s="4"/>
      <c r="O367" s="36" t="s">
        <v>80</v>
      </c>
      <c r="P367" s="12"/>
      <c r="Q367" s="12"/>
      <c r="R367" s="12"/>
      <c r="S367" s="13"/>
      <c r="T367" s="21">
        <v>25</v>
      </c>
      <c r="U367" s="21">
        <v>28</v>
      </c>
      <c r="V367" s="21">
        <v>47</v>
      </c>
      <c r="W367" s="18">
        <v>7.5</v>
      </c>
      <c r="X367" s="5" t="s">
        <v>91</v>
      </c>
      <c r="Y367" s="5" t="s">
        <v>82</v>
      </c>
      <c r="Z367" s="4">
        <v>8</v>
      </c>
      <c r="AA367" s="4">
        <v>8</v>
      </c>
      <c r="AB367" s="9">
        <v>-0.549836742833506</v>
      </c>
      <c r="AC367" s="9">
        <v>0.021038316583463</v>
      </c>
      <c r="AD367" s="9"/>
      <c r="AE367" s="9"/>
      <c r="AF367" s="9"/>
      <c r="AG367" s="9"/>
      <c r="AH367" s="9">
        <v>-1.75257867543767</v>
      </c>
      <c r="AI367" s="9">
        <v>0.0017362677700877</v>
      </c>
      <c r="AJ367" s="4">
        <v>1.20274193260416</v>
      </c>
      <c r="AK367" s="4">
        <v>0.0227745843535507</v>
      </c>
    </row>
    <row r="368" s="4" customFormat="1" spans="1:37">
      <c r="A368" s="4">
        <v>367</v>
      </c>
      <c r="B368" s="18">
        <v>65</v>
      </c>
      <c r="C368" s="19" t="s">
        <v>283</v>
      </c>
      <c r="D368" s="5" t="s">
        <v>284</v>
      </c>
      <c r="E368" s="9">
        <v>16.73333</v>
      </c>
      <c r="F368" s="9">
        <v>-92.48333</v>
      </c>
      <c r="G368" s="20">
        <v>15</v>
      </c>
      <c r="H368" s="21">
        <v>1400</v>
      </c>
      <c r="I368" s="4"/>
      <c r="J368" s="13" t="s">
        <v>188</v>
      </c>
      <c r="K368" s="5" t="s">
        <v>182</v>
      </c>
      <c r="L368" s="4"/>
      <c r="M368" s="4"/>
      <c r="N368" s="4"/>
      <c r="O368" s="36" t="s">
        <v>80</v>
      </c>
      <c r="P368" s="12"/>
      <c r="Q368" s="12"/>
      <c r="R368" s="12"/>
      <c r="S368" s="13"/>
      <c r="T368" s="21">
        <v>25</v>
      </c>
      <c r="U368" s="21">
        <v>28</v>
      </c>
      <c r="V368" s="21">
        <v>47</v>
      </c>
      <c r="W368" s="18">
        <v>7.5</v>
      </c>
      <c r="X368" s="5" t="s">
        <v>91</v>
      </c>
      <c r="Y368" s="5" t="s">
        <v>82</v>
      </c>
      <c r="Z368" s="4">
        <v>8</v>
      </c>
      <c r="AA368" s="4">
        <v>8</v>
      </c>
      <c r="AB368" s="9">
        <v>0.56261686818199</v>
      </c>
      <c r="AC368" s="9">
        <v>0.0191124228180706</v>
      </c>
      <c r="AD368" s="9"/>
      <c r="AE368" s="9"/>
      <c r="AF368" s="9"/>
      <c r="AG368" s="9"/>
      <c r="AH368" s="9">
        <v>0.125193668450429</v>
      </c>
      <c r="AI368" s="9">
        <v>0.0017362677700877</v>
      </c>
      <c r="AJ368" s="4">
        <v>0.437423199731559</v>
      </c>
      <c r="AK368" s="4">
        <v>0.0208486905881583</v>
      </c>
    </row>
    <row r="369" s="4" customFormat="1" spans="1:37">
      <c r="A369" s="4">
        <v>368</v>
      </c>
      <c r="B369" s="18">
        <v>65</v>
      </c>
      <c r="C369" s="19" t="s">
        <v>283</v>
      </c>
      <c r="D369" s="5" t="s">
        <v>284</v>
      </c>
      <c r="E369" s="9">
        <v>16.73333</v>
      </c>
      <c r="F369" s="9">
        <v>-92.48333</v>
      </c>
      <c r="G369" s="20">
        <v>15</v>
      </c>
      <c r="H369" s="21">
        <v>1400</v>
      </c>
      <c r="I369" s="4"/>
      <c r="J369" s="13" t="s">
        <v>188</v>
      </c>
      <c r="K369" s="5" t="s">
        <v>182</v>
      </c>
      <c r="L369" s="4"/>
      <c r="M369" s="4"/>
      <c r="N369" s="4"/>
      <c r="O369" s="36" t="s">
        <v>80</v>
      </c>
      <c r="P369" s="12"/>
      <c r="Q369" s="12"/>
      <c r="R369" s="12"/>
      <c r="S369" s="13"/>
      <c r="T369" s="21">
        <v>25</v>
      </c>
      <c r="U369" s="21">
        <v>28</v>
      </c>
      <c r="V369" s="21">
        <v>47</v>
      </c>
      <c r="W369" s="18">
        <v>7.5</v>
      </c>
      <c r="X369" s="5" t="s">
        <v>91</v>
      </c>
      <c r="Y369" s="5" t="s">
        <v>82</v>
      </c>
      <c r="Z369" s="4">
        <v>8</v>
      </c>
      <c r="AA369" s="4">
        <v>8</v>
      </c>
      <c r="AB369" s="9">
        <v>0.516546708277959</v>
      </c>
      <c r="AC369" s="9">
        <v>0.0143358978401793</v>
      </c>
      <c r="AD369" s="9"/>
      <c r="AE369" s="9"/>
      <c r="AF369" s="9"/>
      <c r="AG369" s="9"/>
      <c r="AH369" s="9">
        <v>0.0520714036214665</v>
      </c>
      <c r="AI369" s="9">
        <v>0.00173626777008771</v>
      </c>
      <c r="AJ369" s="4">
        <v>0.464475304656494</v>
      </c>
      <c r="AK369" s="4">
        <v>0.016072165610267</v>
      </c>
    </row>
    <row r="370" s="4" customFormat="1" spans="1:37">
      <c r="A370" s="4">
        <v>369</v>
      </c>
      <c r="B370" s="18">
        <v>65</v>
      </c>
      <c r="C370" s="19" t="s">
        <v>283</v>
      </c>
      <c r="D370" s="5" t="s">
        <v>284</v>
      </c>
      <c r="E370" s="9">
        <v>16.73333</v>
      </c>
      <c r="F370" s="9">
        <v>-92.48333</v>
      </c>
      <c r="G370" s="20">
        <v>15</v>
      </c>
      <c r="H370" s="21">
        <v>1400</v>
      </c>
      <c r="I370" s="4"/>
      <c r="J370" s="13" t="s">
        <v>188</v>
      </c>
      <c r="K370" s="5" t="s">
        <v>182</v>
      </c>
      <c r="L370" s="4"/>
      <c r="M370" s="4"/>
      <c r="N370" s="4"/>
      <c r="O370" s="36" t="s">
        <v>80</v>
      </c>
      <c r="P370" s="12"/>
      <c r="Q370" s="12"/>
      <c r="R370" s="12"/>
      <c r="S370" s="13"/>
      <c r="T370" s="21">
        <v>25</v>
      </c>
      <c r="U370" s="21">
        <v>28</v>
      </c>
      <c r="V370" s="21">
        <v>47</v>
      </c>
      <c r="W370" s="18">
        <v>7.5</v>
      </c>
      <c r="X370" s="5" t="s">
        <v>91</v>
      </c>
      <c r="Y370" s="5" t="s">
        <v>82</v>
      </c>
      <c r="Z370" s="4">
        <v>8</v>
      </c>
      <c r="AA370" s="4">
        <v>8</v>
      </c>
      <c r="AB370" s="9">
        <v>0.348043202272119</v>
      </c>
      <c r="AC370" s="9">
        <v>0.0149081388288086</v>
      </c>
      <c r="AD370" s="9"/>
      <c r="AE370" s="9"/>
      <c r="AF370" s="9"/>
      <c r="AG370" s="9"/>
      <c r="AH370" s="9">
        <v>-0.719436812387803</v>
      </c>
      <c r="AI370" s="9">
        <v>0.0017362677700877</v>
      </c>
      <c r="AJ370" s="4">
        <v>1.06748001465992</v>
      </c>
      <c r="AK370" s="4">
        <v>0.0166444065988963</v>
      </c>
    </row>
    <row r="371" s="4" customFormat="1" spans="1:67">
      <c r="A371" s="4">
        <v>370</v>
      </c>
      <c r="B371" s="18">
        <v>65</v>
      </c>
      <c r="C371" s="19" t="s">
        <v>283</v>
      </c>
      <c r="D371" s="5" t="s">
        <v>284</v>
      </c>
      <c r="E371" s="9">
        <v>16.8</v>
      </c>
      <c r="F371" s="9">
        <v>-92.583333</v>
      </c>
      <c r="G371" s="20">
        <v>14.7</v>
      </c>
      <c r="H371" s="21">
        <v>2000</v>
      </c>
      <c r="I371" s="4"/>
      <c r="J371" s="5" t="s">
        <v>237</v>
      </c>
      <c r="K371" s="5" t="s">
        <v>78</v>
      </c>
      <c r="L371" s="4"/>
      <c r="M371" s="4"/>
      <c r="N371" s="4"/>
      <c r="O371" s="28" t="s">
        <v>80</v>
      </c>
      <c r="P371" s="12"/>
      <c r="Q371" s="12"/>
      <c r="R371" s="12"/>
      <c r="S371" s="13"/>
      <c r="T371" s="21">
        <v>24</v>
      </c>
      <c r="U371" s="21">
        <v>23</v>
      </c>
      <c r="V371" s="21">
        <v>53</v>
      </c>
      <c r="W371" s="18">
        <v>7.5</v>
      </c>
      <c r="X371" s="5" t="s">
        <v>91</v>
      </c>
      <c r="Y371" s="5" t="s">
        <v>82</v>
      </c>
      <c r="Z371" s="4">
        <v>8</v>
      </c>
      <c r="AA371" s="4">
        <v>8</v>
      </c>
      <c r="AB371" s="9">
        <v>-0.0422296367794123</v>
      </c>
      <c r="AC371" s="9">
        <v>0.0111049566685852</v>
      </c>
      <c r="AD371" s="9"/>
      <c r="AE371" s="9"/>
      <c r="AF371" s="9"/>
      <c r="AG371" s="9"/>
      <c r="AH371" s="9">
        <v>0.0928190412160487</v>
      </c>
      <c r="AI371" s="9">
        <v>0.0017362677700877</v>
      </c>
      <c r="AJ371" s="4">
        <v>-0.135048677995461</v>
      </c>
      <c r="AK371" s="4">
        <v>0.0128412244386729</v>
      </c>
      <c r="AL371" s="4"/>
      <c r="AM371" s="4"/>
      <c r="AN371" s="4"/>
      <c r="AO371" s="4"/>
      <c r="AP371" s="4"/>
      <c r="AQ371" s="4"/>
      <c r="AR371" s="4"/>
      <c r="AS371" s="4"/>
      <c r="AT371" s="4"/>
      <c r="AU371" s="4"/>
      <c r="AV371" s="4"/>
      <c r="AW371" s="4"/>
      <c r="AX371" s="4"/>
      <c r="AY371" s="4"/>
      <c r="BN371" s="4">
        <v>-0.0123458358222993</v>
      </c>
      <c r="BO371" s="4">
        <v>0.0025</v>
      </c>
    </row>
    <row r="372" s="4" customFormat="1" spans="1:37">
      <c r="A372" s="4">
        <v>371</v>
      </c>
      <c r="B372" s="18">
        <v>65</v>
      </c>
      <c r="C372" s="19" t="s">
        <v>283</v>
      </c>
      <c r="D372" s="5" t="s">
        <v>284</v>
      </c>
      <c r="E372" s="9">
        <v>15.433333</v>
      </c>
      <c r="F372" s="9">
        <v>-92.33333</v>
      </c>
      <c r="G372" s="20">
        <v>16</v>
      </c>
      <c r="H372" s="21">
        <v>3500</v>
      </c>
      <c r="I372" s="4"/>
      <c r="J372" s="13" t="s">
        <v>181</v>
      </c>
      <c r="K372" s="5" t="s">
        <v>182</v>
      </c>
      <c r="L372" s="4"/>
      <c r="M372" s="4"/>
      <c r="N372" s="4"/>
      <c r="O372" s="36" t="s">
        <v>80</v>
      </c>
      <c r="P372" s="12"/>
      <c r="Q372" s="12"/>
      <c r="R372" s="12"/>
      <c r="S372" s="13"/>
      <c r="T372" s="21">
        <v>22</v>
      </c>
      <c r="U372" s="21">
        <v>38</v>
      </c>
      <c r="V372" s="21">
        <v>40</v>
      </c>
      <c r="W372" s="18">
        <v>7.5</v>
      </c>
      <c r="X372" s="5" t="s">
        <v>91</v>
      </c>
      <c r="Y372" s="5" t="s">
        <v>82</v>
      </c>
      <c r="Z372" s="4">
        <v>8</v>
      </c>
      <c r="AA372" s="4">
        <v>8</v>
      </c>
      <c r="AB372" s="9">
        <v>-0.558658875499628</v>
      </c>
      <c r="AC372" s="9">
        <v>0.00196014133416484</v>
      </c>
      <c r="AD372" s="9"/>
      <c r="AE372" s="9"/>
      <c r="AF372" s="9"/>
      <c r="AG372" s="9"/>
      <c r="AH372" s="9">
        <v>-0.903247068682126</v>
      </c>
      <c r="AI372" s="9">
        <v>0.0017362677700877</v>
      </c>
      <c r="AJ372" s="4">
        <v>0.344588193182499</v>
      </c>
      <c r="AK372" s="4">
        <v>0.00369640910425255</v>
      </c>
    </row>
    <row r="373" s="4" customFormat="1" spans="1:37">
      <c r="A373" s="4">
        <v>372</v>
      </c>
      <c r="B373" s="18">
        <v>65</v>
      </c>
      <c r="C373" s="19" t="s">
        <v>283</v>
      </c>
      <c r="D373" s="5" t="s">
        <v>284</v>
      </c>
      <c r="E373" s="9">
        <v>19.15</v>
      </c>
      <c r="F373" s="9">
        <v>-96.95</v>
      </c>
      <c r="G373" s="20">
        <v>17.7</v>
      </c>
      <c r="H373" s="21">
        <v>1700</v>
      </c>
      <c r="I373" s="4"/>
      <c r="J373" s="13" t="s">
        <v>185</v>
      </c>
      <c r="K373" s="5" t="s">
        <v>182</v>
      </c>
      <c r="L373" s="4"/>
      <c r="M373" s="4"/>
      <c r="N373" s="4"/>
      <c r="O373" s="36" t="s">
        <v>80</v>
      </c>
      <c r="P373" s="12"/>
      <c r="Q373" s="12"/>
      <c r="R373" s="12"/>
      <c r="S373" s="13"/>
      <c r="T373" s="21">
        <v>23</v>
      </c>
      <c r="U373" s="21">
        <v>18</v>
      </c>
      <c r="V373" s="21">
        <v>59</v>
      </c>
      <c r="W373" s="18">
        <v>7.5</v>
      </c>
      <c r="X373" s="5" t="s">
        <v>91</v>
      </c>
      <c r="Y373" s="5" t="s">
        <v>82</v>
      </c>
      <c r="Z373" s="4">
        <v>8</v>
      </c>
      <c r="AA373" s="4">
        <v>8</v>
      </c>
      <c r="AB373" s="9">
        <v>-0.782121080351215</v>
      </c>
      <c r="AC373" s="9">
        <v>0.00254639284832656</v>
      </c>
      <c r="AD373" s="9"/>
      <c r="AE373" s="9"/>
      <c r="AF373" s="9"/>
      <c r="AG373" s="9"/>
      <c r="AH373" s="9">
        <v>-1.65613900548008</v>
      </c>
      <c r="AI373" s="9">
        <v>0.0067942808886046</v>
      </c>
      <c r="AJ373" s="4">
        <v>0.874017925128869</v>
      </c>
      <c r="AK373" s="4">
        <v>0.00934067373693118</v>
      </c>
    </row>
    <row r="374" s="4" customFormat="1" spans="1:37">
      <c r="A374" s="4">
        <v>373</v>
      </c>
      <c r="B374" s="18">
        <v>65</v>
      </c>
      <c r="C374" s="19" t="s">
        <v>283</v>
      </c>
      <c r="D374" s="5" t="s">
        <v>285</v>
      </c>
      <c r="E374" s="9">
        <v>19.15</v>
      </c>
      <c r="F374" s="9">
        <v>-96.95</v>
      </c>
      <c r="G374" s="20">
        <v>17.7</v>
      </c>
      <c r="H374" s="21">
        <v>1700</v>
      </c>
      <c r="I374" s="4"/>
      <c r="J374" s="13" t="s">
        <v>181</v>
      </c>
      <c r="K374" s="5" t="s">
        <v>182</v>
      </c>
      <c r="L374" s="4"/>
      <c r="M374" s="4"/>
      <c r="N374" s="4"/>
      <c r="O374" s="36" t="s">
        <v>80</v>
      </c>
      <c r="P374" s="12"/>
      <c r="Q374" s="12"/>
      <c r="R374" s="12"/>
      <c r="S374" s="13"/>
      <c r="T374" s="21">
        <v>23</v>
      </c>
      <c r="U374" s="21">
        <v>18</v>
      </c>
      <c r="V374" s="21">
        <v>59</v>
      </c>
      <c r="W374" s="18">
        <v>7.5</v>
      </c>
      <c r="X374" s="5" t="s">
        <v>91</v>
      </c>
      <c r="Y374" s="5" t="s">
        <v>82</v>
      </c>
      <c r="Z374" s="4">
        <v>8</v>
      </c>
      <c r="AA374" s="4">
        <v>8</v>
      </c>
      <c r="AB374" s="9">
        <v>-1.01197188018256</v>
      </c>
      <c r="AC374" s="9">
        <v>0.00183417226035132</v>
      </c>
      <c r="AD374" s="9"/>
      <c r="AE374" s="9"/>
      <c r="AF374" s="9"/>
      <c r="AG374" s="9"/>
      <c r="AH374" s="9">
        <v>-1.8109539164842</v>
      </c>
      <c r="AI374" s="9">
        <v>0.00381812271573092</v>
      </c>
      <c r="AJ374" s="4">
        <v>0.798982036301641</v>
      </c>
      <c r="AK374" s="4">
        <v>0.00565229497608227</v>
      </c>
    </row>
    <row r="375" s="3" customFormat="1" spans="1:69">
      <c r="A375" s="4">
        <v>374</v>
      </c>
      <c r="B375" s="6">
        <v>66</v>
      </c>
      <c r="C375" s="24" t="s">
        <v>286</v>
      </c>
      <c r="D375" s="13" t="s">
        <v>287</v>
      </c>
      <c r="E375" s="3">
        <v>36.0920802070353</v>
      </c>
      <c r="F375" s="3">
        <v>-79.2666397094726</v>
      </c>
      <c r="G375" s="20">
        <v>14.5500001907349</v>
      </c>
      <c r="H375" s="21">
        <v>1146</v>
      </c>
      <c r="I375" s="3"/>
      <c r="J375" s="13" t="s">
        <v>94</v>
      </c>
      <c r="K375" s="5" t="s">
        <v>78</v>
      </c>
      <c r="L375" s="3">
        <v>2005</v>
      </c>
      <c r="M375" s="3">
        <v>5</v>
      </c>
      <c r="N375" s="13" t="s">
        <v>113</v>
      </c>
      <c r="O375" s="3"/>
      <c r="P375" s="12"/>
      <c r="Q375" s="12"/>
      <c r="R375" s="12"/>
      <c r="S375" s="13"/>
      <c r="T375" s="21">
        <v>19</v>
      </c>
      <c r="U375" s="21">
        <v>28</v>
      </c>
      <c r="V375" s="21">
        <v>53</v>
      </c>
      <c r="W375" s="3">
        <v>0.3</v>
      </c>
      <c r="X375" s="5" t="s">
        <v>81</v>
      </c>
      <c r="Y375" s="13" t="s">
        <v>82</v>
      </c>
      <c r="Z375" s="3">
        <v>4</v>
      </c>
      <c r="AA375" s="3">
        <v>4</v>
      </c>
      <c r="AB375" s="9">
        <v>0.236176956369994</v>
      </c>
      <c r="AC375" s="9">
        <v>0.0648710743626197</v>
      </c>
      <c r="AD375" s="25"/>
      <c r="AE375" s="25"/>
      <c r="AF375" s="9"/>
      <c r="AG375" s="9"/>
      <c r="AH375" s="25"/>
      <c r="AI375" s="25"/>
      <c r="AJ375" s="4"/>
      <c r="AK375" s="4"/>
      <c r="AL375" s="3"/>
      <c r="AM375" s="3"/>
      <c r="AN375" s="4"/>
      <c r="AO375" s="4"/>
      <c r="AP375" s="3"/>
      <c r="AQ375" s="3"/>
      <c r="AR375" s="4"/>
      <c r="AS375" s="4"/>
      <c r="AT375" s="3"/>
      <c r="AU375" s="3"/>
      <c r="AV375" s="4"/>
      <c r="AW375" s="4"/>
      <c r="AX375" s="3"/>
      <c r="AY375" s="3"/>
      <c r="BP375" s="3">
        <v>0.183005951853482</v>
      </c>
      <c r="BQ375" s="3">
        <v>0.00116340400246268</v>
      </c>
    </row>
    <row r="376" s="3" customFormat="1" spans="1:69">
      <c r="A376" s="4">
        <v>375</v>
      </c>
      <c r="B376" s="6">
        <v>66</v>
      </c>
      <c r="C376" s="24" t="s">
        <v>286</v>
      </c>
      <c r="D376" s="13" t="s">
        <v>287</v>
      </c>
      <c r="E376" s="3">
        <v>36.0920802070353</v>
      </c>
      <c r="F376" s="3">
        <v>-79.2666397094726</v>
      </c>
      <c r="G376" s="20">
        <v>14.5500001907349</v>
      </c>
      <c r="H376" s="21">
        <v>1146</v>
      </c>
      <c r="I376" s="3"/>
      <c r="J376" s="13" t="s">
        <v>94</v>
      </c>
      <c r="K376" s="5" t="s">
        <v>78</v>
      </c>
      <c r="L376" s="3">
        <v>2005</v>
      </c>
      <c r="M376" s="3">
        <v>5</v>
      </c>
      <c r="N376" s="13" t="s">
        <v>113</v>
      </c>
      <c r="O376" s="3"/>
      <c r="P376" s="12"/>
      <c r="Q376" s="12"/>
      <c r="R376" s="12"/>
      <c r="S376" s="13"/>
      <c r="T376" s="21">
        <v>19</v>
      </c>
      <c r="U376" s="21">
        <v>28</v>
      </c>
      <c r="V376" s="21">
        <v>53</v>
      </c>
      <c r="W376" s="3">
        <v>0.3</v>
      </c>
      <c r="X376" s="5" t="s">
        <v>81</v>
      </c>
      <c r="Y376" s="13" t="s">
        <v>82</v>
      </c>
      <c r="Z376" s="3">
        <v>4</v>
      </c>
      <c r="AA376" s="3">
        <v>4</v>
      </c>
      <c r="AB376" s="9">
        <v>0.0246618359925631</v>
      </c>
      <c r="AC376" s="9">
        <v>0.0561183151733765</v>
      </c>
      <c r="AD376" s="25"/>
      <c r="AE376" s="25"/>
      <c r="AF376" s="9"/>
      <c r="AG376" s="9"/>
      <c r="AH376" s="25"/>
      <c r="AI376" s="25"/>
      <c r="AJ376" s="4"/>
      <c r="AK376" s="4"/>
      <c r="AL376" s="3"/>
      <c r="AM376" s="3"/>
      <c r="AN376" s="4"/>
      <c r="AO376" s="4"/>
      <c r="AP376" s="3"/>
      <c r="AQ376" s="3"/>
      <c r="AR376" s="4"/>
      <c r="AS376" s="4"/>
      <c r="AT376" s="3"/>
      <c r="AU376" s="3"/>
      <c r="AV376" s="4"/>
      <c r="AW376" s="4"/>
      <c r="AX376" s="3"/>
      <c r="AY376" s="3"/>
      <c r="BP376" s="3">
        <v>0.0260178456810531</v>
      </c>
      <c r="BQ376" s="3">
        <v>0.00270097580454854</v>
      </c>
    </row>
    <row r="377" s="3" customFormat="1" spans="1:69">
      <c r="A377" s="4">
        <v>376</v>
      </c>
      <c r="B377" s="6">
        <v>66</v>
      </c>
      <c r="C377" s="24" t="s">
        <v>288</v>
      </c>
      <c r="D377" s="13" t="s">
        <v>289</v>
      </c>
      <c r="E377" s="3">
        <v>36.0920802070353</v>
      </c>
      <c r="F377" s="3">
        <v>-79.2666397094726</v>
      </c>
      <c r="G377" s="20">
        <v>14.5500001907349</v>
      </c>
      <c r="H377" s="21">
        <v>1146</v>
      </c>
      <c r="I377" s="3"/>
      <c r="J377" s="13" t="s">
        <v>94</v>
      </c>
      <c r="K377" s="5" t="s">
        <v>78</v>
      </c>
      <c r="L377" s="3">
        <v>2006</v>
      </c>
      <c r="M377" s="3">
        <v>5</v>
      </c>
      <c r="N377" s="13" t="s">
        <v>113</v>
      </c>
      <c r="O377" s="3"/>
      <c r="P377" s="12"/>
      <c r="Q377" s="12"/>
      <c r="R377" s="12"/>
      <c r="S377" s="13"/>
      <c r="T377" s="21">
        <v>19</v>
      </c>
      <c r="U377" s="21">
        <v>28</v>
      </c>
      <c r="V377" s="21">
        <v>53</v>
      </c>
      <c r="W377" s="6">
        <v>1.3</v>
      </c>
      <c r="X377" s="5" t="s">
        <v>81</v>
      </c>
      <c r="Y377" s="13" t="s">
        <v>82</v>
      </c>
      <c r="Z377" s="3">
        <v>4</v>
      </c>
      <c r="AA377" s="3">
        <v>4</v>
      </c>
      <c r="AB377" s="9">
        <v>0.343612589640437</v>
      </c>
      <c r="AC377" s="9">
        <v>0.037403661071737</v>
      </c>
      <c r="AD377" s="25"/>
      <c r="AE377" s="25"/>
      <c r="AF377" s="9"/>
      <c r="AG377" s="9"/>
      <c r="AH377" s="25"/>
      <c r="AI377" s="25"/>
      <c r="AJ377" s="4"/>
      <c r="AK377" s="4"/>
      <c r="AL377" s="3"/>
      <c r="AM377" s="3"/>
      <c r="AN377" s="4"/>
      <c r="AO377" s="4"/>
      <c r="AP377" s="3"/>
      <c r="AQ377" s="3"/>
      <c r="AR377" s="4"/>
      <c r="AS377" s="4"/>
      <c r="AT377" s="3"/>
      <c r="AU377" s="3"/>
      <c r="AV377" s="4"/>
      <c r="AW377" s="4"/>
      <c r="AX377" s="3"/>
      <c r="AY377" s="3"/>
      <c r="BP377" s="3">
        <v>0.183005951853482</v>
      </c>
      <c r="BQ377" s="3">
        <v>0.00116340400246268</v>
      </c>
    </row>
    <row r="378" s="3" customFormat="1" spans="1:69">
      <c r="A378" s="4">
        <v>377</v>
      </c>
      <c r="B378" s="6">
        <v>66</v>
      </c>
      <c r="C378" s="24" t="s">
        <v>288</v>
      </c>
      <c r="D378" s="13" t="s">
        <v>289</v>
      </c>
      <c r="E378" s="3">
        <v>36.0920802070353</v>
      </c>
      <c r="F378" s="3">
        <v>-79.2666397094726</v>
      </c>
      <c r="G378" s="20">
        <v>14.5500001907349</v>
      </c>
      <c r="H378" s="21">
        <v>1146</v>
      </c>
      <c r="I378" s="3"/>
      <c r="J378" s="13" t="s">
        <v>94</v>
      </c>
      <c r="K378" s="5" t="s">
        <v>78</v>
      </c>
      <c r="L378" s="3">
        <v>2006</v>
      </c>
      <c r="M378" s="3">
        <v>5</v>
      </c>
      <c r="N378" s="13" t="s">
        <v>113</v>
      </c>
      <c r="O378" s="3"/>
      <c r="P378" s="12"/>
      <c r="Q378" s="12"/>
      <c r="R378" s="12"/>
      <c r="S378" s="13"/>
      <c r="T378" s="21">
        <v>19</v>
      </c>
      <c r="U378" s="21">
        <v>28</v>
      </c>
      <c r="V378" s="21">
        <v>53</v>
      </c>
      <c r="W378" s="6">
        <v>1.3</v>
      </c>
      <c r="X378" s="5" t="s">
        <v>81</v>
      </c>
      <c r="Y378" s="13" t="s">
        <v>82</v>
      </c>
      <c r="Z378" s="3">
        <v>4</v>
      </c>
      <c r="AA378" s="3">
        <v>4</v>
      </c>
      <c r="AB378" s="9">
        <v>-0.0026549148312592</v>
      </c>
      <c r="AC378" s="9">
        <v>0.121562884625632</v>
      </c>
      <c r="AD378" s="25"/>
      <c r="AE378" s="25"/>
      <c r="AF378" s="9"/>
      <c r="AG378" s="9"/>
      <c r="AH378" s="25"/>
      <c r="AI378" s="25"/>
      <c r="AJ378" s="4"/>
      <c r="AK378" s="4"/>
      <c r="AL378" s="3"/>
      <c r="AM378" s="3"/>
      <c r="AN378" s="4"/>
      <c r="AO378" s="4"/>
      <c r="AP378" s="3"/>
      <c r="AQ378" s="3"/>
      <c r="AR378" s="4"/>
      <c r="AS378" s="4"/>
      <c r="AT378" s="3"/>
      <c r="AU378" s="3"/>
      <c r="AV378" s="4"/>
      <c r="AW378" s="4"/>
      <c r="AX378" s="3"/>
      <c r="AY378" s="3"/>
      <c r="BP378" s="3">
        <v>0.0260178456810531</v>
      </c>
      <c r="BQ378" s="3">
        <v>0.00270097580454854</v>
      </c>
    </row>
    <row r="379" s="3" customFormat="1" ht="16.8" spans="1:69">
      <c r="A379" s="4">
        <v>378</v>
      </c>
      <c r="B379" s="6">
        <v>66</v>
      </c>
      <c r="C379" s="24" t="s">
        <v>288</v>
      </c>
      <c r="D379" s="13" t="s">
        <v>289</v>
      </c>
      <c r="E379" s="3">
        <v>36.0920802070353</v>
      </c>
      <c r="F379" s="3">
        <v>-79.2666397094726</v>
      </c>
      <c r="G379" s="20">
        <v>14.5500001907349</v>
      </c>
      <c r="H379" s="21">
        <v>1146</v>
      </c>
      <c r="I379" s="3"/>
      <c r="J379" s="5" t="s">
        <v>77</v>
      </c>
      <c r="K379" s="5" t="s">
        <v>78</v>
      </c>
      <c r="L379" s="3">
        <v>2005</v>
      </c>
      <c r="M379" s="3">
        <v>5</v>
      </c>
      <c r="N379" s="13" t="s">
        <v>113</v>
      </c>
      <c r="O379" s="3"/>
      <c r="P379" s="12"/>
      <c r="Q379" s="12"/>
      <c r="R379" s="12"/>
      <c r="S379" s="13"/>
      <c r="T379" s="21">
        <v>19</v>
      </c>
      <c r="U379" s="21">
        <v>28</v>
      </c>
      <c r="V379" s="21">
        <v>53</v>
      </c>
      <c r="W379" s="6">
        <v>9</v>
      </c>
      <c r="X379" s="5" t="s">
        <v>91</v>
      </c>
      <c r="Y379" s="13" t="s">
        <v>82</v>
      </c>
      <c r="Z379" s="3">
        <v>4</v>
      </c>
      <c r="AA379" s="3">
        <v>4</v>
      </c>
      <c r="AB379" s="9">
        <v>0.186018870941008</v>
      </c>
      <c r="AC379" s="9">
        <v>0.0657577155415332</v>
      </c>
      <c r="AD379" s="25"/>
      <c r="AE379" s="25"/>
      <c r="AF379" s="9"/>
      <c r="AG379" s="9"/>
      <c r="AH379" s="25"/>
      <c r="AI379" s="25"/>
      <c r="AJ379" s="4"/>
      <c r="AK379" s="4"/>
      <c r="AL379" s="3"/>
      <c r="AM379" s="3"/>
      <c r="AN379" s="4"/>
      <c r="AO379" s="4"/>
      <c r="AP379" s="3"/>
      <c r="AQ379" s="3"/>
      <c r="AR379" s="4"/>
      <c r="AS379" s="4"/>
      <c r="AT379" s="3"/>
      <c r="AU379" s="3"/>
      <c r="AV379" s="4"/>
      <c r="AW379" s="4"/>
      <c r="AX379" s="3"/>
      <c r="AY379" s="3"/>
      <c r="BP379" s="3">
        <v>0.111535632049566</v>
      </c>
      <c r="BQ379" s="3">
        <v>0.00156382033312462</v>
      </c>
    </row>
    <row r="380" s="3" customFormat="1" ht="16.8" spans="1:69">
      <c r="A380" s="4">
        <v>379</v>
      </c>
      <c r="B380" s="6">
        <v>66</v>
      </c>
      <c r="C380" s="24" t="s">
        <v>288</v>
      </c>
      <c r="D380" s="13" t="s">
        <v>289</v>
      </c>
      <c r="E380" s="3">
        <v>36.0920802070353</v>
      </c>
      <c r="F380" s="3">
        <v>-79.2666397094726</v>
      </c>
      <c r="G380" s="20">
        <v>14.5500001907349</v>
      </c>
      <c r="H380" s="21">
        <v>1146</v>
      </c>
      <c r="I380" s="3"/>
      <c r="J380" s="5" t="s">
        <v>77</v>
      </c>
      <c r="K380" s="5" t="s">
        <v>78</v>
      </c>
      <c r="L380" s="3">
        <v>2005</v>
      </c>
      <c r="M380" s="3">
        <v>5</v>
      </c>
      <c r="N380" s="13" t="s">
        <v>113</v>
      </c>
      <c r="O380" s="3"/>
      <c r="P380" s="12"/>
      <c r="Q380" s="12"/>
      <c r="R380" s="12"/>
      <c r="S380" s="13"/>
      <c r="T380" s="21">
        <v>19</v>
      </c>
      <c r="U380" s="21">
        <v>28</v>
      </c>
      <c r="V380" s="21">
        <v>53</v>
      </c>
      <c r="W380" s="6">
        <v>9</v>
      </c>
      <c r="X380" s="5" t="s">
        <v>91</v>
      </c>
      <c r="Y380" s="13" t="s">
        <v>82</v>
      </c>
      <c r="Z380" s="3">
        <v>4</v>
      </c>
      <c r="AA380" s="3">
        <v>4</v>
      </c>
      <c r="AB380" s="9">
        <v>-0.025496249436423</v>
      </c>
      <c r="AC380" s="9">
        <v>0.055231673994463</v>
      </c>
      <c r="AD380" s="25"/>
      <c r="AE380" s="25"/>
      <c r="AF380" s="9"/>
      <c r="AG380" s="9"/>
      <c r="AH380" s="25"/>
      <c r="AI380" s="25"/>
      <c r="AJ380" s="4"/>
      <c r="AK380" s="4"/>
      <c r="AL380" s="3"/>
      <c r="AM380" s="3"/>
      <c r="AN380" s="4"/>
      <c r="AO380" s="4"/>
      <c r="AP380" s="3"/>
      <c r="AQ380" s="3"/>
      <c r="AR380" s="4"/>
      <c r="AS380" s="4"/>
      <c r="AT380" s="3"/>
      <c r="AU380" s="3"/>
      <c r="AV380" s="4"/>
      <c r="AW380" s="4"/>
      <c r="AX380" s="3"/>
      <c r="AY380" s="3"/>
      <c r="BP380" s="3">
        <v>-0.0454524741228627</v>
      </c>
      <c r="BQ380" s="3">
        <v>0.00230055947388659</v>
      </c>
    </row>
    <row r="381" s="3" customFormat="1" ht="16.8" spans="1:69">
      <c r="A381" s="4">
        <v>380</v>
      </c>
      <c r="B381" s="6">
        <v>66</v>
      </c>
      <c r="C381" s="24" t="s">
        <v>288</v>
      </c>
      <c r="D381" s="13" t="s">
        <v>289</v>
      </c>
      <c r="E381" s="3">
        <v>36.0920802070353</v>
      </c>
      <c r="F381" s="3">
        <v>-79.2666397094726</v>
      </c>
      <c r="G381" s="20">
        <v>14.5500001907349</v>
      </c>
      <c r="H381" s="21">
        <v>1146</v>
      </c>
      <c r="I381" s="3"/>
      <c r="J381" s="5" t="s">
        <v>77</v>
      </c>
      <c r="K381" s="5" t="s">
        <v>78</v>
      </c>
      <c r="L381" s="3">
        <v>2006</v>
      </c>
      <c r="M381" s="3">
        <v>5</v>
      </c>
      <c r="N381" s="13" t="s">
        <v>113</v>
      </c>
      <c r="O381" s="3"/>
      <c r="P381" s="12"/>
      <c r="Q381" s="12"/>
      <c r="R381" s="12"/>
      <c r="S381" s="13"/>
      <c r="T381" s="21">
        <v>19</v>
      </c>
      <c r="U381" s="21">
        <v>28</v>
      </c>
      <c r="V381" s="21">
        <v>53</v>
      </c>
      <c r="W381" s="6">
        <v>10</v>
      </c>
      <c r="X381" s="5" t="s">
        <v>91</v>
      </c>
      <c r="Y381" s="13" t="s">
        <v>82</v>
      </c>
      <c r="Z381" s="3">
        <v>4</v>
      </c>
      <c r="AA381" s="3">
        <v>4</v>
      </c>
      <c r="AB381" s="9">
        <v>-0.182581164177425</v>
      </c>
      <c r="AC381" s="9">
        <v>0.0523110518015455</v>
      </c>
      <c r="AD381" s="25"/>
      <c r="AE381" s="25"/>
      <c r="AF381" s="9"/>
      <c r="AG381" s="9"/>
      <c r="AH381" s="25"/>
      <c r="AI381" s="25"/>
      <c r="AJ381" s="4"/>
      <c r="AK381" s="4"/>
      <c r="AL381" s="3"/>
      <c r="AM381" s="3"/>
      <c r="AN381" s="4"/>
      <c r="AO381" s="4"/>
      <c r="AP381" s="3"/>
      <c r="AQ381" s="3"/>
      <c r="AR381" s="4"/>
      <c r="AS381" s="4"/>
      <c r="AT381" s="3"/>
      <c r="AU381" s="3"/>
      <c r="AV381" s="4"/>
      <c r="AW381" s="4"/>
      <c r="AX381" s="3"/>
      <c r="AY381" s="3"/>
      <c r="BP381" s="3">
        <v>0.111535632049566</v>
      </c>
      <c r="BQ381" s="3">
        <v>0.00156382033312462</v>
      </c>
    </row>
    <row r="382" s="3" customFormat="1" ht="16.8" spans="1:69">
      <c r="A382" s="4">
        <v>381</v>
      </c>
      <c r="B382" s="6">
        <v>66</v>
      </c>
      <c r="C382" s="24" t="s">
        <v>288</v>
      </c>
      <c r="D382" s="13" t="s">
        <v>289</v>
      </c>
      <c r="E382" s="3">
        <v>36.0920802070353</v>
      </c>
      <c r="F382" s="3">
        <v>-79.2666397094726</v>
      </c>
      <c r="G382" s="20">
        <v>14.5500001907349</v>
      </c>
      <c r="H382" s="21">
        <v>1146</v>
      </c>
      <c r="I382" s="3"/>
      <c r="J382" s="5" t="s">
        <v>77</v>
      </c>
      <c r="K382" s="5" t="s">
        <v>78</v>
      </c>
      <c r="L382" s="3">
        <v>2006</v>
      </c>
      <c r="M382" s="3">
        <v>5</v>
      </c>
      <c r="N382" s="13" t="s">
        <v>113</v>
      </c>
      <c r="O382" s="3"/>
      <c r="P382" s="12"/>
      <c r="Q382" s="12"/>
      <c r="R382" s="12"/>
      <c r="S382" s="13"/>
      <c r="T382" s="21">
        <v>19</v>
      </c>
      <c r="U382" s="21">
        <v>28</v>
      </c>
      <c r="V382" s="21">
        <v>53</v>
      </c>
      <c r="W382" s="6">
        <v>10</v>
      </c>
      <c r="X382" s="5" t="s">
        <v>91</v>
      </c>
      <c r="Y382" s="13" t="s">
        <v>82</v>
      </c>
      <c r="Z382" s="3">
        <v>4</v>
      </c>
      <c r="AA382" s="3">
        <v>4</v>
      </c>
      <c r="AB382" s="9">
        <v>-0.528848668649121</v>
      </c>
      <c r="AC382" s="9">
        <v>0.106655493895823</v>
      </c>
      <c r="AD382" s="25"/>
      <c r="AE382" s="25"/>
      <c r="AF382" s="9"/>
      <c r="AG382" s="9"/>
      <c r="AH382" s="25"/>
      <c r="AI382" s="25"/>
      <c r="AJ382" s="4"/>
      <c r="AK382" s="4"/>
      <c r="AL382" s="3"/>
      <c r="AM382" s="3"/>
      <c r="AN382" s="4"/>
      <c r="AO382" s="4"/>
      <c r="AP382" s="3"/>
      <c r="AQ382" s="3"/>
      <c r="AR382" s="4"/>
      <c r="AS382" s="4"/>
      <c r="AT382" s="3"/>
      <c r="AU382" s="3"/>
      <c r="AV382" s="4"/>
      <c r="AW382" s="4"/>
      <c r="AX382" s="3"/>
      <c r="AY382" s="3"/>
      <c r="BP382" s="3">
        <v>-0.0454524741228627</v>
      </c>
      <c r="BQ382" s="3">
        <v>0.00230055947388659</v>
      </c>
    </row>
    <row r="383" s="4" customFormat="1" spans="1:73">
      <c r="A383" s="4">
        <v>382</v>
      </c>
      <c r="B383" s="18">
        <v>67</v>
      </c>
      <c r="C383" s="4"/>
      <c r="D383" s="5" t="s">
        <v>290</v>
      </c>
      <c r="E383" s="4">
        <v>23.0297076161246</v>
      </c>
      <c r="F383" s="4">
        <v>-82.3579367237275</v>
      </c>
      <c r="G383" s="20">
        <v>24.9416675567627</v>
      </c>
      <c r="H383" s="21">
        <v>1340</v>
      </c>
      <c r="I383" s="4"/>
      <c r="J383" s="13" t="s">
        <v>188</v>
      </c>
      <c r="K383" s="5" t="s">
        <v>182</v>
      </c>
      <c r="L383" s="4"/>
      <c r="M383" s="4"/>
      <c r="N383" s="4"/>
      <c r="O383" s="4"/>
      <c r="P383" s="29">
        <v>5.75</v>
      </c>
      <c r="Q383" s="4">
        <v>15.544</v>
      </c>
      <c r="R383" s="12"/>
      <c r="S383" s="13"/>
      <c r="T383" s="21">
        <v>48</v>
      </c>
      <c r="U383" s="21">
        <v>17</v>
      </c>
      <c r="V383" s="21">
        <v>35</v>
      </c>
      <c r="W383" s="4"/>
      <c r="X383" s="4"/>
      <c r="Y383" s="5" t="s">
        <v>82</v>
      </c>
      <c r="Z383" s="4">
        <v>4</v>
      </c>
      <c r="AA383" s="4">
        <v>4</v>
      </c>
      <c r="AB383" s="9">
        <v>0.187245942404633</v>
      </c>
      <c r="AC383" s="9">
        <v>0.000192271262992729</v>
      </c>
      <c r="AD383" s="9">
        <v>1.05337032455477</v>
      </c>
      <c r="AE383" s="9">
        <v>0.00400086710213743</v>
      </c>
      <c r="AF383" s="9">
        <v>0.866124382150141</v>
      </c>
      <c r="AG383" s="9">
        <v>0.00419313836513016</v>
      </c>
      <c r="AH383" s="9">
        <v>0.57022034118422</v>
      </c>
      <c r="AI383" s="9">
        <v>0.00520616409829237</v>
      </c>
      <c r="AJ383" s="4">
        <v>-0.382974398779586</v>
      </c>
      <c r="AK383" s="4">
        <v>0.00539843536128509</v>
      </c>
      <c r="AL383" s="4">
        <v>0.483149983370556</v>
      </c>
      <c r="AM383" s="4">
        <v>0.00920703120042979</v>
      </c>
      <c r="AN383" s="4">
        <v>0.188101919709454</v>
      </c>
      <c r="AO383" s="4">
        <v>0.000282163044034907</v>
      </c>
      <c r="AP383" s="4"/>
      <c r="AQ383" s="4"/>
      <c r="AR383" s="4"/>
      <c r="AS383" s="4"/>
      <c r="AT383" s="4"/>
      <c r="AU383" s="4"/>
      <c r="AV383" s="4"/>
      <c r="AW383" s="4"/>
      <c r="AX383" s="4"/>
      <c r="AY383" s="4"/>
      <c r="BN383" s="4">
        <v>-0.0364847333344066</v>
      </c>
      <c r="BO383" s="4">
        <v>0.00520616409829239</v>
      </c>
      <c r="BT383" s="4">
        <v>0.17106440226932</v>
      </c>
      <c r="BU383" s="4">
        <v>0.00617283950617286</v>
      </c>
    </row>
    <row r="384" s="4" customFormat="1" spans="1:73">
      <c r="A384" s="4">
        <v>383</v>
      </c>
      <c r="B384" s="18">
        <v>67</v>
      </c>
      <c r="C384" s="4"/>
      <c r="D384" s="5" t="s">
        <v>290</v>
      </c>
      <c r="E384" s="4">
        <v>23.0297076161246</v>
      </c>
      <c r="F384" s="4">
        <v>-82.3579367237275</v>
      </c>
      <c r="G384" s="20">
        <v>24.9416675567627</v>
      </c>
      <c r="H384" s="21">
        <v>1340</v>
      </c>
      <c r="I384" s="4"/>
      <c r="J384" s="13" t="s">
        <v>181</v>
      </c>
      <c r="K384" s="5" t="s">
        <v>182</v>
      </c>
      <c r="L384" s="4"/>
      <c r="M384" s="4"/>
      <c r="N384" s="4"/>
      <c r="O384" s="4"/>
      <c r="P384" s="29">
        <v>5.75</v>
      </c>
      <c r="Q384" s="4">
        <v>15.544</v>
      </c>
      <c r="R384" s="12"/>
      <c r="S384" s="13"/>
      <c r="T384" s="21">
        <v>48</v>
      </c>
      <c r="U384" s="21">
        <v>17</v>
      </c>
      <c r="V384" s="21">
        <v>35</v>
      </c>
      <c r="W384" s="4"/>
      <c r="X384" s="4"/>
      <c r="Y384" s="5" t="s">
        <v>82</v>
      </c>
      <c r="Z384" s="4">
        <v>4</v>
      </c>
      <c r="AA384" s="4">
        <v>3</v>
      </c>
      <c r="AB384" s="9">
        <v>-0.914881288370922</v>
      </c>
      <c r="AC384" s="9">
        <v>0.000240694934289922</v>
      </c>
      <c r="AD384" s="9">
        <v>0.0818638700781731</v>
      </c>
      <c r="AE384" s="9">
        <v>0.00466622524298749</v>
      </c>
      <c r="AF384" s="9">
        <v>0.996745158449094</v>
      </c>
      <c r="AG384" s="9">
        <v>0.00490692017727741</v>
      </c>
      <c r="AH384" s="9">
        <v>-0.693147180559945</v>
      </c>
      <c r="AI384" s="9">
        <v>0.00607385811467444</v>
      </c>
      <c r="AJ384" s="4">
        <v>-0.221734107810978</v>
      </c>
      <c r="AK384" s="4">
        <v>0.00631455304896437</v>
      </c>
      <c r="AL384" s="4">
        <v>0.775011050638116</v>
      </c>
      <c r="AM384" s="4">
        <v>0.010740083357662</v>
      </c>
      <c r="AN384" s="4">
        <v>0.0913497785882278</v>
      </c>
      <c r="AO384" s="4">
        <v>0.000319577784538942</v>
      </c>
      <c r="AP384" s="4"/>
      <c r="AQ384" s="4"/>
      <c r="AR384" s="4"/>
      <c r="AS384" s="4"/>
      <c r="AT384" s="4"/>
      <c r="AU384" s="4"/>
      <c r="AV384" s="4"/>
      <c r="AW384" s="4"/>
      <c r="AX384" s="4"/>
      <c r="AY384" s="4"/>
      <c r="BN384" s="4">
        <v>-0.941905792971658</v>
      </c>
      <c r="BO384" s="4">
        <v>0.00607385811467446</v>
      </c>
      <c r="BT384" s="4">
        <v>-0.131401466366698</v>
      </c>
      <c r="BU384" s="4">
        <v>0.00720164609053501</v>
      </c>
    </row>
    <row r="385" s="4" customFormat="1" spans="1:53">
      <c r="A385" s="4">
        <v>384</v>
      </c>
      <c r="B385" s="18">
        <v>69</v>
      </c>
      <c r="C385" s="19" t="s">
        <v>291</v>
      </c>
      <c r="D385" s="5" t="s">
        <v>292</v>
      </c>
      <c r="E385" s="9">
        <v>52.6833</v>
      </c>
      <c r="F385" s="9">
        <v>8.23333</v>
      </c>
      <c r="G385" s="20">
        <v>8.7</v>
      </c>
      <c r="H385" s="21">
        <v>800</v>
      </c>
      <c r="I385" s="4"/>
      <c r="J385" s="13" t="s">
        <v>185</v>
      </c>
      <c r="K385" s="5" t="s">
        <v>182</v>
      </c>
      <c r="L385" s="4">
        <v>2008</v>
      </c>
      <c r="M385" s="4">
        <v>12</v>
      </c>
      <c r="N385" s="5" t="s">
        <v>79</v>
      </c>
      <c r="O385" s="36" t="s">
        <v>80</v>
      </c>
      <c r="P385" s="12"/>
      <c r="Q385" s="20"/>
      <c r="R385" s="12"/>
      <c r="S385" s="13"/>
      <c r="T385" s="21">
        <v>6</v>
      </c>
      <c r="U385" s="21">
        <v>40</v>
      </c>
      <c r="V385" s="21">
        <v>54</v>
      </c>
      <c r="W385" s="18">
        <v>219</v>
      </c>
      <c r="X385" s="5" t="s">
        <v>141</v>
      </c>
      <c r="Y385" s="5" t="s">
        <v>82</v>
      </c>
      <c r="Z385" s="4">
        <v>3</v>
      </c>
      <c r="AA385" s="44">
        <v>3</v>
      </c>
      <c r="AB385" s="9">
        <v>-0.390866308687012</v>
      </c>
      <c r="AC385" s="9">
        <v>0.000737171973478498</v>
      </c>
      <c r="AD385" s="9"/>
      <c r="AE385" s="9"/>
      <c r="AF385" s="9"/>
      <c r="AG385" s="9"/>
      <c r="AH385" s="9">
        <v>-0.0397331176224115</v>
      </c>
      <c r="AI385" s="9">
        <v>0.0281529030834929</v>
      </c>
      <c r="AJ385" s="4">
        <v>-0.351133191064607</v>
      </c>
      <c r="AK385" s="4">
        <v>0.0288900750569716</v>
      </c>
      <c r="AL385" s="4"/>
      <c r="AM385" s="4"/>
      <c r="AN385" s="4"/>
      <c r="AO385" s="4"/>
      <c r="AP385" s="4"/>
      <c r="AQ385" s="4"/>
      <c r="AR385" s="4"/>
      <c r="AS385" s="4"/>
      <c r="AT385" s="4"/>
      <c r="AU385" s="4"/>
      <c r="AV385" s="4"/>
      <c r="AW385" s="4"/>
      <c r="AX385" s="4"/>
      <c r="AY385" s="4"/>
      <c r="AZ385" s="4">
        <v>-0.177681177237452</v>
      </c>
      <c r="BA385" s="4">
        <v>0.00102880658436214</v>
      </c>
    </row>
    <row r="386" s="4" customFormat="1" spans="1:53">
      <c r="A386" s="4">
        <v>385</v>
      </c>
      <c r="B386" s="18">
        <v>69</v>
      </c>
      <c r="C386" s="19" t="s">
        <v>291</v>
      </c>
      <c r="D386" s="5" t="s">
        <v>292</v>
      </c>
      <c r="E386" s="9">
        <v>52.6833</v>
      </c>
      <c r="F386" s="9">
        <v>8.23333</v>
      </c>
      <c r="G386" s="20">
        <v>8.7</v>
      </c>
      <c r="H386" s="21">
        <v>800</v>
      </c>
      <c r="I386" s="4"/>
      <c r="J386" s="13" t="s">
        <v>185</v>
      </c>
      <c r="K386" s="5" t="s">
        <v>182</v>
      </c>
      <c r="L386" s="4">
        <v>2008</v>
      </c>
      <c r="M386" s="4">
        <v>12</v>
      </c>
      <c r="N386" s="5" t="s">
        <v>79</v>
      </c>
      <c r="O386" s="36" t="s">
        <v>80</v>
      </c>
      <c r="P386" s="12"/>
      <c r="Q386" s="20"/>
      <c r="R386" s="12"/>
      <c r="S386" s="13"/>
      <c r="T386" s="21">
        <v>6</v>
      </c>
      <c r="U386" s="21">
        <v>40</v>
      </c>
      <c r="V386" s="21">
        <v>54</v>
      </c>
      <c r="W386" s="18">
        <v>219</v>
      </c>
      <c r="X386" s="5" t="s">
        <v>141</v>
      </c>
      <c r="Y386" s="5" t="s">
        <v>82</v>
      </c>
      <c r="Z386" s="4">
        <v>3</v>
      </c>
      <c r="AA386" s="44">
        <v>3</v>
      </c>
      <c r="AB386" s="9">
        <v>-0.547435369378552</v>
      </c>
      <c r="AC386" s="9">
        <v>0.000526224746772365</v>
      </c>
      <c r="AD386" s="9"/>
      <c r="AE386" s="9"/>
      <c r="AF386" s="9"/>
      <c r="AG386" s="9"/>
      <c r="AH386" s="9">
        <v>-0.418624959634023</v>
      </c>
      <c r="AI386" s="9">
        <v>0.0036981905587403</v>
      </c>
      <c r="AJ386" s="4">
        <v>-0.128810409744532</v>
      </c>
      <c r="AK386" s="4">
        <v>0.00422441530551266</v>
      </c>
      <c r="AL386" s="4"/>
      <c r="AM386" s="4"/>
      <c r="AN386" s="4"/>
      <c r="AO386" s="4"/>
      <c r="AP386" s="4"/>
      <c r="AQ386" s="4"/>
      <c r="AR386" s="4"/>
      <c r="AS386" s="4"/>
      <c r="AT386" s="4"/>
      <c r="AU386" s="4"/>
      <c r="AV386" s="4"/>
      <c r="AW386" s="4"/>
      <c r="AX386" s="4"/>
      <c r="AY386" s="4"/>
      <c r="AZ386" s="4">
        <v>0.0046403795565023</v>
      </c>
      <c r="BA386" s="4">
        <v>0.00285779606767261</v>
      </c>
    </row>
    <row r="387" s="4" customFormat="1" spans="1:53">
      <c r="A387" s="4">
        <v>386</v>
      </c>
      <c r="B387" s="18">
        <v>69</v>
      </c>
      <c r="C387" s="19" t="s">
        <v>291</v>
      </c>
      <c r="D387" s="5" t="s">
        <v>292</v>
      </c>
      <c r="E387" s="9">
        <v>52.6833</v>
      </c>
      <c r="F387" s="9">
        <v>8.23333</v>
      </c>
      <c r="G387" s="20">
        <v>8.7</v>
      </c>
      <c r="H387" s="21">
        <v>800</v>
      </c>
      <c r="I387" s="4"/>
      <c r="J387" s="13" t="s">
        <v>188</v>
      </c>
      <c r="K387" s="5" t="s">
        <v>182</v>
      </c>
      <c r="L387" s="4">
        <v>2008</v>
      </c>
      <c r="M387" s="4">
        <v>12</v>
      </c>
      <c r="N387" s="5" t="s">
        <v>79</v>
      </c>
      <c r="O387" s="36" t="s">
        <v>80</v>
      </c>
      <c r="P387" s="12"/>
      <c r="Q387" s="20"/>
      <c r="R387" s="12"/>
      <c r="S387" s="13"/>
      <c r="T387" s="21">
        <v>6</v>
      </c>
      <c r="U387" s="21">
        <v>40</v>
      </c>
      <c r="V387" s="21">
        <v>54</v>
      </c>
      <c r="W387" s="18">
        <v>111</v>
      </c>
      <c r="X387" s="5" t="s">
        <v>141</v>
      </c>
      <c r="Y387" s="5" t="s">
        <v>82</v>
      </c>
      <c r="Z387" s="4">
        <v>3</v>
      </c>
      <c r="AA387" s="44">
        <v>3</v>
      </c>
      <c r="AB387" s="9">
        <v>-1.53393035992596</v>
      </c>
      <c r="AC387" s="9">
        <v>0.000662079652677674</v>
      </c>
      <c r="AD387" s="9"/>
      <c r="AE387" s="9"/>
      <c r="AF387" s="9"/>
      <c r="AG387" s="9"/>
      <c r="AH387" s="9">
        <v>-0.86000724116352</v>
      </c>
      <c r="AI387" s="9">
        <v>0.00105182659325203</v>
      </c>
      <c r="AJ387" s="4">
        <v>-0.673923118762438</v>
      </c>
      <c r="AK387" s="4">
        <v>0.00171390624592971</v>
      </c>
      <c r="AL387" s="4"/>
      <c r="AM387" s="4"/>
      <c r="AN387" s="4"/>
      <c r="AO387" s="4"/>
      <c r="AP387" s="4"/>
      <c r="AQ387" s="4"/>
      <c r="AR387" s="4"/>
      <c r="AS387" s="4"/>
      <c r="AT387" s="4"/>
      <c r="AU387" s="4"/>
      <c r="AV387" s="4"/>
      <c r="AW387" s="4"/>
      <c r="AX387" s="4"/>
      <c r="AY387" s="4"/>
      <c r="AZ387" s="4">
        <v>-1.09397190911161</v>
      </c>
      <c r="BA387" s="4">
        <v>0</v>
      </c>
    </row>
    <row r="388" s="4" customFormat="1" spans="1:53">
      <c r="A388" s="4">
        <v>387</v>
      </c>
      <c r="B388" s="18">
        <v>69</v>
      </c>
      <c r="C388" s="19" t="s">
        <v>291</v>
      </c>
      <c r="D388" s="5" t="s">
        <v>292</v>
      </c>
      <c r="E388" s="9">
        <v>52.6833</v>
      </c>
      <c r="F388" s="9">
        <v>8.23333</v>
      </c>
      <c r="G388" s="20">
        <v>8.7</v>
      </c>
      <c r="H388" s="21">
        <v>800</v>
      </c>
      <c r="I388" s="4"/>
      <c r="J388" s="13" t="s">
        <v>188</v>
      </c>
      <c r="K388" s="5" t="s">
        <v>182</v>
      </c>
      <c r="L388" s="4">
        <v>2008</v>
      </c>
      <c r="M388" s="4">
        <v>12</v>
      </c>
      <c r="N388" s="5" t="s">
        <v>79</v>
      </c>
      <c r="O388" s="36" t="s">
        <v>80</v>
      </c>
      <c r="P388" s="12"/>
      <c r="Q388" s="20"/>
      <c r="R388" s="12"/>
      <c r="S388" s="13"/>
      <c r="T388" s="21">
        <v>6</v>
      </c>
      <c r="U388" s="21">
        <v>40</v>
      </c>
      <c r="V388" s="21">
        <v>54</v>
      </c>
      <c r="W388" s="18">
        <v>111</v>
      </c>
      <c r="X388" s="5" t="s">
        <v>141</v>
      </c>
      <c r="Y388" s="5" t="s">
        <v>82</v>
      </c>
      <c r="Z388" s="4">
        <v>3</v>
      </c>
      <c r="AA388" s="44">
        <v>3</v>
      </c>
      <c r="AB388" s="9">
        <v>-1.36687627526279</v>
      </c>
      <c r="AC388" s="9">
        <v>0.000410776953822528</v>
      </c>
      <c r="AD388" s="9"/>
      <c r="AE388" s="9"/>
      <c r="AF388" s="9"/>
      <c r="AG388" s="9"/>
      <c r="AH388" s="9">
        <v>-1.18146042200102</v>
      </c>
      <c r="AI388" s="9">
        <v>0.00665698072887263</v>
      </c>
      <c r="AJ388" s="4">
        <v>-0.185415853261778</v>
      </c>
      <c r="AK388" s="4">
        <v>0.00706775768269523</v>
      </c>
      <c r="AL388" s="4"/>
      <c r="AM388" s="4"/>
      <c r="AN388" s="4"/>
      <c r="AO388" s="4"/>
      <c r="AP388" s="4"/>
      <c r="AQ388" s="4"/>
      <c r="AR388" s="4"/>
      <c r="AS388" s="4"/>
      <c r="AT388" s="4"/>
      <c r="AU388" s="4"/>
      <c r="AV388" s="4"/>
      <c r="AW388" s="4"/>
      <c r="AX388" s="4"/>
      <c r="AY388" s="4"/>
      <c r="AZ388" s="4">
        <v>-0.652139156832568</v>
      </c>
      <c r="BA388" s="4">
        <v>0.00265731292517007</v>
      </c>
    </row>
    <row r="389" s="4" customFormat="1" spans="1:53">
      <c r="A389" s="4">
        <v>388</v>
      </c>
      <c r="B389" s="18">
        <v>69</v>
      </c>
      <c r="C389" s="19" t="s">
        <v>291</v>
      </c>
      <c r="D389" s="5" t="s">
        <v>292</v>
      </c>
      <c r="E389" s="9">
        <v>52.6833</v>
      </c>
      <c r="F389" s="9">
        <v>8.23333</v>
      </c>
      <c r="G389" s="20">
        <v>8.7</v>
      </c>
      <c r="H389" s="21">
        <v>800</v>
      </c>
      <c r="I389" s="4"/>
      <c r="J389" s="13" t="s">
        <v>188</v>
      </c>
      <c r="K389" s="5" t="s">
        <v>182</v>
      </c>
      <c r="L389" s="4">
        <v>2008</v>
      </c>
      <c r="M389" s="4">
        <v>12</v>
      </c>
      <c r="N389" s="5" t="s">
        <v>79</v>
      </c>
      <c r="O389" s="36" t="s">
        <v>80</v>
      </c>
      <c r="P389" s="12"/>
      <c r="Q389" s="20"/>
      <c r="R389" s="12"/>
      <c r="S389" s="13"/>
      <c r="T389" s="21">
        <v>6</v>
      </c>
      <c r="U389" s="21">
        <v>40</v>
      </c>
      <c r="V389" s="21">
        <v>54</v>
      </c>
      <c r="W389" s="18">
        <v>111</v>
      </c>
      <c r="X389" s="5" t="s">
        <v>141</v>
      </c>
      <c r="Y389" s="5" t="s">
        <v>82</v>
      </c>
      <c r="Z389" s="4">
        <v>3</v>
      </c>
      <c r="AA389" s="44">
        <v>3</v>
      </c>
      <c r="AB389" s="9">
        <v>-1.07919420281101</v>
      </c>
      <c r="AC389" s="9">
        <v>0.000849085084438351</v>
      </c>
      <c r="AD389" s="9"/>
      <c r="AE389" s="9"/>
      <c r="AF389" s="9"/>
      <c r="AG389" s="9"/>
      <c r="AH389" s="9">
        <v>-0.913094138848528</v>
      </c>
      <c r="AI389" s="9">
        <v>0.00637778256869956</v>
      </c>
      <c r="AJ389" s="4">
        <v>-0.16610006396248</v>
      </c>
      <c r="AK389" s="4">
        <v>0.00722686765313787</v>
      </c>
      <c r="AL389" s="4"/>
      <c r="AM389" s="4"/>
      <c r="AN389" s="4"/>
      <c r="AO389" s="4"/>
      <c r="AP389" s="4"/>
      <c r="AQ389" s="4"/>
      <c r="AR389" s="4"/>
      <c r="AS389" s="4"/>
      <c r="AT389" s="4"/>
      <c r="AU389" s="4"/>
      <c r="AV389" s="4"/>
      <c r="AW389" s="4"/>
      <c r="AX389" s="4"/>
      <c r="AY389" s="4"/>
      <c r="AZ389" s="4">
        <v>-0.12889101306802</v>
      </c>
      <c r="BA389" s="4">
        <v>0.0009331578996482</v>
      </c>
    </row>
    <row r="390" s="4" customFormat="1" spans="1:53">
      <c r="A390" s="4">
        <v>389</v>
      </c>
      <c r="B390" s="18">
        <v>69</v>
      </c>
      <c r="C390" s="19" t="s">
        <v>291</v>
      </c>
      <c r="D390" s="5" t="s">
        <v>292</v>
      </c>
      <c r="E390" s="9">
        <v>52.6833</v>
      </c>
      <c r="F390" s="9">
        <v>8.23333</v>
      </c>
      <c r="G390" s="20">
        <v>8.7</v>
      </c>
      <c r="H390" s="21">
        <v>800</v>
      </c>
      <c r="I390" s="4"/>
      <c r="J390" s="13" t="s">
        <v>188</v>
      </c>
      <c r="K390" s="5" t="s">
        <v>182</v>
      </c>
      <c r="L390" s="4">
        <v>2008</v>
      </c>
      <c r="M390" s="4">
        <v>12</v>
      </c>
      <c r="N390" s="5" t="s">
        <v>79</v>
      </c>
      <c r="O390" s="36" t="s">
        <v>80</v>
      </c>
      <c r="P390" s="12"/>
      <c r="Q390" s="20"/>
      <c r="R390" s="12"/>
      <c r="S390" s="13"/>
      <c r="T390" s="21">
        <v>6</v>
      </c>
      <c r="U390" s="21">
        <v>40</v>
      </c>
      <c r="V390" s="21">
        <v>54</v>
      </c>
      <c r="W390" s="18">
        <v>111</v>
      </c>
      <c r="X390" s="5" t="s">
        <v>141</v>
      </c>
      <c r="Y390" s="5" t="s">
        <v>82</v>
      </c>
      <c r="Z390" s="4">
        <v>3</v>
      </c>
      <c r="AA390" s="44">
        <v>3</v>
      </c>
      <c r="AB390" s="9">
        <v>-1.2576769832978</v>
      </c>
      <c r="AC390" s="9">
        <v>0.000752341984859799</v>
      </c>
      <c r="AD390" s="9"/>
      <c r="AE390" s="9"/>
      <c r="AF390" s="9"/>
      <c r="AG390" s="9"/>
      <c r="AH390" s="9">
        <v>-1.32925453607344</v>
      </c>
      <c r="AI390" s="9">
        <v>0.00492282635478609</v>
      </c>
      <c r="AJ390" s="4">
        <v>0.0715775527756426</v>
      </c>
      <c r="AK390" s="4">
        <v>0.00567516833964585</v>
      </c>
      <c r="AL390" s="4"/>
      <c r="AM390" s="4"/>
      <c r="AN390" s="4"/>
      <c r="AO390" s="4"/>
      <c r="AP390" s="4"/>
      <c r="AQ390" s="4"/>
      <c r="AR390" s="4"/>
      <c r="AS390" s="4"/>
      <c r="AT390" s="4"/>
      <c r="AU390" s="4"/>
      <c r="AV390" s="4"/>
      <c r="AW390" s="4"/>
      <c r="AX390" s="4"/>
      <c r="AY390" s="4"/>
      <c r="AZ390" s="4">
        <v>-0.558453672755245</v>
      </c>
      <c r="BA390" s="4">
        <v>0</v>
      </c>
    </row>
    <row r="391" s="4" customFormat="1" spans="1:53">
      <c r="A391" s="4">
        <v>390</v>
      </c>
      <c r="B391" s="18">
        <v>69</v>
      </c>
      <c r="C391" s="19" t="s">
        <v>291</v>
      </c>
      <c r="D391" s="5" t="s">
        <v>292</v>
      </c>
      <c r="E391" s="9">
        <v>52.6833</v>
      </c>
      <c r="F391" s="9">
        <v>8.23333</v>
      </c>
      <c r="G391" s="20">
        <v>8.7</v>
      </c>
      <c r="H391" s="21">
        <v>800</v>
      </c>
      <c r="I391" s="4"/>
      <c r="J391" s="13" t="s">
        <v>188</v>
      </c>
      <c r="K391" s="5" t="s">
        <v>182</v>
      </c>
      <c r="L391" s="4">
        <v>2008</v>
      </c>
      <c r="M391" s="4">
        <v>12</v>
      </c>
      <c r="N391" s="5" t="s">
        <v>79</v>
      </c>
      <c r="O391" s="36" t="s">
        <v>80</v>
      </c>
      <c r="P391" s="12"/>
      <c r="Q391" s="20"/>
      <c r="R391" s="12"/>
      <c r="S391" s="13"/>
      <c r="T391" s="21">
        <v>6</v>
      </c>
      <c r="U391" s="21">
        <v>40</v>
      </c>
      <c r="V391" s="21">
        <v>54</v>
      </c>
      <c r="W391" s="18">
        <v>111</v>
      </c>
      <c r="X391" s="5" t="s">
        <v>141</v>
      </c>
      <c r="Y391" s="5" t="s">
        <v>82</v>
      </c>
      <c r="Z391" s="4">
        <v>3</v>
      </c>
      <c r="AA391" s="44">
        <v>3</v>
      </c>
      <c r="AB391" s="9">
        <v>-1.29276830310907</v>
      </c>
      <c r="AC391" s="9">
        <v>0.00267080325231036</v>
      </c>
      <c r="AD391" s="9"/>
      <c r="AE391" s="9"/>
      <c r="AF391" s="9"/>
      <c r="AG391" s="9"/>
      <c r="AH391" s="9">
        <v>-1.08063189945825</v>
      </c>
      <c r="AI391" s="9">
        <v>0.00105790074952917</v>
      </c>
      <c r="AJ391" s="4">
        <v>-0.212136403650826</v>
      </c>
      <c r="AK391" s="4">
        <v>0.00372870400183954</v>
      </c>
      <c r="AL391" s="4"/>
      <c r="AM391" s="4"/>
      <c r="AN391" s="4"/>
      <c r="AO391" s="4"/>
      <c r="AP391" s="4"/>
      <c r="AQ391" s="4"/>
      <c r="AR391" s="4"/>
      <c r="AS391" s="4"/>
      <c r="AT391" s="4"/>
      <c r="AU391" s="4"/>
      <c r="AV391" s="4"/>
      <c r="AW391" s="4"/>
      <c r="AX391" s="4"/>
      <c r="AY391" s="4"/>
      <c r="AZ391" s="4">
        <v>-0.697809193665756</v>
      </c>
      <c r="BA391" s="4">
        <v>0</v>
      </c>
    </row>
    <row r="392" s="4" customFormat="1" spans="1:53">
      <c r="A392" s="4">
        <v>391</v>
      </c>
      <c r="B392" s="18">
        <v>69</v>
      </c>
      <c r="C392" s="19" t="s">
        <v>291</v>
      </c>
      <c r="D392" s="5" t="s">
        <v>292</v>
      </c>
      <c r="E392" s="9">
        <v>52.6833</v>
      </c>
      <c r="F392" s="9">
        <v>8.23333</v>
      </c>
      <c r="G392" s="20">
        <v>8.7</v>
      </c>
      <c r="H392" s="21">
        <v>800</v>
      </c>
      <c r="I392" s="4"/>
      <c r="J392" s="13" t="s">
        <v>188</v>
      </c>
      <c r="K392" s="5" t="s">
        <v>182</v>
      </c>
      <c r="L392" s="4">
        <v>2008</v>
      </c>
      <c r="M392" s="4">
        <v>12</v>
      </c>
      <c r="N392" s="5" t="s">
        <v>79</v>
      </c>
      <c r="O392" s="36" t="s">
        <v>80</v>
      </c>
      <c r="P392" s="12"/>
      <c r="Q392" s="20"/>
      <c r="R392" s="12"/>
      <c r="S392" s="13"/>
      <c r="T392" s="21">
        <v>6</v>
      </c>
      <c r="U392" s="21">
        <v>40</v>
      </c>
      <c r="V392" s="21">
        <v>54</v>
      </c>
      <c r="W392" s="18">
        <v>111</v>
      </c>
      <c r="X392" s="5" t="s">
        <v>141</v>
      </c>
      <c r="Y392" s="5" t="s">
        <v>82</v>
      </c>
      <c r="Z392" s="4">
        <v>3</v>
      </c>
      <c r="AA392" s="44">
        <v>3</v>
      </c>
      <c r="AB392" s="9">
        <v>-0.166757040252843</v>
      </c>
      <c r="AC392" s="9">
        <v>0.000375864905248466</v>
      </c>
      <c r="AD392" s="9"/>
      <c r="AE392" s="9"/>
      <c r="AF392" s="9"/>
      <c r="AG392" s="9"/>
      <c r="AH392" s="9">
        <v>-0.882967433445021</v>
      </c>
      <c r="AI392" s="9">
        <v>0.0117135911830899</v>
      </c>
      <c r="AJ392" s="4">
        <v>0.716210393192175</v>
      </c>
      <c r="AK392" s="4">
        <v>0.0120894560883384</v>
      </c>
      <c r="AL392" s="4"/>
      <c r="AM392" s="4"/>
      <c r="AN392" s="4"/>
      <c r="AO392" s="4"/>
      <c r="AP392" s="4"/>
      <c r="AQ392" s="4"/>
      <c r="AR392" s="4"/>
      <c r="AS392" s="4"/>
      <c r="AT392" s="4"/>
      <c r="AU392" s="4"/>
      <c r="AV392" s="4"/>
      <c r="AW392" s="4"/>
      <c r="AX392" s="4"/>
      <c r="AY392" s="4"/>
      <c r="AZ392" s="4">
        <v>-0.301733825907431</v>
      </c>
      <c r="BA392" s="4">
        <v>0.0118666192001899</v>
      </c>
    </row>
    <row r="393" s="4" customFormat="1" spans="1:53">
      <c r="A393" s="4">
        <v>392</v>
      </c>
      <c r="B393" s="18">
        <v>69</v>
      </c>
      <c r="C393" s="19" t="s">
        <v>291</v>
      </c>
      <c r="D393" s="5" t="s">
        <v>292</v>
      </c>
      <c r="E393" s="9">
        <v>52.6833</v>
      </c>
      <c r="F393" s="9">
        <v>8.23333</v>
      </c>
      <c r="G393" s="20">
        <v>8.7</v>
      </c>
      <c r="H393" s="21">
        <v>800</v>
      </c>
      <c r="I393" s="4"/>
      <c r="J393" s="13" t="s">
        <v>185</v>
      </c>
      <c r="K393" s="5" t="s">
        <v>182</v>
      </c>
      <c r="L393" s="4">
        <v>2008</v>
      </c>
      <c r="M393" s="4">
        <v>12</v>
      </c>
      <c r="N393" s="5" t="s">
        <v>79</v>
      </c>
      <c r="O393" s="36" t="s">
        <v>80</v>
      </c>
      <c r="P393" s="12"/>
      <c r="Q393" s="20"/>
      <c r="R393" s="12"/>
      <c r="S393" s="13"/>
      <c r="T393" s="21">
        <v>6</v>
      </c>
      <c r="U393" s="21">
        <v>40</v>
      </c>
      <c r="V393" s="21">
        <v>54</v>
      </c>
      <c r="W393" s="18">
        <v>111</v>
      </c>
      <c r="X393" s="5" t="s">
        <v>141</v>
      </c>
      <c r="Y393" s="5" t="s">
        <v>82</v>
      </c>
      <c r="Z393" s="4">
        <v>3</v>
      </c>
      <c r="AA393" s="44">
        <v>3</v>
      </c>
      <c r="AB393" s="9">
        <v>0.496436886313891</v>
      </c>
      <c r="AC393" s="9">
        <v>0.000465167746951286</v>
      </c>
      <c r="AD393" s="9"/>
      <c r="AE393" s="9"/>
      <c r="AF393" s="9"/>
      <c r="AG393" s="9"/>
      <c r="AH393" s="9">
        <v>0.337583347846636</v>
      </c>
      <c r="AI393" s="9">
        <v>0.0328915296352816</v>
      </c>
      <c r="AJ393" s="4">
        <v>0.158853538467252</v>
      </c>
      <c r="AK393" s="4">
        <v>0.0333566973822331</v>
      </c>
      <c r="AL393" s="4"/>
      <c r="AM393" s="4"/>
      <c r="AN393" s="4"/>
      <c r="AO393" s="4"/>
      <c r="AP393" s="4"/>
      <c r="AQ393" s="4"/>
      <c r="AR393" s="4"/>
      <c r="AS393" s="4"/>
      <c r="AT393" s="4"/>
      <c r="AU393" s="4"/>
      <c r="AV393" s="4"/>
      <c r="AW393" s="4"/>
      <c r="AX393" s="4"/>
      <c r="AY393" s="4"/>
      <c r="AZ393" s="4">
        <v>0.117783035656383</v>
      </c>
      <c r="BA393" s="4">
        <v>0.00102880658436214</v>
      </c>
    </row>
    <row r="394" s="4" customFormat="1" spans="1:53">
      <c r="A394" s="4">
        <v>393</v>
      </c>
      <c r="B394" s="18">
        <v>69</v>
      </c>
      <c r="C394" s="19" t="s">
        <v>291</v>
      </c>
      <c r="D394" s="5" t="s">
        <v>292</v>
      </c>
      <c r="E394" s="9">
        <v>52.6833</v>
      </c>
      <c r="F394" s="9">
        <v>8.23333</v>
      </c>
      <c r="G394" s="20">
        <v>8.7</v>
      </c>
      <c r="H394" s="21">
        <v>800</v>
      </c>
      <c r="I394" s="4"/>
      <c r="J394" s="13" t="s">
        <v>185</v>
      </c>
      <c r="K394" s="5" t="s">
        <v>182</v>
      </c>
      <c r="L394" s="4">
        <v>2008</v>
      </c>
      <c r="M394" s="4">
        <v>12</v>
      </c>
      <c r="N394" s="5" t="s">
        <v>79</v>
      </c>
      <c r="O394" s="36" t="s">
        <v>80</v>
      </c>
      <c r="P394" s="12"/>
      <c r="Q394" s="20"/>
      <c r="R394" s="12"/>
      <c r="S394" s="13"/>
      <c r="T394" s="21">
        <v>6</v>
      </c>
      <c r="U394" s="21">
        <v>40</v>
      </c>
      <c r="V394" s="21">
        <v>54</v>
      </c>
      <c r="W394" s="18">
        <v>111</v>
      </c>
      <c r="X394" s="5" t="s">
        <v>141</v>
      </c>
      <c r="Y394" s="5" t="s">
        <v>82</v>
      </c>
      <c r="Z394" s="4">
        <v>3</v>
      </c>
      <c r="AA394" s="44">
        <v>3</v>
      </c>
      <c r="AB394" s="9">
        <v>0.339867825622351</v>
      </c>
      <c r="AC394" s="9">
        <v>0.000254220520245153</v>
      </c>
      <c r="AD394" s="9"/>
      <c r="AE394" s="9"/>
      <c r="AF394" s="9"/>
      <c r="AG394" s="9"/>
      <c r="AH394" s="9">
        <v>-0.0413084941649758</v>
      </c>
      <c r="AI394" s="9">
        <v>0.00843681711052905</v>
      </c>
      <c r="AJ394" s="4">
        <v>0.381176319787326</v>
      </c>
      <c r="AK394" s="4">
        <v>0.00869103763077423</v>
      </c>
      <c r="AL394" s="4"/>
      <c r="AM394" s="4"/>
      <c r="AN394" s="4"/>
      <c r="AO394" s="4"/>
      <c r="AP394" s="4"/>
      <c r="AQ394" s="4"/>
      <c r="AR394" s="4"/>
      <c r="AS394" s="4"/>
      <c r="AT394" s="4"/>
      <c r="AU394" s="4"/>
      <c r="AV394" s="4"/>
      <c r="AW394" s="4"/>
      <c r="AX394" s="4"/>
      <c r="AY394" s="4"/>
      <c r="AZ394" s="4">
        <v>0.300104592450338</v>
      </c>
      <c r="BA394" s="4">
        <v>0.00285779606767261</v>
      </c>
    </row>
    <row r="395" s="4" customFormat="1" spans="1:53">
      <c r="A395" s="4">
        <v>394</v>
      </c>
      <c r="B395" s="18">
        <v>69</v>
      </c>
      <c r="C395" s="19" t="s">
        <v>291</v>
      </c>
      <c r="D395" s="5" t="s">
        <v>292</v>
      </c>
      <c r="E395" s="9">
        <v>52.6833</v>
      </c>
      <c r="F395" s="9">
        <v>8.23333</v>
      </c>
      <c r="G395" s="20">
        <v>8.7</v>
      </c>
      <c r="H395" s="21">
        <v>800</v>
      </c>
      <c r="I395" s="4"/>
      <c r="J395" s="13" t="s">
        <v>188</v>
      </c>
      <c r="K395" s="5" t="s">
        <v>182</v>
      </c>
      <c r="L395" s="4">
        <v>2009</v>
      </c>
      <c r="M395" s="4">
        <v>12</v>
      </c>
      <c r="N395" s="5" t="s">
        <v>79</v>
      </c>
      <c r="O395" s="36" t="s">
        <v>80</v>
      </c>
      <c r="P395" s="12"/>
      <c r="Q395" s="20"/>
      <c r="R395" s="12"/>
      <c r="S395" s="13"/>
      <c r="T395" s="21">
        <v>6</v>
      </c>
      <c r="U395" s="21">
        <v>40</v>
      </c>
      <c r="V395" s="21">
        <v>54</v>
      </c>
      <c r="W395" s="18">
        <v>111</v>
      </c>
      <c r="X395" s="5" t="s">
        <v>141</v>
      </c>
      <c r="Y395" s="5" t="s">
        <v>82</v>
      </c>
      <c r="Z395" s="4">
        <v>3</v>
      </c>
      <c r="AA395" s="44">
        <v>3</v>
      </c>
      <c r="AB395" s="9">
        <v>-0.646627164925052</v>
      </c>
      <c r="AC395" s="9">
        <v>0.000390075426150462</v>
      </c>
      <c r="AD395" s="9"/>
      <c r="AE395" s="9"/>
      <c r="AF395" s="9"/>
      <c r="AG395" s="9"/>
      <c r="AH395" s="9">
        <v>-0.482690775694472</v>
      </c>
      <c r="AI395" s="9">
        <v>0.00579045314504078</v>
      </c>
      <c r="AJ395" s="4">
        <v>-0.16393638923058</v>
      </c>
      <c r="AK395" s="4">
        <v>0.00618052857119128</v>
      </c>
      <c r="AL395" s="4"/>
      <c r="AM395" s="4"/>
      <c r="AN395" s="4"/>
      <c r="AO395" s="4"/>
      <c r="AP395" s="4"/>
      <c r="AQ395" s="4"/>
      <c r="AR395" s="4"/>
      <c r="AS395" s="4"/>
      <c r="AT395" s="4"/>
      <c r="AU395" s="4"/>
      <c r="AV395" s="4"/>
      <c r="AW395" s="4"/>
      <c r="AX395" s="4"/>
      <c r="AY395" s="4"/>
      <c r="AZ395" s="4">
        <v>-0.798507696217772</v>
      </c>
      <c r="BA395" s="4">
        <v>0</v>
      </c>
    </row>
    <row r="396" s="4" customFormat="1" spans="1:53">
      <c r="A396" s="4">
        <v>395</v>
      </c>
      <c r="B396" s="18">
        <v>69</v>
      </c>
      <c r="C396" s="19" t="s">
        <v>291</v>
      </c>
      <c r="D396" s="5" t="s">
        <v>292</v>
      </c>
      <c r="E396" s="9">
        <v>52.6833</v>
      </c>
      <c r="F396" s="9">
        <v>8.23333</v>
      </c>
      <c r="G396" s="20">
        <v>8.7</v>
      </c>
      <c r="H396" s="21">
        <v>800</v>
      </c>
      <c r="I396" s="4"/>
      <c r="J396" s="13" t="s">
        <v>188</v>
      </c>
      <c r="K396" s="5" t="s">
        <v>182</v>
      </c>
      <c r="L396" s="4">
        <v>2010</v>
      </c>
      <c r="M396" s="4">
        <v>12</v>
      </c>
      <c r="N396" s="5" t="s">
        <v>79</v>
      </c>
      <c r="O396" s="36" t="s">
        <v>80</v>
      </c>
      <c r="P396" s="12"/>
      <c r="Q396" s="20"/>
      <c r="R396" s="12"/>
      <c r="S396" s="13"/>
      <c r="T396" s="21">
        <v>6</v>
      </c>
      <c r="U396" s="21">
        <v>40</v>
      </c>
      <c r="V396" s="21">
        <v>54</v>
      </c>
      <c r="W396" s="18">
        <v>111</v>
      </c>
      <c r="X396" s="5" t="s">
        <v>141</v>
      </c>
      <c r="Y396" s="5" t="s">
        <v>82</v>
      </c>
      <c r="Z396" s="4">
        <v>3</v>
      </c>
      <c r="AA396" s="44">
        <v>3</v>
      </c>
      <c r="AB396" s="9">
        <v>-0.479573080261886</v>
      </c>
      <c r="AC396" s="9">
        <v>0.000138772727295316</v>
      </c>
      <c r="AD396" s="9"/>
      <c r="AE396" s="9"/>
      <c r="AF396" s="9"/>
      <c r="AG396" s="9"/>
      <c r="AH396" s="9">
        <v>-0.80414395653197</v>
      </c>
      <c r="AI396" s="9">
        <v>0.0113956072806614</v>
      </c>
      <c r="AJ396" s="4">
        <v>0.32457087627008</v>
      </c>
      <c r="AK396" s="4">
        <v>0.0115343800079568</v>
      </c>
      <c r="AL396" s="4"/>
      <c r="AM396" s="4"/>
      <c r="AN396" s="4"/>
      <c r="AO396" s="4"/>
      <c r="AP396" s="4"/>
      <c r="AQ396" s="4"/>
      <c r="AR396" s="4"/>
      <c r="AS396" s="4"/>
      <c r="AT396" s="4"/>
      <c r="AU396" s="4"/>
      <c r="AV396" s="4"/>
      <c r="AW396" s="4"/>
      <c r="AX396" s="4"/>
      <c r="AY396" s="4"/>
      <c r="AZ396" s="4">
        <v>-0.356674943938732</v>
      </c>
      <c r="BA396" s="4">
        <v>0.00265731292517007</v>
      </c>
    </row>
    <row r="397" s="4" customFormat="1" spans="1:53">
      <c r="A397" s="4">
        <v>396</v>
      </c>
      <c r="B397" s="18">
        <v>69</v>
      </c>
      <c r="C397" s="19" t="s">
        <v>291</v>
      </c>
      <c r="D397" s="5" t="s">
        <v>292</v>
      </c>
      <c r="E397" s="9">
        <v>52.6833</v>
      </c>
      <c r="F397" s="9">
        <v>8.23333</v>
      </c>
      <c r="G397" s="20">
        <v>8.7</v>
      </c>
      <c r="H397" s="21">
        <v>800</v>
      </c>
      <c r="I397" s="4"/>
      <c r="J397" s="13" t="s">
        <v>188</v>
      </c>
      <c r="K397" s="5" t="s">
        <v>182</v>
      </c>
      <c r="L397" s="4">
        <v>2011</v>
      </c>
      <c r="M397" s="4">
        <v>12</v>
      </c>
      <c r="N397" s="5" t="s">
        <v>79</v>
      </c>
      <c r="O397" s="36" t="s">
        <v>80</v>
      </c>
      <c r="P397" s="12"/>
      <c r="Q397" s="20"/>
      <c r="R397" s="12"/>
      <c r="S397" s="13"/>
      <c r="T397" s="21">
        <v>6</v>
      </c>
      <c r="U397" s="21">
        <v>40</v>
      </c>
      <c r="V397" s="21">
        <v>54</v>
      </c>
      <c r="W397" s="18">
        <v>111</v>
      </c>
      <c r="X397" s="5" t="s">
        <v>141</v>
      </c>
      <c r="Y397" s="5" t="s">
        <v>82</v>
      </c>
      <c r="Z397" s="4">
        <v>3</v>
      </c>
      <c r="AA397" s="44">
        <v>3</v>
      </c>
      <c r="AB397" s="9">
        <v>-0.191891007810105</v>
      </c>
      <c r="AC397" s="9">
        <v>0.000577080857911139</v>
      </c>
      <c r="AD397" s="9"/>
      <c r="AE397" s="9"/>
      <c r="AF397" s="9"/>
      <c r="AG397" s="9"/>
      <c r="AH397" s="9">
        <v>-0.53577767337948</v>
      </c>
      <c r="AI397" s="9">
        <v>0.0111164091204883</v>
      </c>
      <c r="AJ397" s="4">
        <v>0.343886665569379</v>
      </c>
      <c r="AK397" s="4">
        <v>0.0116934899783994</v>
      </c>
      <c r="AL397" s="4"/>
      <c r="AM397" s="4"/>
      <c r="AN397" s="4"/>
      <c r="AO397" s="4"/>
      <c r="AP397" s="4"/>
      <c r="AQ397" s="4"/>
      <c r="AR397" s="4"/>
      <c r="AS397" s="4"/>
      <c r="AT397" s="4"/>
      <c r="AU397" s="4"/>
      <c r="AV397" s="4"/>
      <c r="AW397" s="4"/>
      <c r="AX397" s="4"/>
      <c r="AY397" s="4"/>
      <c r="AZ397" s="4">
        <v>0.166573199825815</v>
      </c>
      <c r="BA397" s="4">
        <v>0.0009331578996482</v>
      </c>
    </row>
    <row r="398" s="4" customFormat="1" spans="1:53">
      <c r="A398" s="4">
        <v>397</v>
      </c>
      <c r="B398" s="18">
        <v>69</v>
      </c>
      <c r="C398" s="19" t="s">
        <v>291</v>
      </c>
      <c r="D398" s="5" t="s">
        <v>292</v>
      </c>
      <c r="E398" s="9">
        <v>52.6833</v>
      </c>
      <c r="F398" s="9">
        <v>8.23333</v>
      </c>
      <c r="G398" s="20">
        <v>8.7</v>
      </c>
      <c r="H398" s="21">
        <v>800</v>
      </c>
      <c r="I398" s="4"/>
      <c r="J398" s="13" t="s">
        <v>188</v>
      </c>
      <c r="K398" s="5" t="s">
        <v>182</v>
      </c>
      <c r="L398" s="4">
        <v>2012</v>
      </c>
      <c r="M398" s="4">
        <v>12</v>
      </c>
      <c r="N398" s="5" t="s">
        <v>79</v>
      </c>
      <c r="O398" s="36" t="s">
        <v>80</v>
      </c>
      <c r="P398" s="12"/>
      <c r="Q398" s="20"/>
      <c r="R398" s="12"/>
      <c r="S398" s="13"/>
      <c r="T398" s="21">
        <v>6</v>
      </c>
      <c r="U398" s="21">
        <v>40</v>
      </c>
      <c r="V398" s="21">
        <v>54</v>
      </c>
      <c r="W398" s="18">
        <v>111</v>
      </c>
      <c r="X398" s="5" t="s">
        <v>141</v>
      </c>
      <c r="Y398" s="5" t="s">
        <v>82</v>
      </c>
      <c r="Z398" s="4">
        <v>3</v>
      </c>
      <c r="AA398" s="44">
        <v>3</v>
      </c>
      <c r="AB398" s="9">
        <v>-0.370373788296894</v>
      </c>
      <c r="AC398" s="9">
        <v>0.000480337758332587</v>
      </c>
      <c r="AD398" s="9"/>
      <c r="AE398" s="9"/>
      <c r="AF398" s="9"/>
      <c r="AG398" s="9"/>
      <c r="AH398" s="9">
        <v>-0.951938070604393</v>
      </c>
      <c r="AI398" s="9">
        <v>0.00966145290657484</v>
      </c>
      <c r="AJ398" s="4">
        <v>0.581564282307501</v>
      </c>
      <c r="AK398" s="4">
        <v>0.0101417906649074</v>
      </c>
      <c r="AL398" s="4"/>
      <c r="AM398" s="4"/>
      <c r="AN398" s="4"/>
      <c r="AO398" s="4"/>
      <c r="AP398" s="4"/>
      <c r="AQ398" s="4"/>
      <c r="AR398" s="4"/>
      <c r="AS398" s="4"/>
      <c r="AT398" s="4"/>
      <c r="AU398" s="4"/>
      <c r="AV398" s="4"/>
      <c r="AW398" s="4"/>
      <c r="AX398" s="4"/>
      <c r="AY398" s="4"/>
      <c r="AZ398" s="4">
        <v>-0.26298945986141</v>
      </c>
      <c r="BA398" s="4">
        <v>0</v>
      </c>
    </row>
    <row r="399" s="4" customFormat="1" spans="1:53">
      <c r="A399" s="4">
        <v>398</v>
      </c>
      <c r="B399" s="18">
        <v>69</v>
      </c>
      <c r="C399" s="19" t="s">
        <v>291</v>
      </c>
      <c r="D399" s="5" t="s">
        <v>292</v>
      </c>
      <c r="E399" s="9">
        <v>52.6833</v>
      </c>
      <c r="F399" s="9">
        <v>8.23333</v>
      </c>
      <c r="G399" s="20">
        <v>8.7</v>
      </c>
      <c r="H399" s="21">
        <v>800</v>
      </c>
      <c r="I399" s="4"/>
      <c r="J399" s="13" t="s">
        <v>188</v>
      </c>
      <c r="K399" s="5" t="s">
        <v>182</v>
      </c>
      <c r="L399" s="4">
        <v>2013</v>
      </c>
      <c r="M399" s="4">
        <v>12</v>
      </c>
      <c r="N399" s="5" t="s">
        <v>79</v>
      </c>
      <c r="O399" s="36" t="s">
        <v>80</v>
      </c>
      <c r="P399" s="12"/>
      <c r="Q399" s="20"/>
      <c r="R399" s="12"/>
      <c r="S399" s="13"/>
      <c r="T399" s="21">
        <v>6</v>
      </c>
      <c r="U399" s="21">
        <v>40</v>
      </c>
      <c r="V399" s="21">
        <v>54</v>
      </c>
      <c r="W399" s="18">
        <v>111</v>
      </c>
      <c r="X399" s="5" t="s">
        <v>141</v>
      </c>
      <c r="Y399" s="5" t="s">
        <v>82</v>
      </c>
      <c r="Z399" s="4">
        <v>3</v>
      </c>
      <c r="AA399" s="44">
        <v>3</v>
      </c>
      <c r="AB399" s="9">
        <v>-0.405465108108164</v>
      </c>
      <c r="AC399" s="9">
        <v>0.00239879902578315</v>
      </c>
      <c r="AD399" s="9"/>
      <c r="AE399" s="9"/>
      <c r="AF399" s="9"/>
      <c r="AG399" s="9"/>
      <c r="AH399" s="9">
        <v>-0.703315433989198</v>
      </c>
      <c r="AI399" s="9">
        <v>0.00579652730131792</v>
      </c>
      <c r="AJ399" s="4">
        <v>0.297850325881032</v>
      </c>
      <c r="AK399" s="4">
        <v>0.00819532632710112</v>
      </c>
      <c r="AL399" s="4"/>
      <c r="AM399" s="4"/>
      <c r="AN399" s="4"/>
      <c r="AO399" s="4"/>
      <c r="AP399" s="4"/>
      <c r="AQ399" s="4"/>
      <c r="AR399" s="4"/>
      <c r="AS399" s="4"/>
      <c r="AT399" s="4"/>
      <c r="AU399" s="4"/>
      <c r="AV399" s="4"/>
      <c r="AW399" s="4"/>
      <c r="AX399" s="4"/>
      <c r="AY399" s="4"/>
      <c r="AZ399" s="4">
        <v>-0.402344980771921</v>
      </c>
      <c r="BA399" s="4">
        <v>0</v>
      </c>
    </row>
    <row r="400" s="4" customFormat="1" spans="1:53">
      <c r="A400" s="4">
        <v>399</v>
      </c>
      <c r="B400" s="18">
        <v>69</v>
      </c>
      <c r="C400" s="19" t="s">
        <v>291</v>
      </c>
      <c r="D400" s="5" t="s">
        <v>292</v>
      </c>
      <c r="E400" s="9">
        <v>52.6833</v>
      </c>
      <c r="F400" s="9">
        <v>8.23333</v>
      </c>
      <c r="G400" s="20">
        <v>8.7</v>
      </c>
      <c r="H400" s="21">
        <v>800</v>
      </c>
      <c r="I400" s="4"/>
      <c r="J400" s="13" t="s">
        <v>188</v>
      </c>
      <c r="K400" s="5" t="s">
        <v>182</v>
      </c>
      <c r="L400" s="4">
        <v>2014</v>
      </c>
      <c r="M400" s="4">
        <v>12</v>
      </c>
      <c r="N400" s="5" t="s">
        <v>79</v>
      </c>
      <c r="O400" s="36" t="s">
        <v>80</v>
      </c>
      <c r="P400" s="12"/>
      <c r="Q400" s="20"/>
      <c r="R400" s="12"/>
      <c r="S400" s="13"/>
      <c r="T400" s="21">
        <v>6</v>
      </c>
      <c r="U400" s="21">
        <v>40</v>
      </c>
      <c r="V400" s="21">
        <v>54</v>
      </c>
      <c r="W400" s="18">
        <v>111</v>
      </c>
      <c r="X400" s="5" t="s">
        <v>141</v>
      </c>
      <c r="Y400" s="5" t="s">
        <v>82</v>
      </c>
      <c r="Z400" s="4">
        <v>3</v>
      </c>
      <c r="AA400" s="44">
        <v>3</v>
      </c>
      <c r="AB400" s="9">
        <v>0.72054615474806</v>
      </c>
      <c r="AC400" s="9">
        <v>0.000103860678721254</v>
      </c>
      <c r="AD400" s="9"/>
      <c r="AE400" s="9"/>
      <c r="AF400" s="9"/>
      <c r="AG400" s="9"/>
      <c r="AH400" s="9">
        <v>-0.505650967975973</v>
      </c>
      <c r="AI400" s="9">
        <v>0.0164522177348787</v>
      </c>
      <c r="AJ400" s="4">
        <v>1.22619712272403</v>
      </c>
      <c r="AK400" s="4">
        <v>0.0165560784136</v>
      </c>
      <c r="AL400" s="4"/>
      <c r="AM400" s="4"/>
      <c r="AN400" s="4"/>
      <c r="AO400" s="4"/>
      <c r="AP400" s="4"/>
      <c r="AQ400" s="4"/>
      <c r="AR400" s="4"/>
      <c r="AS400" s="4"/>
      <c r="AT400" s="4"/>
      <c r="AU400" s="4"/>
      <c r="AV400" s="4"/>
      <c r="AW400" s="4"/>
      <c r="AX400" s="4"/>
      <c r="AY400" s="4"/>
      <c r="AZ400" s="4">
        <v>-0.00626961301359537</v>
      </c>
      <c r="BA400" s="4">
        <v>0.0118666192001899</v>
      </c>
    </row>
    <row r="401" s="4" customFormat="1" spans="1:71">
      <c r="A401" s="4">
        <v>400</v>
      </c>
      <c r="B401" s="18">
        <v>71</v>
      </c>
      <c r="C401" s="43" t="s">
        <v>179</v>
      </c>
      <c r="D401" s="5" t="s">
        <v>293</v>
      </c>
      <c r="E401" s="4">
        <v>23.1359269623824</v>
      </c>
      <c r="F401" s="4">
        <v>-82.3642845153808</v>
      </c>
      <c r="G401" s="20">
        <v>25.5750007629395</v>
      </c>
      <c r="H401" s="21">
        <v>1264</v>
      </c>
      <c r="I401" s="4"/>
      <c r="J401" s="13" t="s">
        <v>181</v>
      </c>
      <c r="K401" s="5" t="s">
        <v>182</v>
      </c>
      <c r="L401" s="4"/>
      <c r="M401" s="4"/>
      <c r="N401" s="4"/>
      <c r="O401" s="36" t="s">
        <v>80</v>
      </c>
      <c r="P401" s="29">
        <v>7.9</v>
      </c>
      <c r="Q401" s="4">
        <v>31.668</v>
      </c>
      <c r="R401" s="4"/>
      <c r="S401" s="13"/>
      <c r="T401" s="34"/>
      <c r="U401" s="34"/>
      <c r="V401" s="34"/>
      <c r="W401" s="18"/>
      <c r="X401" s="4"/>
      <c r="Y401" s="5" t="s">
        <v>82</v>
      </c>
      <c r="Z401" s="4">
        <v>3</v>
      </c>
      <c r="AA401" s="4">
        <v>3</v>
      </c>
      <c r="AB401" s="9">
        <v>-0.425500817182408</v>
      </c>
      <c r="AC401" s="9">
        <v>0.000256361683990305</v>
      </c>
      <c r="AD401" s="9"/>
      <c r="AE401" s="9"/>
      <c r="AF401" s="9"/>
      <c r="AG401" s="9"/>
      <c r="AH401" s="9">
        <v>-1.25276296849537</v>
      </c>
      <c r="AI401" s="9">
        <v>0.0069415521310565</v>
      </c>
      <c r="AJ401" s="4">
        <v>0.827262151312961</v>
      </c>
      <c r="AK401" s="4">
        <v>0.00719791381504681</v>
      </c>
      <c r="AL401" s="4"/>
      <c r="AM401" s="4"/>
      <c r="AN401" s="4">
        <v>0.0372713947972314</v>
      </c>
      <c r="AO401" s="4">
        <v>0.000376217392046544</v>
      </c>
      <c r="AP401" s="4"/>
      <c r="AQ401" s="4"/>
      <c r="AR401" s="4"/>
      <c r="AS401" s="4"/>
      <c r="AT401" s="4"/>
      <c r="AU401" s="4"/>
      <c r="AV401" s="4"/>
      <c r="AW401" s="4"/>
      <c r="AX401" s="4"/>
      <c r="AY401" s="4"/>
      <c r="BP401" s="4">
        <v>-0.356104193939349</v>
      </c>
      <c r="BR401" s="4">
        <v>-1.0089623877203</v>
      </c>
      <c r="BS401" s="4">
        <v>0.00694155213105649</v>
      </c>
    </row>
    <row r="402" s="4" customFormat="1" spans="1:71">
      <c r="A402" s="4">
        <v>401</v>
      </c>
      <c r="B402" s="18">
        <v>71</v>
      </c>
      <c r="C402" s="43" t="s">
        <v>179</v>
      </c>
      <c r="D402" s="5" t="s">
        <v>293</v>
      </c>
      <c r="E402" s="4">
        <v>23.1359269623824</v>
      </c>
      <c r="F402" s="4">
        <v>-82.3642845153808</v>
      </c>
      <c r="G402" s="20">
        <v>25.5750007629395</v>
      </c>
      <c r="H402" s="21">
        <v>1264</v>
      </c>
      <c r="I402" s="4"/>
      <c r="J402" s="13" t="s">
        <v>185</v>
      </c>
      <c r="K402" s="5" t="s">
        <v>182</v>
      </c>
      <c r="L402" s="4"/>
      <c r="M402" s="4"/>
      <c r="N402" s="4"/>
      <c r="O402" s="36" t="s">
        <v>80</v>
      </c>
      <c r="P402" s="29">
        <v>7.9</v>
      </c>
      <c r="Q402" s="4">
        <v>31.668</v>
      </c>
      <c r="R402" s="4"/>
      <c r="S402" s="13"/>
      <c r="T402" s="34"/>
      <c r="U402" s="34"/>
      <c r="V402" s="34"/>
      <c r="W402" s="18"/>
      <c r="X402" s="4"/>
      <c r="Y402" s="5" t="s">
        <v>82</v>
      </c>
      <c r="Z402" s="4">
        <v>3</v>
      </c>
      <c r="AA402" s="4">
        <v>3</v>
      </c>
      <c r="AB402" s="9">
        <v>-0.335103311013871</v>
      </c>
      <c r="AC402" s="9">
        <v>0.000256361683990305</v>
      </c>
      <c r="AD402" s="9"/>
      <c r="AE402" s="9"/>
      <c r="AF402" s="9"/>
      <c r="AG402" s="9"/>
      <c r="AH402" s="9">
        <v>-0.503526321284379</v>
      </c>
      <c r="AI402" s="9">
        <v>0.00694155213105652</v>
      </c>
      <c r="AJ402" s="4">
        <v>0.168423010270509</v>
      </c>
      <c r="AK402" s="4">
        <v>0.00719791381504683</v>
      </c>
      <c r="AL402" s="4"/>
      <c r="AM402" s="4"/>
      <c r="AN402" s="4">
        <v>0</v>
      </c>
      <c r="AO402" s="4">
        <v>0.000376217392046544</v>
      </c>
      <c r="AP402" s="4"/>
      <c r="AQ402" s="4"/>
      <c r="AR402" s="4"/>
      <c r="AS402" s="4"/>
      <c r="AT402" s="4"/>
      <c r="AU402" s="4"/>
      <c r="AV402" s="4"/>
      <c r="AW402" s="4"/>
      <c r="AX402" s="4"/>
      <c r="AY402" s="4"/>
      <c r="BP402" s="4">
        <v>-0.161526012476355</v>
      </c>
      <c r="BR402" s="4">
        <v>-0.565578044749841</v>
      </c>
      <c r="BS402" s="4">
        <v>0.00694155213105651</v>
      </c>
    </row>
    <row r="403" s="3" customFormat="1" ht="14" customHeight="1" spans="1:49">
      <c r="A403" s="4">
        <v>402</v>
      </c>
      <c r="B403" s="6">
        <v>72</v>
      </c>
      <c r="C403" s="24" t="s">
        <v>294</v>
      </c>
      <c r="D403" s="13" t="s">
        <v>295</v>
      </c>
      <c r="E403" s="25">
        <v>55.2166666666667</v>
      </c>
      <c r="F403" s="25">
        <v>-1.68333333333333</v>
      </c>
      <c r="G403" s="20">
        <v>8.40833377838135</v>
      </c>
      <c r="H403" s="21">
        <v>666</v>
      </c>
      <c r="I403" s="3"/>
      <c r="J403" s="13" t="s">
        <v>94</v>
      </c>
      <c r="K403" s="5" t="s">
        <v>78</v>
      </c>
      <c r="L403" s="3">
        <v>2005</v>
      </c>
      <c r="M403" s="3"/>
      <c r="N403" s="3"/>
      <c r="O403" s="28" t="s">
        <v>80</v>
      </c>
      <c r="P403" s="7">
        <v>3.2</v>
      </c>
      <c r="Q403" s="12"/>
      <c r="R403" s="12"/>
      <c r="S403" s="13"/>
      <c r="T403" s="21">
        <v>22</v>
      </c>
      <c r="U403" s="21">
        <v>53</v>
      </c>
      <c r="V403" s="21">
        <v>25</v>
      </c>
      <c r="W403" s="3">
        <v>108</v>
      </c>
      <c r="X403" s="13" t="s">
        <v>141</v>
      </c>
      <c r="Y403" s="13" t="s">
        <v>82</v>
      </c>
      <c r="Z403" s="3">
        <v>3</v>
      </c>
      <c r="AA403" s="3">
        <v>3</v>
      </c>
      <c r="AB403" s="9">
        <v>1.88995159681178</v>
      </c>
      <c r="AC403" s="9">
        <v>0.00989825166733313</v>
      </c>
      <c r="AD403" s="25"/>
      <c r="AE403" s="25"/>
      <c r="AF403" s="9"/>
      <c r="AG403" s="9"/>
      <c r="AH403" s="25"/>
      <c r="AI403" s="25"/>
      <c r="AJ403" s="4"/>
      <c r="AK403" s="4"/>
      <c r="AL403" s="3"/>
      <c r="AM403" s="3"/>
      <c r="AN403" s="4"/>
      <c r="AO403" s="4"/>
      <c r="AP403" s="3"/>
      <c r="AQ403" s="3"/>
      <c r="AR403" s="4"/>
      <c r="AS403" s="4"/>
      <c r="AT403" s="3"/>
      <c r="AU403" s="3"/>
      <c r="AV403" s="4"/>
      <c r="AW403" s="4"/>
    </row>
    <row r="404" s="3" customFormat="1" spans="1:49">
      <c r="A404" s="4">
        <v>403</v>
      </c>
      <c r="B404" s="6">
        <v>72</v>
      </c>
      <c r="C404" s="24" t="s">
        <v>294</v>
      </c>
      <c r="D404" s="13" t="s">
        <v>295</v>
      </c>
      <c r="E404" s="25">
        <v>55.2166666666667</v>
      </c>
      <c r="F404" s="25">
        <v>-1.68333333333333</v>
      </c>
      <c r="G404" s="20">
        <v>8.40833377838135</v>
      </c>
      <c r="H404" s="21">
        <v>666</v>
      </c>
      <c r="I404" s="3"/>
      <c r="J404" s="13" t="s">
        <v>95</v>
      </c>
      <c r="K404" s="5" t="s">
        <v>78</v>
      </c>
      <c r="L404" s="3">
        <v>2005</v>
      </c>
      <c r="M404" s="3"/>
      <c r="N404" s="3"/>
      <c r="O404" s="28" t="s">
        <v>80</v>
      </c>
      <c r="P404" s="7">
        <v>5.3</v>
      </c>
      <c r="Q404" s="12"/>
      <c r="R404" s="12"/>
      <c r="S404" s="13"/>
      <c r="T404" s="21">
        <v>22</v>
      </c>
      <c r="U404" s="21">
        <v>53</v>
      </c>
      <c r="V404" s="21">
        <v>25</v>
      </c>
      <c r="W404" s="3">
        <v>108</v>
      </c>
      <c r="X404" s="13" t="s">
        <v>141</v>
      </c>
      <c r="Y404" s="13" t="s">
        <v>82</v>
      </c>
      <c r="Z404" s="3">
        <v>3</v>
      </c>
      <c r="AA404" s="3">
        <v>3</v>
      </c>
      <c r="AB404" s="9">
        <v>0.287680310546809</v>
      </c>
      <c r="AC404" s="9">
        <v>0.0103458674163191</v>
      </c>
      <c r="AD404" s="25"/>
      <c r="AE404" s="25"/>
      <c r="AF404" s="9"/>
      <c r="AG404" s="9"/>
      <c r="AH404" s="25"/>
      <c r="AI404" s="25"/>
      <c r="AJ404" s="4"/>
      <c r="AK404" s="4"/>
      <c r="AL404" s="3"/>
      <c r="AM404" s="3"/>
      <c r="AN404" s="4"/>
      <c r="AO404" s="4"/>
      <c r="AP404" s="3"/>
      <c r="AQ404" s="3"/>
      <c r="AR404" s="4"/>
      <c r="AS404" s="4"/>
      <c r="AT404" s="3"/>
      <c r="AU404" s="3"/>
      <c r="AV404" s="4"/>
      <c r="AW404" s="4"/>
    </row>
    <row r="405" s="3" customFormat="1" spans="1:49">
      <c r="A405" s="4">
        <v>404</v>
      </c>
      <c r="B405" s="6">
        <v>72</v>
      </c>
      <c r="C405" s="24" t="s">
        <v>294</v>
      </c>
      <c r="D405" s="13" t="s">
        <v>295</v>
      </c>
      <c r="E405" s="25">
        <v>55.2166666666667</v>
      </c>
      <c r="F405" s="25">
        <v>-1.68333333333333</v>
      </c>
      <c r="G405" s="20">
        <v>8.40833377838135</v>
      </c>
      <c r="H405" s="21">
        <v>666</v>
      </c>
      <c r="I405" s="3"/>
      <c r="J405" s="13" t="s">
        <v>94</v>
      </c>
      <c r="K405" s="5" t="s">
        <v>78</v>
      </c>
      <c r="L405" s="3">
        <v>2005</v>
      </c>
      <c r="M405" s="3"/>
      <c r="N405" s="3"/>
      <c r="O405" s="28" t="s">
        <v>80</v>
      </c>
      <c r="P405" s="7">
        <v>4.1</v>
      </c>
      <c r="Q405" s="12"/>
      <c r="R405" s="12"/>
      <c r="S405" s="13"/>
      <c r="T405" s="21">
        <v>22</v>
      </c>
      <c r="U405" s="21">
        <v>53</v>
      </c>
      <c r="V405" s="21">
        <v>25</v>
      </c>
      <c r="W405" s="3">
        <v>108</v>
      </c>
      <c r="X405" s="13" t="s">
        <v>141</v>
      </c>
      <c r="Y405" s="13" t="s">
        <v>82</v>
      </c>
      <c r="Z405" s="3">
        <v>3</v>
      </c>
      <c r="AA405" s="3">
        <v>3</v>
      </c>
      <c r="AB405" s="9">
        <v>1.57059375285058</v>
      </c>
      <c r="AC405" s="9">
        <v>0.0126001302010457</v>
      </c>
      <c r="AD405" s="25"/>
      <c r="AE405" s="25"/>
      <c r="AF405" s="9"/>
      <c r="AG405" s="9"/>
      <c r="AH405" s="25"/>
      <c r="AI405" s="25"/>
      <c r="AJ405" s="4"/>
      <c r="AK405" s="4"/>
      <c r="AL405" s="3"/>
      <c r="AM405" s="3"/>
      <c r="AN405" s="4"/>
      <c r="AO405" s="4"/>
      <c r="AP405" s="3"/>
      <c r="AQ405" s="3"/>
      <c r="AR405" s="4"/>
      <c r="AS405" s="4"/>
      <c r="AT405" s="3"/>
      <c r="AU405" s="3"/>
      <c r="AV405" s="4"/>
      <c r="AW405" s="4"/>
    </row>
    <row r="406" s="3" customFormat="1" spans="1:49">
      <c r="A406" s="4">
        <v>405</v>
      </c>
      <c r="B406" s="6">
        <v>72</v>
      </c>
      <c r="C406" s="24" t="s">
        <v>294</v>
      </c>
      <c r="D406" s="13" t="s">
        <v>295</v>
      </c>
      <c r="E406" s="25">
        <v>55.2166666666667</v>
      </c>
      <c r="F406" s="25">
        <v>-1.68333333333333</v>
      </c>
      <c r="G406" s="20">
        <v>8.40833377838135</v>
      </c>
      <c r="H406" s="21">
        <v>666</v>
      </c>
      <c r="I406" s="3"/>
      <c r="J406" s="13" t="s">
        <v>90</v>
      </c>
      <c r="K406" s="5" t="s">
        <v>78</v>
      </c>
      <c r="L406" s="3">
        <v>2006</v>
      </c>
      <c r="M406" s="3"/>
      <c r="N406" s="3"/>
      <c r="O406" s="28" t="s">
        <v>80</v>
      </c>
      <c r="P406" s="7">
        <v>5.6</v>
      </c>
      <c r="Q406" s="12"/>
      <c r="R406" s="12"/>
      <c r="S406" s="13"/>
      <c r="T406" s="21">
        <v>22</v>
      </c>
      <c r="U406" s="21">
        <v>53</v>
      </c>
      <c r="V406" s="21">
        <v>25</v>
      </c>
      <c r="W406" s="3">
        <v>109</v>
      </c>
      <c r="X406" s="13" t="s">
        <v>141</v>
      </c>
      <c r="Y406" s="13" t="s">
        <v>82</v>
      </c>
      <c r="Z406" s="3">
        <v>3</v>
      </c>
      <c r="AA406" s="3">
        <v>3</v>
      </c>
      <c r="AB406" s="9">
        <v>0.762139112364631</v>
      </c>
      <c r="AC406" s="9">
        <v>0.0110455682163326</v>
      </c>
      <c r="AD406" s="25"/>
      <c r="AE406" s="25"/>
      <c r="AF406" s="9"/>
      <c r="AG406" s="9"/>
      <c r="AH406" s="25"/>
      <c r="AI406" s="25"/>
      <c r="AJ406" s="4"/>
      <c r="AK406" s="4"/>
      <c r="AL406" s="3"/>
      <c r="AM406" s="3"/>
      <c r="AN406" s="4"/>
      <c r="AO406" s="4"/>
      <c r="AP406" s="3"/>
      <c r="AQ406" s="3"/>
      <c r="AR406" s="4"/>
      <c r="AS406" s="4"/>
      <c r="AT406" s="3"/>
      <c r="AU406" s="3"/>
      <c r="AV406" s="4"/>
      <c r="AW406" s="4"/>
    </row>
    <row r="407" s="4" customFormat="1" spans="1:71">
      <c r="A407" s="4">
        <v>406</v>
      </c>
      <c r="B407" s="18">
        <v>73</v>
      </c>
      <c r="C407" s="19" t="s">
        <v>296</v>
      </c>
      <c r="D407" s="5" t="s">
        <v>297</v>
      </c>
      <c r="E407" s="9">
        <v>-6.49</v>
      </c>
      <c r="F407" s="9">
        <v>-34.935</v>
      </c>
      <c r="G407" s="20">
        <v>25.5</v>
      </c>
      <c r="H407" s="21">
        <v>1795</v>
      </c>
      <c r="I407" s="4"/>
      <c r="J407" s="13" t="s">
        <v>254</v>
      </c>
      <c r="K407" s="5" t="s">
        <v>182</v>
      </c>
      <c r="L407" s="4">
        <v>2005</v>
      </c>
      <c r="M407" s="30"/>
      <c r="N407" s="30"/>
      <c r="O407" s="36" t="s">
        <v>80</v>
      </c>
      <c r="P407" s="29">
        <v>5.05</v>
      </c>
      <c r="Q407" s="4">
        <v>6.3</v>
      </c>
      <c r="R407" s="4"/>
      <c r="S407" s="13"/>
      <c r="T407" s="34">
        <v>96</v>
      </c>
      <c r="U407" s="34">
        <v>4</v>
      </c>
      <c r="V407" s="34">
        <v>0</v>
      </c>
      <c r="W407" s="4">
        <v>1</v>
      </c>
      <c r="X407" s="5" t="s">
        <v>81</v>
      </c>
      <c r="Y407" s="5" t="s">
        <v>82</v>
      </c>
      <c r="Z407" s="4">
        <v>15</v>
      </c>
      <c r="AA407" s="4">
        <v>15</v>
      </c>
      <c r="AB407" s="9">
        <v>-0.39665447842601</v>
      </c>
      <c r="AC407" s="9">
        <v>5.1272336798061e-5</v>
      </c>
      <c r="AD407" s="9"/>
      <c r="AE407" s="9"/>
      <c r="AF407" s="9"/>
      <c r="AG407" s="9"/>
      <c r="AH407" s="9">
        <v>-1.14740245283754</v>
      </c>
      <c r="AI407" s="9">
        <v>0.0013883104262113</v>
      </c>
      <c r="AJ407" s="4">
        <v>0.750747974411534</v>
      </c>
      <c r="AK407" s="4">
        <v>0.00143958276300936</v>
      </c>
      <c r="AL407" s="4"/>
      <c r="AM407" s="4"/>
      <c r="AN407" s="4">
        <v>0.0725508906585757</v>
      </c>
      <c r="AO407" s="4">
        <v>7.5243478409309e-5</v>
      </c>
      <c r="AP407" s="4"/>
      <c r="AQ407" s="4"/>
      <c r="AR407" s="4"/>
      <c r="AS407" s="4"/>
      <c r="AT407" s="4"/>
      <c r="AU407" s="4"/>
      <c r="AV407" s="4"/>
      <c r="AW407" s="4"/>
      <c r="AX407" s="4"/>
      <c r="AY407" s="4"/>
      <c r="BP407" s="4">
        <v>-0.0210534091978324</v>
      </c>
      <c r="BR407" s="4">
        <v>0.599281044327854</v>
      </c>
      <c r="BS407" s="4">
        <v>0.0013883104262113</v>
      </c>
    </row>
    <row r="408" s="4" customFormat="1" spans="1:71">
      <c r="A408" s="4">
        <v>407</v>
      </c>
      <c r="B408" s="18">
        <v>73</v>
      </c>
      <c r="C408" s="5" t="s">
        <v>296</v>
      </c>
      <c r="D408" s="5" t="s">
        <v>297</v>
      </c>
      <c r="E408" s="9">
        <v>-6.49</v>
      </c>
      <c r="F408" s="9">
        <v>-34.935</v>
      </c>
      <c r="G408" s="20">
        <v>25.5</v>
      </c>
      <c r="H408" s="21">
        <v>1795</v>
      </c>
      <c r="I408" s="4"/>
      <c r="J408" s="13" t="s">
        <v>254</v>
      </c>
      <c r="K408" s="5" t="s">
        <v>182</v>
      </c>
      <c r="L408" s="4">
        <v>2005</v>
      </c>
      <c r="M408" s="30"/>
      <c r="N408" s="30"/>
      <c r="O408" s="36" t="s">
        <v>80</v>
      </c>
      <c r="P408" s="29">
        <v>5.05</v>
      </c>
      <c r="Q408" s="4">
        <v>6.3</v>
      </c>
      <c r="R408" s="4"/>
      <c r="S408" s="13"/>
      <c r="T408" s="34">
        <v>96</v>
      </c>
      <c r="U408" s="34">
        <v>4</v>
      </c>
      <c r="V408" s="34">
        <v>0</v>
      </c>
      <c r="W408" s="4">
        <v>4</v>
      </c>
      <c r="X408" s="5" t="s">
        <v>81</v>
      </c>
      <c r="Y408" s="5" t="s">
        <v>82</v>
      </c>
      <c r="Z408" s="4">
        <v>15</v>
      </c>
      <c r="AA408" s="4">
        <v>15</v>
      </c>
      <c r="AB408" s="9">
        <v>-0.943198184794079</v>
      </c>
      <c r="AC408" s="9">
        <v>5.12723367980608e-5</v>
      </c>
      <c r="AD408" s="9"/>
      <c r="AE408" s="9"/>
      <c r="AF408" s="9"/>
      <c r="AG408" s="9"/>
      <c r="AH408" s="9">
        <v>-0.646627164925052</v>
      </c>
      <c r="AI408" s="9">
        <v>0.0013883104262113</v>
      </c>
      <c r="AJ408" s="4">
        <v>-0.296571019869028</v>
      </c>
      <c r="AK408" s="4">
        <v>0.00143958276300937</v>
      </c>
      <c r="AL408" s="4"/>
      <c r="AM408" s="4"/>
      <c r="AN408" s="4">
        <v>0.0577083176206468</v>
      </c>
      <c r="AO408" s="4">
        <v>7.5243478409309e-5</v>
      </c>
      <c r="AP408" s="4"/>
      <c r="AQ408" s="4"/>
      <c r="AR408" s="4"/>
      <c r="AS408" s="4"/>
      <c r="AT408" s="4"/>
      <c r="AU408" s="4"/>
      <c r="AV408" s="4"/>
      <c r="AW408" s="4"/>
      <c r="AX408" s="4"/>
      <c r="AY408" s="4"/>
      <c r="BP408" s="4">
        <v>-0.0104712998672954</v>
      </c>
      <c r="BR408" s="4">
        <v>0.262808807706641</v>
      </c>
      <c r="BS408" s="4">
        <v>0.0013883104262113</v>
      </c>
    </row>
    <row r="409" s="4" customFormat="1" spans="1:71">
      <c r="A409" s="4">
        <v>408</v>
      </c>
      <c r="B409" s="18">
        <v>73</v>
      </c>
      <c r="C409" s="5" t="s">
        <v>296</v>
      </c>
      <c r="D409" s="5" t="s">
        <v>297</v>
      </c>
      <c r="E409" s="9">
        <v>-6.49</v>
      </c>
      <c r="F409" s="9">
        <v>-34.935</v>
      </c>
      <c r="G409" s="20">
        <v>25.5</v>
      </c>
      <c r="H409" s="21">
        <v>1795</v>
      </c>
      <c r="I409" s="4"/>
      <c r="J409" s="13" t="s">
        <v>254</v>
      </c>
      <c r="K409" s="5" t="s">
        <v>182</v>
      </c>
      <c r="L409" s="4">
        <v>2005</v>
      </c>
      <c r="M409" s="30"/>
      <c r="N409" s="30"/>
      <c r="O409" s="36" t="s">
        <v>80</v>
      </c>
      <c r="P409" s="29">
        <v>5.05</v>
      </c>
      <c r="Q409" s="4">
        <v>6.3</v>
      </c>
      <c r="R409" s="4"/>
      <c r="S409" s="13"/>
      <c r="T409" s="34">
        <v>96</v>
      </c>
      <c r="U409" s="34">
        <v>4</v>
      </c>
      <c r="V409" s="34">
        <v>0</v>
      </c>
      <c r="W409" s="4">
        <v>8</v>
      </c>
      <c r="X409" s="5" t="s">
        <v>91</v>
      </c>
      <c r="Y409" s="5" t="s">
        <v>82</v>
      </c>
      <c r="Z409" s="4">
        <v>15</v>
      </c>
      <c r="AA409" s="4">
        <v>15</v>
      </c>
      <c r="AB409" s="9">
        <v>-0.649850374806621</v>
      </c>
      <c r="AC409" s="9">
        <v>5.1272336798061e-5</v>
      </c>
      <c r="AD409" s="9"/>
      <c r="AE409" s="9"/>
      <c r="AF409" s="9"/>
      <c r="AG409" s="9"/>
      <c r="AH409" s="9">
        <v>-0.38193461069797</v>
      </c>
      <c r="AI409" s="9">
        <v>0.0013883104262113</v>
      </c>
      <c r="AJ409" s="4">
        <v>-0.267915764108652</v>
      </c>
      <c r="AK409" s="4">
        <v>0.00143958276300937</v>
      </c>
      <c r="AL409" s="4"/>
      <c r="AM409" s="4"/>
      <c r="AN409" s="4">
        <v>0.106943420618331</v>
      </c>
      <c r="AO409" s="4">
        <v>7.5243478409309e-5</v>
      </c>
      <c r="AP409" s="4"/>
      <c r="AQ409" s="4"/>
      <c r="AR409" s="4"/>
      <c r="AS409" s="4"/>
      <c r="AT409" s="4"/>
      <c r="AU409" s="4"/>
      <c r="AV409" s="4"/>
      <c r="AW409" s="4"/>
      <c r="AX409" s="4"/>
      <c r="AY409" s="4"/>
      <c r="BP409" s="4">
        <v>0</v>
      </c>
      <c r="BR409" s="4">
        <v>0.0561945583436421</v>
      </c>
      <c r="BS409" s="4">
        <v>0.0013883104262113</v>
      </c>
    </row>
    <row r="410" s="4" customFormat="1" spans="1:71">
      <c r="A410" s="4">
        <v>409</v>
      </c>
      <c r="B410" s="18">
        <v>73</v>
      </c>
      <c r="C410" s="5" t="s">
        <v>296</v>
      </c>
      <c r="D410" s="5" t="s">
        <v>297</v>
      </c>
      <c r="E410" s="9">
        <v>-6.49</v>
      </c>
      <c r="F410" s="9">
        <v>-34.935</v>
      </c>
      <c r="G410" s="20">
        <v>25.5</v>
      </c>
      <c r="H410" s="21">
        <v>1795</v>
      </c>
      <c r="I410" s="4"/>
      <c r="J410" s="13" t="s">
        <v>254</v>
      </c>
      <c r="K410" s="5" t="s">
        <v>182</v>
      </c>
      <c r="L410" s="4">
        <v>2005</v>
      </c>
      <c r="M410" s="30"/>
      <c r="N410" s="30"/>
      <c r="O410" s="36" t="s">
        <v>80</v>
      </c>
      <c r="P410" s="29">
        <v>5.05</v>
      </c>
      <c r="Q410" s="4">
        <v>6.3</v>
      </c>
      <c r="R410" s="4"/>
      <c r="S410" s="13"/>
      <c r="T410" s="34">
        <v>96</v>
      </c>
      <c r="U410" s="34">
        <v>4</v>
      </c>
      <c r="V410" s="34">
        <v>0</v>
      </c>
      <c r="W410" s="4">
        <v>12</v>
      </c>
      <c r="X410" s="5" t="s">
        <v>91</v>
      </c>
      <c r="Y410" s="5" t="s">
        <v>82</v>
      </c>
      <c r="Z410" s="4">
        <v>15</v>
      </c>
      <c r="AA410" s="4">
        <v>15</v>
      </c>
      <c r="AB410" s="9">
        <v>-0.493281314115081</v>
      </c>
      <c r="AC410" s="9">
        <v>5.1272336798061e-5</v>
      </c>
      <c r="AD410" s="9"/>
      <c r="AE410" s="9"/>
      <c r="AF410" s="9"/>
      <c r="AG410" s="9"/>
      <c r="AH410" s="9">
        <v>-0.885038188370051</v>
      </c>
      <c r="AI410" s="9">
        <v>0.0013883104262113</v>
      </c>
      <c r="AJ410" s="4">
        <v>0.39175687425497</v>
      </c>
      <c r="AK410" s="4">
        <v>0.00143958276300937</v>
      </c>
      <c r="AL410" s="4"/>
      <c r="AM410" s="4"/>
      <c r="AN410" s="4">
        <v>0.114035648927823</v>
      </c>
      <c r="AO410" s="4">
        <v>7.52434784093087e-5</v>
      </c>
      <c r="AP410" s="4"/>
      <c r="AQ410" s="4"/>
      <c r="AR410" s="4"/>
      <c r="AS410" s="4"/>
      <c r="AT410" s="4"/>
      <c r="AU410" s="4"/>
      <c r="AV410" s="4"/>
      <c r="AW410" s="4"/>
      <c r="AX410" s="4"/>
      <c r="AY410" s="4"/>
      <c r="BP410" s="4">
        <v>0</v>
      </c>
      <c r="BR410" s="4">
        <v>0.741111239767072</v>
      </c>
      <c r="BS410" s="4">
        <v>0.0013883104262113</v>
      </c>
    </row>
    <row r="411" s="4" customFormat="1" spans="1:71">
      <c r="A411" s="4">
        <v>410</v>
      </c>
      <c r="B411" s="18">
        <v>73</v>
      </c>
      <c r="C411" s="5" t="s">
        <v>296</v>
      </c>
      <c r="D411" s="5" t="s">
        <v>297</v>
      </c>
      <c r="E411" s="9">
        <v>-6.49</v>
      </c>
      <c r="F411" s="9">
        <v>-34.935</v>
      </c>
      <c r="G411" s="20">
        <v>25.5</v>
      </c>
      <c r="H411" s="21">
        <v>1795</v>
      </c>
      <c r="I411" s="4"/>
      <c r="J411" s="13" t="s">
        <v>254</v>
      </c>
      <c r="K411" s="5" t="s">
        <v>182</v>
      </c>
      <c r="L411" s="4">
        <v>2005</v>
      </c>
      <c r="M411" s="30"/>
      <c r="N411" s="30"/>
      <c r="O411" s="36" t="s">
        <v>80</v>
      </c>
      <c r="P411" s="29">
        <v>5.05</v>
      </c>
      <c r="Q411" s="4">
        <v>6.3</v>
      </c>
      <c r="R411" s="4"/>
      <c r="S411" s="13"/>
      <c r="T411" s="34">
        <v>96</v>
      </c>
      <c r="U411" s="34">
        <v>4</v>
      </c>
      <c r="V411" s="34">
        <v>0</v>
      </c>
      <c r="W411" s="4">
        <v>16</v>
      </c>
      <c r="X411" s="5" t="s">
        <v>91</v>
      </c>
      <c r="Y411" s="5" t="s">
        <v>82</v>
      </c>
      <c r="Z411" s="4">
        <v>15</v>
      </c>
      <c r="AA411" s="4">
        <v>15</v>
      </c>
      <c r="AB411" s="9">
        <v>-0.553000548816703</v>
      </c>
      <c r="AC411" s="9">
        <v>5.12723367980609e-5</v>
      </c>
      <c r="AD411" s="9"/>
      <c r="AE411" s="9"/>
      <c r="AF411" s="9"/>
      <c r="AG411" s="9"/>
      <c r="AH411" s="9">
        <v>-0.336472236621213</v>
      </c>
      <c r="AI411" s="9">
        <v>0.0013883104262113</v>
      </c>
      <c r="AJ411" s="4">
        <v>-0.216528312195492</v>
      </c>
      <c r="AK411" s="4">
        <v>0.00143958276300938</v>
      </c>
      <c r="AL411" s="4"/>
      <c r="AM411" s="4"/>
      <c r="AN411" s="4">
        <v>0.0369332550456824</v>
      </c>
      <c r="AO411" s="4">
        <v>7.52434784093089e-5</v>
      </c>
      <c r="AP411" s="4"/>
      <c r="AQ411" s="4"/>
      <c r="AR411" s="4"/>
      <c r="AS411" s="4"/>
      <c r="AT411" s="4"/>
      <c r="AU411" s="4"/>
      <c r="AV411" s="4"/>
      <c r="AW411" s="4"/>
      <c r="AX411" s="4"/>
      <c r="AY411" s="4"/>
      <c r="BP411" s="4">
        <v>0.0206192872027356</v>
      </c>
      <c r="BR411" s="4">
        <v>-1.14595840926531</v>
      </c>
      <c r="BS411" s="4">
        <v>0.00138831042621131</v>
      </c>
    </row>
    <row r="412" s="4" customFormat="1" spans="1:71">
      <c r="A412" s="4">
        <v>411</v>
      </c>
      <c r="B412" s="18">
        <v>73</v>
      </c>
      <c r="C412" s="5" t="s">
        <v>296</v>
      </c>
      <c r="D412" s="5" t="s">
        <v>297</v>
      </c>
      <c r="E412" s="9">
        <v>-6.49</v>
      </c>
      <c r="F412" s="9">
        <v>-34.935</v>
      </c>
      <c r="G412" s="20">
        <v>25.5</v>
      </c>
      <c r="H412" s="21">
        <v>1795</v>
      </c>
      <c r="I412" s="4"/>
      <c r="J412" s="13" t="s">
        <v>254</v>
      </c>
      <c r="K412" s="5" t="s">
        <v>182</v>
      </c>
      <c r="L412" s="4">
        <v>2005</v>
      </c>
      <c r="M412" s="30"/>
      <c r="N412" s="30"/>
      <c r="O412" s="36" t="s">
        <v>80</v>
      </c>
      <c r="P412" s="29">
        <v>5.05</v>
      </c>
      <c r="Q412" s="4">
        <v>6.3</v>
      </c>
      <c r="R412" s="4"/>
      <c r="S412" s="13"/>
      <c r="T412" s="34">
        <v>96</v>
      </c>
      <c r="U412" s="34">
        <v>4</v>
      </c>
      <c r="V412" s="34">
        <v>0</v>
      </c>
      <c r="W412" s="4">
        <v>1</v>
      </c>
      <c r="X412" s="5" t="s">
        <v>81</v>
      </c>
      <c r="Y412" s="5" t="s">
        <v>82</v>
      </c>
      <c r="Z412" s="4">
        <v>15</v>
      </c>
      <c r="AA412" s="4">
        <v>15</v>
      </c>
      <c r="AB412" s="9">
        <v>-0.55467750629484</v>
      </c>
      <c r="AC412" s="9">
        <v>5.12723367980609e-5</v>
      </c>
      <c r="AD412" s="9"/>
      <c r="AE412" s="9"/>
      <c r="AF412" s="9"/>
      <c r="AG412" s="9"/>
      <c r="AH412" s="9">
        <v>-1.14740245283754</v>
      </c>
      <c r="AI412" s="9">
        <v>0.0013883104262113</v>
      </c>
      <c r="AJ412" s="4">
        <v>0.592724946542704</v>
      </c>
      <c r="AK412" s="4">
        <v>0.00143958276300936</v>
      </c>
      <c r="AL412" s="4"/>
      <c r="AM412" s="4"/>
      <c r="AN412" s="4">
        <v>0.0725508906585757</v>
      </c>
      <c r="AO412" s="4">
        <v>7.5243478409309e-5</v>
      </c>
      <c r="AP412" s="4"/>
      <c r="AQ412" s="4"/>
      <c r="AR412" s="4"/>
      <c r="AS412" s="4"/>
      <c r="AT412" s="4"/>
      <c r="AU412" s="4"/>
      <c r="AV412" s="4"/>
      <c r="AW412" s="4"/>
      <c r="AX412" s="4"/>
      <c r="AY412" s="4"/>
      <c r="BP412" s="4">
        <v>-0.0210534091978324</v>
      </c>
      <c r="BR412" s="4">
        <v>1.52159974746848</v>
      </c>
      <c r="BS412" s="4">
        <v>0.0013883104262113</v>
      </c>
    </row>
    <row r="413" s="4" customFormat="1" spans="1:71">
      <c r="A413" s="4">
        <v>412</v>
      </c>
      <c r="B413" s="18">
        <v>73</v>
      </c>
      <c r="C413" s="5" t="s">
        <v>296</v>
      </c>
      <c r="D413" s="5" t="s">
        <v>297</v>
      </c>
      <c r="E413" s="9">
        <v>-6.49</v>
      </c>
      <c r="F413" s="9">
        <v>-34.935</v>
      </c>
      <c r="G413" s="20">
        <v>25.5</v>
      </c>
      <c r="H413" s="21">
        <v>1795</v>
      </c>
      <c r="I413" s="4"/>
      <c r="J413" s="13" t="s">
        <v>254</v>
      </c>
      <c r="K413" s="5" t="s">
        <v>182</v>
      </c>
      <c r="L413" s="4">
        <v>2005</v>
      </c>
      <c r="M413" s="30"/>
      <c r="N413" s="30"/>
      <c r="O413" s="36" t="s">
        <v>80</v>
      </c>
      <c r="P413" s="29">
        <v>5.05</v>
      </c>
      <c r="Q413" s="4">
        <v>6.3</v>
      </c>
      <c r="R413" s="4"/>
      <c r="S413" s="13"/>
      <c r="T413" s="34">
        <v>96</v>
      </c>
      <c r="U413" s="34">
        <v>4</v>
      </c>
      <c r="V413" s="34">
        <v>0</v>
      </c>
      <c r="W413" s="4">
        <v>4</v>
      </c>
      <c r="X413" s="5" t="s">
        <v>81</v>
      </c>
      <c r="Y413" s="5" t="s">
        <v>82</v>
      </c>
      <c r="Z413" s="4">
        <v>15</v>
      </c>
      <c r="AA413" s="4">
        <v>15</v>
      </c>
      <c r="AB413" s="9">
        <v>-1.05977245535185</v>
      </c>
      <c r="AC413" s="9">
        <v>5.1272336798061e-5</v>
      </c>
      <c r="AD413" s="9"/>
      <c r="AE413" s="9"/>
      <c r="AF413" s="9"/>
      <c r="AG413" s="9"/>
      <c r="AH413" s="9">
        <v>-0.646627164925052</v>
      </c>
      <c r="AI413" s="9">
        <v>0.0013883104262113</v>
      </c>
      <c r="AJ413" s="4">
        <v>-0.413145290426792</v>
      </c>
      <c r="AK413" s="4">
        <v>0.00143958276300937</v>
      </c>
      <c r="AL413" s="4"/>
      <c r="AM413" s="4"/>
      <c r="AN413" s="4">
        <v>0.0577083176206468</v>
      </c>
      <c r="AO413" s="4">
        <v>7.5243478409309e-5</v>
      </c>
      <c r="AP413" s="4"/>
      <c r="AQ413" s="4"/>
      <c r="AR413" s="4"/>
      <c r="AS413" s="4"/>
      <c r="AT413" s="4"/>
      <c r="AU413" s="4"/>
      <c r="AV413" s="4"/>
      <c r="AW413" s="4"/>
      <c r="AX413" s="4"/>
      <c r="AY413" s="4"/>
      <c r="BP413" s="4">
        <v>-0.0104712998672954</v>
      </c>
      <c r="BR413" s="4">
        <v>1.43616619116006</v>
      </c>
      <c r="BS413" s="4">
        <v>0.0013883104262113</v>
      </c>
    </row>
    <row r="414" s="4" customFormat="1" spans="1:71">
      <c r="A414" s="4">
        <v>413</v>
      </c>
      <c r="B414" s="18">
        <v>73</v>
      </c>
      <c r="C414" s="5" t="s">
        <v>296</v>
      </c>
      <c r="D414" s="5" t="s">
        <v>297</v>
      </c>
      <c r="E414" s="9">
        <v>-6.49</v>
      </c>
      <c r="F414" s="9">
        <v>-34.935</v>
      </c>
      <c r="G414" s="20">
        <v>25.5</v>
      </c>
      <c r="H414" s="21">
        <v>1795</v>
      </c>
      <c r="I414" s="4"/>
      <c r="J414" s="13" t="s">
        <v>254</v>
      </c>
      <c r="K414" s="5" t="s">
        <v>182</v>
      </c>
      <c r="L414" s="4">
        <v>2005</v>
      </c>
      <c r="M414" s="30"/>
      <c r="N414" s="30"/>
      <c r="O414" s="36" t="s">
        <v>80</v>
      </c>
      <c r="P414" s="29">
        <v>5.05</v>
      </c>
      <c r="Q414" s="4">
        <v>6.3</v>
      </c>
      <c r="R414" s="4"/>
      <c r="S414" s="13"/>
      <c r="T414" s="34">
        <v>96</v>
      </c>
      <c r="U414" s="34">
        <v>4</v>
      </c>
      <c r="V414" s="34">
        <v>0</v>
      </c>
      <c r="W414" s="4">
        <v>8</v>
      </c>
      <c r="X414" s="5" t="s">
        <v>91</v>
      </c>
      <c r="Y414" s="5" t="s">
        <v>82</v>
      </c>
      <c r="Z414" s="4">
        <v>15</v>
      </c>
      <c r="AA414" s="4">
        <v>15</v>
      </c>
      <c r="AB414" s="9">
        <v>-0.487986131796168</v>
      </c>
      <c r="AC414" s="9">
        <v>5.1272336798061e-5</v>
      </c>
      <c r="AD414" s="9"/>
      <c r="AE414" s="9"/>
      <c r="AF414" s="9"/>
      <c r="AG414" s="9"/>
      <c r="AH414" s="9">
        <v>-0.38193461069797</v>
      </c>
      <c r="AI414" s="9">
        <v>0.0013883104262113</v>
      </c>
      <c r="AJ414" s="4">
        <v>-0.106051521098195</v>
      </c>
      <c r="AK414" s="4">
        <v>0.00143958276300936</v>
      </c>
      <c r="AL414" s="4"/>
      <c r="AM414" s="4"/>
      <c r="AN414" s="4">
        <v>0.106943420618331</v>
      </c>
      <c r="AO414" s="4">
        <v>7.5243478409309e-5</v>
      </c>
      <c r="AP414" s="4"/>
      <c r="AQ414" s="4"/>
      <c r="AR414" s="4"/>
      <c r="AS414" s="4"/>
      <c r="AT414" s="4"/>
      <c r="AU414" s="4"/>
      <c r="AV414" s="4"/>
      <c r="AW414" s="4"/>
      <c r="AX414" s="4"/>
      <c r="AY414" s="4"/>
      <c r="BP414" s="4">
        <v>0</v>
      </c>
      <c r="BR414" s="4">
        <v>0.967243059048082</v>
      </c>
      <c r="BS414" s="4">
        <v>0.0013883104262113</v>
      </c>
    </row>
    <row r="415" s="4" customFormat="1" spans="1:71">
      <c r="A415" s="4">
        <v>414</v>
      </c>
      <c r="B415" s="18">
        <v>73</v>
      </c>
      <c r="C415" s="5" t="s">
        <v>296</v>
      </c>
      <c r="D415" s="5" t="s">
        <v>297</v>
      </c>
      <c r="E415" s="9">
        <v>-6.49</v>
      </c>
      <c r="F415" s="9">
        <v>-34.935</v>
      </c>
      <c r="G415" s="20">
        <v>25.5</v>
      </c>
      <c r="H415" s="21">
        <v>1795</v>
      </c>
      <c r="I415" s="4"/>
      <c r="J415" s="13" t="s">
        <v>254</v>
      </c>
      <c r="K415" s="5" t="s">
        <v>182</v>
      </c>
      <c r="L415" s="4">
        <v>2005</v>
      </c>
      <c r="M415" s="30"/>
      <c r="N415" s="30"/>
      <c r="O415" s="36" t="s">
        <v>80</v>
      </c>
      <c r="P415" s="29">
        <v>5.05</v>
      </c>
      <c r="Q415" s="4">
        <v>6.3</v>
      </c>
      <c r="R415" s="4"/>
      <c r="S415" s="13"/>
      <c r="T415" s="34">
        <v>96</v>
      </c>
      <c r="U415" s="34">
        <v>4</v>
      </c>
      <c r="V415" s="34">
        <v>0</v>
      </c>
      <c r="W415" s="4">
        <v>12</v>
      </c>
      <c r="X415" s="5" t="s">
        <v>91</v>
      </c>
      <c r="Y415" s="5" t="s">
        <v>82</v>
      </c>
      <c r="Z415" s="4">
        <v>15</v>
      </c>
      <c r="AA415" s="4">
        <v>15</v>
      </c>
      <c r="AB415" s="9">
        <v>-0.663876798259832</v>
      </c>
      <c r="AC415" s="9">
        <v>5.12723367980611e-5</v>
      </c>
      <c r="AD415" s="9"/>
      <c r="AE415" s="9"/>
      <c r="AF415" s="9"/>
      <c r="AG415" s="9"/>
      <c r="AH415" s="9">
        <v>-0.885038188370051</v>
      </c>
      <c r="AI415" s="9">
        <v>0.0013883104262113</v>
      </c>
      <c r="AJ415" s="4">
        <v>0.221161390110221</v>
      </c>
      <c r="AK415" s="4">
        <v>0.00143958276300937</v>
      </c>
      <c r="AL415" s="4"/>
      <c r="AM415" s="4"/>
      <c r="AN415" s="4">
        <v>0.114035648927823</v>
      </c>
      <c r="AO415" s="4">
        <v>7.52434784093087e-5</v>
      </c>
      <c r="AP415" s="4"/>
      <c r="AQ415" s="4"/>
      <c r="AR415" s="4"/>
      <c r="AS415" s="4"/>
      <c r="AT415" s="4"/>
      <c r="AU415" s="4"/>
      <c r="AV415" s="4"/>
      <c r="AW415" s="4"/>
      <c r="AX415" s="4"/>
      <c r="AY415" s="4"/>
      <c r="BP415" s="4">
        <v>0</v>
      </c>
      <c r="BR415" s="4">
        <v>0.907158248310882</v>
      </c>
      <c r="BS415" s="4">
        <v>0.0013883104262113</v>
      </c>
    </row>
    <row r="416" s="4" customFormat="1" spans="1:71">
      <c r="A416" s="4">
        <v>415</v>
      </c>
      <c r="B416" s="18">
        <v>73</v>
      </c>
      <c r="C416" s="5" t="s">
        <v>296</v>
      </c>
      <c r="D416" s="5" t="s">
        <v>297</v>
      </c>
      <c r="E416" s="9">
        <v>-6.49</v>
      </c>
      <c r="F416" s="9">
        <v>-34.935</v>
      </c>
      <c r="G416" s="20">
        <v>25.5</v>
      </c>
      <c r="H416" s="21">
        <v>1795</v>
      </c>
      <c r="I416" s="4"/>
      <c r="J416" s="13" t="s">
        <v>254</v>
      </c>
      <c r="K416" s="5" t="s">
        <v>182</v>
      </c>
      <c r="L416" s="4">
        <v>2005</v>
      </c>
      <c r="M416" s="30"/>
      <c r="N416" s="30"/>
      <c r="O416" s="36" t="s">
        <v>80</v>
      </c>
      <c r="P416" s="29">
        <v>5.05</v>
      </c>
      <c r="Q416" s="4">
        <v>6.3</v>
      </c>
      <c r="R416" s="4"/>
      <c r="S416" s="13"/>
      <c r="T416" s="34">
        <v>96</v>
      </c>
      <c r="U416" s="34">
        <v>4</v>
      </c>
      <c r="V416" s="34">
        <v>0</v>
      </c>
      <c r="W416" s="4">
        <v>16</v>
      </c>
      <c r="X416" s="5" t="s">
        <v>91</v>
      </c>
      <c r="Y416" s="5" t="s">
        <v>82</v>
      </c>
      <c r="Z416" s="4">
        <v>15</v>
      </c>
      <c r="AA416" s="4">
        <v>15</v>
      </c>
      <c r="AB416" s="9">
        <v>-0.440733246945622</v>
      </c>
      <c r="AC416" s="9">
        <v>5.12723367980609e-5</v>
      </c>
      <c r="AD416" s="9"/>
      <c r="AE416" s="9"/>
      <c r="AF416" s="9"/>
      <c r="AG416" s="9"/>
      <c r="AH416" s="9">
        <v>-0.336472236621213</v>
      </c>
      <c r="AI416" s="9">
        <v>0.0013883104262113</v>
      </c>
      <c r="AJ416" s="4">
        <v>-0.10426101032441</v>
      </c>
      <c r="AK416" s="4">
        <v>0.00143958276300938</v>
      </c>
      <c r="AL416" s="4"/>
      <c r="AM416" s="4"/>
      <c r="AN416" s="4">
        <v>0.0369332550456824</v>
      </c>
      <c r="AO416" s="4">
        <v>7.52434784093089e-5</v>
      </c>
      <c r="AP416" s="4"/>
      <c r="AQ416" s="4"/>
      <c r="AR416" s="4"/>
      <c r="AS416" s="4"/>
      <c r="AT416" s="4"/>
      <c r="AU416" s="4"/>
      <c r="AV416" s="4"/>
      <c r="AW416" s="4"/>
      <c r="AX416" s="4"/>
      <c r="AY416" s="4"/>
      <c r="BP416" s="4">
        <v>0.0206192872027356</v>
      </c>
      <c r="BR416" s="4">
        <v>-0.980829253011726</v>
      </c>
      <c r="BS416" s="4">
        <v>0.0013883104262113</v>
      </c>
    </row>
    <row r="417" s="3" customFormat="1" spans="1:55">
      <c r="A417" s="4">
        <v>416</v>
      </c>
      <c r="B417" s="6">
        <v>74</v>
      </c>
      <c r="C417" s="24" t="s">
        <v>298</v>
      </c>
      <c r="D417" s="13" t="s">
        <v>299</v>
      </c>
      <c r="E417" s="25">
        <v>38.833</v>
      </c>
      <c r="F417" s="25">
        <v>-0.7</v>
      </c>
      <c r="G417" s="26">
        <v>14.2</v>
      </c>
      <c r="H417" s="27">
        <v>479</v>
      </c>
      <c r="I417" s="3"/>
      <c r="J417" s="13" t="s">
        <v>181</v>
      </c>
      <c r="K417" s="5" t="s">
        <v>182</v>
      </c>
      <c r="L417" s="3">
        <v>2005</v>
      </c>
      <c r="M417" s="3">
        <v>7</v>
      </c>
      <c r="N417" s="13" t="s">
        <v>96</v>
      </c>
      <c r="O417" s="36" t="s">
        <v>80</v>
      </c>
      <c r="P417" s="12"/>
      <c r="Q417" s="3">
        <v>14.857512</v>
      </c>
      <c r="R417" s="12"/>
      <c r="S417" s="13"/>
      <c r="T417" s="21">
        <v>12</v>
      </c>
      <c r="U417" s="21">
        <v>22</v>
      </c>
      <c r="V417" s="21">
        <v>66</v>
      </c>
      <c r="W417" s="3"/>
      <c r="X417" s="3"/>
      <c r="Y417" s="13" t="s">
        <v>82</v>
      </c>
      <c r="Z417" s="3">
        <v>3</v>
      </c>
      <c r="AA417" s="3">
        <v>3</v>
      </c>
      <c r="AB417" s="9">
        <v>-0.910708686133472</v>
      </c>
      <c r="AC417" s="9">
        <v>0.000256361683990305</v>
      </c>
      <c r="AD417" s="25"/>
      <c r="AE417" s="25"/>
      <c r="AF417" s="9"/>
      <c r="AG417" s="9"/>
      <c r="AH417" s="25">
        <v>-0.254374066762098</v>
      </c>
      <c r="AI417" s="25">
        <v>0.00694155213105649</v>
      </c>
      <c r="AJ417" s="4">
        <v>-0.656334619371375</v>
      </c>
      <c r="AK417" s="4">
        <v>0.0071979138150468</v>
      </c>
      <c r="AL417" s="3"/>
      <c r="AM417" s="3"/>
      <c r="AN417" s="4"/>
      <c r="AO417" s="4"/>
      <c r="AP417" s="3"/>
      <c r="AQ417" s="3"/>
      <c r="AR417" s="4"/>
      <c r="AS417" s="4"/>
      <c r="AT417" s="3"/>
      <c r="AU417" s="3"/>
      <c r="AV417" s="4"/>
      <c r="AW417" s="4"/>
      <c r="AX417" s="3"/>
      <c r="AY417" s="3"/>
      <c r="BB417" s="3">
        <v>-0.661729719014532</v>
      </c>
      <c r="BC417" s="3">
        <v>0.0069415521310565</v>
      </c>
    </row>
    <row r="418" s="3" customFormat="1" spans="1:55">
      <c r="A418" s="4">
        <v>417</v>
      </c>
      <c r="B418" s="6">
        <v>74</v>
      </c>
      <c r="C418" s="24" t="s">
        <v>298</v>
      </c>
      <c r="D418" s="13" t="s">
        <v>299</v>
      </c>
      <c r="E418" s="25">
        <v>38.833</v>
      </c>
      <c r="F418" s="25">
        <v>-0.7</v>
      </c>
      <c r="G418" s="26">
        <v>14.2</v>
      </c>
      <c r="H418" s="27">
        <v>479</v>
      </c>
      <c r="I418" s="3"/>
      <c r="J418" s="13" t="s">
        <v>181</v>
      </c>
      <c r="K418" s="5" t="s">
        <v>182</v>
      </c>
      <c r="L418" s="3">
        <v>2006</v>
      </c>
      <c r="M418" s="3">
        <v>7</v>
      </c>
      <c r="N418" s="13" t="s">
        <v>96</v>
      </c>
      <c r="O418" s="36" t="s">
        <v>80</v>
      </c>
      <c r="P418" s="12"/>
      <c r="Q418" s="3">
        <v>18.671244</v>
      </c>
      <c r="R418" s="12"/>
      <c r="S418" s="13"/>
      <c r="T418" s="21">
        <v>12</v>
      </c>
      <c r="U418" s="21">
        <v>22</v>
      </c>
      <c r="V418" s="21">
        <v>66</v>
      </c>
      <c r="W418" s="3"/>
      <c r="X418" s="3"/>
      <c r="Y418" s="13" t="s">
        <v>82</v>
      </c>
      <c r="Z418" s="3">
        <v>3</v>
      </c>
      <c r="AA418" s="3">
        <v>3</v>
      </c>
      <c r="AB418" s="9">
        <v>-1.18352618446451</v>
      </c>
      <c r="AC418" s="9">
        <v>0.000256361683990305</v>
      </c>
      <c r="AD418" s="25"/>
      <c r="AE418" s="25"/>
      <c r="AF418" s="9"/>
      <c r="AG418" s="9"/>
      <c r="AH418" s="25">
        <v>-0.432422038431498</v>
      </c>
      <c r="AI418" s="25">
        <v>0.00694155213105653</v>
      </c>
      <c r="AJ418" s="4">
        <v>-0.751104146033006</v>
      </c>
      <c r="AK418" s="4">
        <v>0.00719791381504683</v>
      </c>
      <c r="AL418" s="3"/>
      <c r="AM418" s="3"/>
      <c r="AN418" s="4"/>
      <c r="AO418" s="4"/>
      <c r="AP418" s="3"/>
      <c r="AQ418" s="3"/>
      <c r="AR418" s="4"/>
      <c r="AS418" s="4"/>
      <c r="AT418" s="3"/>
      <c r="AU418" s="3"/>
      <c r="AV418" s="4"/>
      <c r="AW418" s="4"/>
      <c r="AX418" s="3"/>
      <c r="AY418" s="3"/>
      <c r="BB418" s="3">
        <v>-0.398051799458555</v>
      </c>
      <c r="BC418" s="3">
        <v>0.0069415521310565</v>
      </c>
    </row>
    <row r="419" s="3" customFormat="1" spans="1:55">
      <c r="A419" s="4">
        <v>418</v>
      </c>
      <c r="B419" s="6">
        <v>74</v>
      </c>
      <c r="C419" s="24" t="s">
        <v>298</v>
      </c>
      <c r="D419" s="13" t="s">
        <v>299</v>
      </c>
      <c r="E419" s="25">
        <v>38.833</v>
      </c>
      <c r="F419" s="25">
        <v>-0.7</v>
      </c>
      <c r="G419" s="26">
        <v>14.2</v>
      </c>
      <c r="H419" s="27">
        <v>479</v>
      </c>
      <c r="I419" s="3"/>
      <c r="J419" s="13" t="s">
        <v>181</v>
      </c>
      <c r="K419" s="5" t="s">
        <v>182</v>
      </c>
      <c r="L419" s="3">
        <v>2007</v>
      </c>
      <c r="M419" s="3">
        <v>7</v>
      </c>
      <c r="N419" s="13" t="s">
        <v>96</v>
      </c>
      <c r="O419" s="36" t="s">
        <v>80</v>
      </c>
      <c r="P419" s="12"/>
      <c r="Q419" s="3">
        <v>22.008216</v>
      </c>
      <c r="R419" s="12"/>
      <c r="S419" s="13"/>
      <c r="T419" s="21">
        <v>12</v>
      </c>
      <c r="U419" s="21">
        <v>22</v>
      </c>
      <c r="V419" s="21">
        <v>66</v>
      </c>
      <c r="W419" s="3"/>
      <c r="X419" s="3"/>
      <c r="Y419" s="13" t="s">
        <v>82</v>
      </c>
      <c r="Z419" s="3">
        <v>3</v>
      </c>
      <c r="AA419" s="3">
        <v>3</v>
      </c>
      <c r="AB419" s="9">
        <v>-0.250175345695926</v>
      </c>
      <c r="AC419" s="9">
        <v>0.000256361683990305</v>
      </c>
      <c r="AD419" s="25"/>
      <c r="AE419" s="25"/>
      <c r="AF419" s="9"/>
      <c r="AG419" s="9"/>
      <c r="AH419" s="25">
        <v>-0.636991592029004</v>
      </c>
      <c r="AI419" s="25">
        <v>0.00694155213105651</v>
      </c>
      <c r="AJ419" s="4">
        <v>0.386816246333078</v>
      </c>
      <c r="AK419" s="4">
        <v>0.00719791381504682</v>
      </c>
      <c r="AL419" s="3"/>
      <c r="AM419" s="3"/>
      <c r="AN419" s="4"/>
      <c r="AO419" s="4"/>
      <c r="AP419" s="3"/>
      <c r="AQ419" s="3"/>
      <c r="AR419" s="4"/>
      <c r="AS419" s="4"/>
      <c r="AT419" s="3"/>
      <c r="AU419" s="3"/>
      <c r="AV419" s="4"/>
      <c r="AW419" s="4"/>
      <c r="AX419" s="3"/>
      <c r="AY419" s="3"/>
      <c r="BB419" s="3">
        <v>-0.370705848042299</v>
      </c>
      <c r="BC419" s="3">
        <v>0.0069415521310565</v>
      </c>
    </row>
    <row r="420" s="3" customFormat="1" spans="1:55">
      <c r="A420" s="4">
        <v>419</v>
      </c>
      <c r="B420" s="6">
        <v>74</v>
      </c>
      <c r="C420" s="24" t="s">
        <v>298</v>
      </c>
      <c r="D420" s="13" t="s">
        <v>299</v>
      </c>
      <c r="E420" s="25">
        <v>38.833</v>
      </c>
      <c r="F420" s="25">
        <v>-0.7</v>
      </c>
      <c r="G420" s="26">
        <v>14.2</v>
      </c>
      <c r="H420" s="27">
        <v>479</v>
      </c>
      <c r="I420" s="3"/>
      <c r="J420" s="13" t="s">
        <v>181</v>
      </c>
      <c r="K420" s="5" t="s">
        <v>182</v>
      </c>
      <c r="L420" s="3">
        <v>2008</v>
      </c>
      <c r="M420" s="3">
        <v>7</v>
      </c>
      <c r="N420" s="13" t="s">
        <v>96</v>
      </c>
      <c r="O420" s="36" t="s">
        <v>80</v>
      </c>
      <c r="P420" s="12"/>
      <c r="Q420" s="3">
        <v>26.17946</v>
      </c>
      <c r="R420" s="12"/>
      <c r="S420" s="13"/>
      <c r="T420" s="21">
        <v>12</v>
      </c>
      <c r="U420" s="21">
        <v>22</v>
      </c>
      <c r="V420" s="21">
        <v>66</v>
      </c>
      <c r="W420" s="3"/>
      <c r="X420" s="3"/>
      <c r="Y420" s="13" t="s">
        <v>82</v>
      </c>
      <c r="Z420" s="3">
        <v>3</v>
      </c>
      <c r="AA420" s="3">
        <v>3</v>
      </c>
      <c r="AB420" s="9">
        <v>-0.800729927293871</v>
      </c>
      <c r="AC420" s="9">
        <v>0.000256361683990306</v>
      </c>
      <c r="AD420" s="25"/>
      <c r="AE420" s="25"/>
      <c r="AF420" s="9"/>
      <c r="AG420" s="9"/>
      <c r="AH420" s="25">
        <v>-0.67659354497353</v>
      </c>
      <c r="AI420" s="25">
        <v>0.00694155213105651</v>
      </c>
      <c r="AJ420" s="4">
        <v>-0.124136382320341</v>
      </c>
      <c r="AK420" s="4">
        <v>0.00719791381504682</v>
      </c>
      <c r="AL420" s="3"/>
      <c r="AM420" s="3"/>
      <c r="AN420" s="4"/>
      <c r="AO420" s="4"/>
      <c r="AP420" s="3"/>
      <c r="AQ420" s="3"/>
      <c r="AR420" s="4"/>
      <c r="AS420" s="4"/>
      <c r="AT420" s="3"/>
      <c r="AU420" s="3"/>
      <c r="AV420" s="4"/>
      <c r="AW420" s="4"/>
      <c r="AX420" s="3"/>
      <c r="AY420" s="3"/>
      <c r="BB420" s="3">
        <v>-0.313291453397473</v>
      </c>
      <c r="BC420" s="3">
        <v>0.00694155213105651</v>
      </c>
    </row>
    <row r="421" s="3" customFormat="1" spans="1:55">
      <c r="A421" s="4">
        <v>420</v>
      </c>
      <c r="B421" s="6">
        <v>74</v>
      </c>
      <c r="C421" s="24" t="s">
        <v>298</v>
      </c>
      <c r="D421" s="13" t="s">
        <v>299</v>
      </c>
      <c r="E421" s="25">
        <v>38.833</v>
      </c>
      <c r="F421" s="25">
        <v>-0.7</v>
      </c>
      <c r="G421" s="26">
        <v>14.2</v>
      </c>
      <c r="H421" s="27">
        <v>479</v>
      </c>
      <c r="I421" s="3"/>
      <c r="J421" s="13" t="s">
        <v>181</v>
      </c>
      <c r="K421" s="5" t="s">
        <v>182</v>
      </c>
      <c r="L421" s="3">
        <v>2009</v>
      </c>
      <c r="M421" s="3">
        <v>7</v>
      </c>
      <c r="N421" s="13" t="s">
        <v>96</v>
      </c>
      <c r="O421" s="36" t="s">
        <v>80</v>
      </c>
      <c r="P421" s="12"/>
      <c r="Q421" s="3">
        <v>23.31919</v>
      </c>
      <c r="R421" s="12"/>
      <c r="S421" s="13"/>
      <c r="T421" s="21">
        <v>12</v>
      </c>
      <c r="U421" s="21">
        <v>22</v>
      </c>
      <c r="V421" s="21">
        <v>66</v>
      </c>
      <c r="W421" s="3"/>
      <c r="X421" s="3"/>
      <c r="Y421" s="13" t="s">
        <v>82</v>
      </c>
      <c r="Z421" s="3">
        <v>3</v>
      </c>
      <c r="AA421" s="3">
        <v>3</v>
      </c>
      <c r="AB421" s="9">
        <v>-0.798386951031508</v>
      </c>
      <c r="AC421" s="9">
        <v>0.000256361683990304</v>
      </c>
      <c r="AD421" s="25"/>
      <c r="AE421" s="25"/>
      <c r="AF421" s="9"/>
      <c r="AG421" s="9"/>
      <c r="AH421" s="25">
        <v>-0.606704710107518</v>
      </c>
      <c r="AI421" s="25">
        <v>0.00694155213105652</v>
      </c>
      <c r="AJ421" s="4">
        <v>-0.191682240923991</v>
      </c>
      <c r="AK421" s="4">
        <v>0.00719791381504681</v>
      </c>
      <c r="AL421" s="3"/>
      <c r="AM421" s="3"/>
      <c r="AN421" s="4"/>
      <c r="AO421" s="4"/>
      <c r="AP421" s="3"/>
      <c r="AQ421" s="3"/>
      <c r="AR421" s="4"/>
      <c r="AS421" s="4"/>
      <c r="AT421" s="3"/>
      <c r="AU421" s="3"/>
      <c r="AV421" s="4"/>
      <c r="AW421" s="4"/>
      <c r="AX421" s="3"/>
      <c r="AY421" s="3"/>
      <c r="BB421" s="3">
        <v>-0.73436936948291</v>
      </c>
      <c r="BC421" s="3">
        <v>0.0069415521310565</v>
      </c>
    </row>
    <row r="422" s="3" customFormat="1" spans="1:55">
      <c r="A422" s="4">
        <v>421</v>
      </c>
      <c r="B422" s="6">
        <v>74</v>
      </c>
      <c r="C422" s="24" t="s">
        <v>298</v>
      </c>
      <c r="D422" s="13" t="s">
        <v>299</v>
      </c>
      <c r="E422" s="25">
        <v>38.833</v>
      </c>
      <c r="F422" s="25">
        <v>-0.7</v>
      </c>
      <c r="G422" s="26">
        <v>14.2</v>
      </c>
      <c r="H422" s="27">
        <v>479</v>
      </c>
      <c r="I422" s="3"/>
      <c r="J422" s="13" t="s">
        <v>181</v>
      </c>
      <c r="K422" s="5" t="s">
        <v>182</v>
      </c>
      <c r="L422" s="3">
        <v>2005</v>
      </c>
      <c r="M422" s="3">
        <v>7</v>
      </c>
      <c r="N422" s="13" t="s">
        <v>96</v>
      </c>
      <c r="O422" s="36" t="s">
        <v>80</v>
      </c>
      <c r="P422" s="12"/>
      <c r="Q422" s="3">
        <v>14.857512</v>
      </c>
      <c r="R422" s="12"/>
      <c r="S422" s="13"/>
      <c r="T422" s="21">
        <v>12</v>
      </c>
      <c r="U422" s="21">
        <v>22</v>
      </c>
      <c r="V422" s="21">
        <v>66</v>
      </c>
      <c r="W422" s="3"/>
      <c r="X422" s="3"/>
      <c r="Y422" s="13" t="s">
        <v>82</v>
      </c>
      <c r="Z422" s="3">
        <v>3</v>
      </c>
      <c r="AA422" s="3">
        <v>3</v>
      </c>
      <c r="AB422" s="9">
        <v>-1.06075175649695</v>
      </c>
      <c r="AC422" s="9">
        <v>0.000256361683990306</v>
      </c>
      <c r="AD422" s="25"/>
      <c r="AE422" s="25"/>
      <c r="AF422" s="9"/>
      <c r="AG422" s="9"/>
      <c r="AH422" s="25">
        <v>-0.174863607175214</v>
      </c>
      <c r="AI422" s="25">
        <v>0.00694155213105649</v>
      </c>
      <c r="AJ422" s="4">
        <v>-0.885888149321733</v>
      </c>
      <c r="AK422" s="4">
        <v>0.00719791381504681</v>
      </c>
      <c r="AL422" s="3"/>
      <c r="AM422" s="3"/>
      <c r="AN422" s="4"/>
      <c r="AO422" s="4"/>
      <c r="AP422" s="3"/>
      <c r="AQ422" s="3"/>
      <c r="AR422" s="4"/>
      <c r="AS422" s="4"/>
      <c r="AT422" s="3"/>
      <c r="AU422" s="3"/>
      <c r="AV422" s="4"/>
      <c r="AW422" s="4"/>
      <c r="AX422" s="3"/>
      <c r="AY422" s="3"/>
      <c r="BB422" s="3">
        <v>-0.428188803045889</v>
      </c>
      <c r="BC422" s="3">
        <v>0.0069415521310565</v>
      </c>
    </row>
    <row r="423" s="3" customFormat="1" spans="1:55">
      <c r="A423" s="4">
        <v>422</v>
      </c>
      <c r="B423" s="6">
        <v>74</v>
      </c>
      <c r="C423" s="24" t="s">
        <v>298</v>
      </c>
      <c r="D423" s="13" t="s">
        <v>299</v>
      </c>
      <c r="E423" s="25">
        <v>38.833</v>
      </c>
      <c r="F423" s="25">
        <v>-0.7</v>
      </c>
      <c r="G423" s="26">
        <v>14.2</v>
      </c>
      <c r="H423" s="27">
        <v>479</v>
      </c>
      <c r="I423" s="3"/>
      <c r="J423" s="13" t="s">
        <v>181</v>
      </c>
      <c r="K423" s="5" t="s">
        <v>182</v>
      </c>
      <c r="L423" s="3">
        <v>2006</v>
      </c>
      <c r="M423" s="3">
        <v>7</v>
      </c>
      <c r="N423" s="13" t="s">
        <v>96</v>
      </c>
      <c r="O423" s="36" t="s">
        <v>80</v>
      </c>
      <c r="P423" s="12"/>
      <c r="Q423" s="3">
        <v>18.671244</v>
      </c>
      <c r="R423" s="12"/>
      <c r="S423" s="13"/>
      <c r="T423" s="21">
        <v>12</v>
      </c>
      <c r="U423" s="21">
        <v>22</v>
      </c>
      <c r="V423" s="21">
        <v>66</v>
      </c>
      <c r="W423" s="3"/>
      <c r="X423" s="3"/>
      <c r="Y423" s="13" t="s">
        <v>82</v>
      </c>
      <c r="Z423" s="3">
        <v>3</v>
      </c>
      <c r="AA423" s="3">
        <v>3</v>
      </c>
      <c r="AB423" s="9">
        <v>-0.902738316644815</v>
      </c>
      <c r="AC423" s="9">
        <v>0.000256361683990305</v>
      </c>
      <c r="AD423" s="25"/>
      <c r="AE423" s="25"/>
      <c r="AF423" s="9"/>
      <c r="AG423" s="9"/>
      <c r="AH423" s="25">
        <v>-0.50375672834644</v>
      </c>
      <c r="AI423" s="25">
        <v>0.00694155213105653</v>
      </c>
      <c r="AJ423" s="4">
        <v>-0.398981588298375</v>
      </c>
      <c r="AK423" s="4">
        <v>0.00719791381504683</v>
      </c>
      <c r="AL423" s="3"/>
      <c r="AM423" s="3"/>
      <c r="AN423" s="4"/>
      <c r="AO423" s="4"/>
      <c r="AP423" s="3"/>
      <c r="AQ423" s="3"/>
      <c r="AR423" s="4"/>
      <c r="AS423" s="4"/>
      <c r="AT423" s="3"/>
      <c r="AU423" s="3"/>
      <c r="AV423" s="4"/>
      <c r="AW423" s="4"/>
      <c r="AX423" s="3"/>
      <c r="AY423" s="3"/>
      <c r="BB423" s="3">
        <v>-0.235142712297475</v>
      </c>
      <c r="BC423" s="3">
        <v>0.0069415521310565</v>
      </c>
    </row>
    <row r="424" s="3" customFormat="1" spans="1:55">
      <c r="A424" s="4">
        <v>423</v>
      </c>
      <c r="B424" s="6">
        <v>74</v>
      </c>
      <c r="C424" s="24" t="s">
        <v>298</v>
      </c>
      <c r="D424" s="13" t="s">
        <v>299</v>
      </c>
      <c r="E424" s="25">
        <v>38.833</v>
      </c>
      <c r="F424" s="25">
        <v>-0.7</v>
      </c>
      <c r="G424" s="26">
        <v>14.2</v>
      </c>
      <c r="H424" s="27">
        <v>479</v>
      </c>
      <c r="I424" s="3"/>
      <c r="J424" s="13" t="s">
        <v>181</v>
      </c>
      <c r="K424" s="5" t="s">
        <v>182</v>
      </c>
      <c r="L424" s="3">
        <v>2007</v>
      </c>
      <c r="M424" s="3">
        <v>7</v>
      </c>
      <c r="N424" s="13" t="s">
        <v>96</v>
      </c>
      <c r="O424" s="36" t="s">
        <v>80</v>
      </c>
      <c r="P424" s="12"/>
      <c r="Q424" s="3">
        <v>22.008216</v>
      </c>
      <c r="R424" s="12"/>
      <c r="S424" s="13"/>
      <c r="T424" s="21">
        <v>12</v>
      </c>
      <c r="U424" s="21">
        <v>22</v>
      </c>
      <c r="V424" s="21">
        <v>66</v>
      </c>
      <c r="W424" s="3"/>
      <c r="X424" s="3"/>
      <c r="Y424" s="13" t="s">
        <v>82</v>
      </c>
      <c r="Z424" s="3">
        <v>3</v>
      </c>
      <c r="AA424" s="3">
        <v>3</v>
      </c>
      <c r="AB424" s="9">
        <v>-0.619669864957853</v>
      </c>
      <c r="AC424" s="9">
        <v>0.000256361683990306</v>
      </c>
      <c r="AD424" s="25"/>
      <c r="AE424" s="25"/>
      <c r="AF424" s="9"/>
      <c r="AG424" s="9"/>
      <c r="AH424" s="25">
        <v>-0.485280540133901</v>
      </c>
      <c r="AI424" s="25">
        <v>0.00694155213105648</v>
      </c>
      <c r="AJ424" s="4">
        <v>-0.134389324823951</v>
      </c>
      <c r="AK424" s="4">
        <v>0.00719791381504678</v>
      </c>
      <c r="AL424" s="3"/>
      <c r="AM424" s="3"/>
      <c r="AN424" s="4"/>
      <c r="AO424" s="4"/>
      <c r="AP424" s="3"/>
      <c r="AQ424" s="3"/>
      <c r="AR424" s="4"/>
      <c r="AS424" s="4"/>
      <c r="AT424" s="3"/>
      <c r="AU424" s="3"/>
      <c r="AV424" s="4"/>
      <c r="AW424" s="4"/>
      <c r="AX424" s="3"/>
      <c r="AY424" s="3"/>
      <c r="BB424" s="3">
        <v>-0.358912922728248</v>
      </c>
      <c r="BC424" s="3">
        <v>0.00694155213105651</v>
      </c>
    </row>
    <row r="425" s="3" customFormat="1" spans="1:55">
      <c r="A425" s="4">
        <v>424</v>
      </c>
      <c r="B425" s="6">
        <v>74</v>
      </c>
      <c r="C425" s="24" t="s">
        <v>298</v>
      </c>
      <c r="D425" s="13" t="s">
        <v>299</v>
      </c>
      <c r="E425" s="25">
        <v>38.833</v>
      </c>
      <c r="F425" s="25">
        <v>-0.7</v>
      </c>
      <c r="G425" s="26">
        <v>14.2</v>
      </c>
      <c r="H425" s="27">
        <v>479</v>
      </c>
      <c r="I425" s="3"/>
      <c r="J425" s="13" t="s">
        <v>181</v>
      </c>
      <c r="K425" s="5" t="s">
        <v>182</v>
      </c>
      <c r="L425" s="3">
        <v>2008</v>
      </c>
      <c r="M425" s="3">
        <v>7</v>
      </c>
      <c r="N425" s="13" t="s">
        <v>96</v>
      </c>
      <c r="O425" s="36" t="s">
        <v>80</v>
      </c>
      <c r="P425" s="12"/>
      <c r="Q425" s="3">
        <v>26.17946</v>
      </c>
      <c r="R425" s="12"/>
      <c r="S425" s="13"/>
      <c r="T425" s="21">
        <v>12</v>
      </c>
      <c r="U425" s="21">
        <v>22</v>
      </c>
      <c r="V425" s="21">
        <v>66</v>
      </c>
      <c r="W425" s="3"/>
      <c r="X425" s="3"/>
      <c r="Y425" s="13" t="s">
        <v>82</v>
      </c>
      <c r="Z425" s="3">
        <v>3</v>
      </c>
      <c r="AA425" s="3">
        <v>3</v>
      </c>
      <c r="AB425" s="9">
        <v>-0.937500115291147</v>
      </c>
      <c r="AC425" s="9">
        <v>0.000256361683990304</v>
      </c>
      <c r="AD425" s="25"/>
      <c r="AE425" s="25"/>
      <c r="AF425" s="9"/>
      <c r="AG425" s="9"/>
      <c r="AH425" s="25">
        <v>-0.615791534108097</v>
      </c>
      <c r="AI425" s="25">
        <v>0.00694155213105648</v>
      </c>
      <c r="AJ425" s="4">
        <v>-0.321708581183052</v>
      </c>
      <c r="AK425" s="4">
        <v>0.00719791381504678</v>
      </c>
      <c r="AL425" s="3"/>
      <c r="AM425" s="3"/>
      <c r="AN425" s="4"/>
      <c r="AO425" s="4"/>
      <c r="AP425" s="3"/>
      <c r="AQ425" s="3"/>
      <c r="AR425" s="4"/>
      <c r="AS425" s="4"/>
      <c r="AT425" s="3"/>
      <c r="AU425" s="3"/>
      <c r="AV425" s="4"/>
      <c r="AW425" s="4"/>
      <c r="AX425" s="3"/>
      <c r="AY425" s="3"/>
      <c r="BB425" s="3">
        <v>-0.519104231866317</v>
      </c>
      <c r="BC425" s="3">
        <v>0.00694155213105651</v>
      </c>
    </row>
    <row r="426" s="3" customFormat="1" spans="1:55">
      <c r="A426" s="4">
        <v>425</v>
      </c>
      <c r="B426" s="6">
        <v>74</v>
      </c>
      <c r="C426" s="24" t="s">
        <v>298</v>
      </c>
      <c r="D426" s="13" t="s">
        <v>299</v>
      </c>
      <c r="E426" s="25">
        <v>38.833</v>
      </c>
      <c r="F426" s="25">
        <v>-0.7</v>
      </c>
      <c r="G426" s="26">
        <v>14.2</v>
      </c>
      <c r="H426" s="27">
        <v>479</v>
      </c>
      <c r="I426" s="3"/>
      <c r="J426" s="13" t="s">
        <v>181</v>
      </c>
      <c r="K426" s="5" t="s">
        <v>182</v>
      </c>
      <c r="L426" s="3">
        <v>2009</v>
      </c>
      <c r="M426" s="3">
        <v>7</v>
      </c>
      <c r="N426" s="13" t="s">
        <v>96</v>
      </c>
      <c r="O426" s="36" t="s">
        <v>80</v>
      </c>
      <c r="P426" s="12"/>
      <c r="Q426" s="3">
        <v>23.31919</v>
      </c>
      <c r="R426" s="12"/>
      <c r="S426" s="13"/>
      <c r="T426" s="21">
        <v>12</v>
      </c>
      <c r="U426" s="21">
        <v>22</v>
      </c>
      <c r="V426" s="21">
        <v>66</v>
      </c>
      <c r="W426" s="3"/>
      <c r="X426" s="3"/>
      <c r="Y426" s="13" t="s">
        <v>82</v>
      </c>
      <c r="Z426" s="3">
        <v>3</v>
      </c>
      <c r="AA426" s="3">
        <v>3</v>
      </c>
      <c r="AB426" s="9">
        <v>-0.502541405840024</v>
      </c>
      <c r="AC426" s="9">
        <v>0.000256361683990304</v>
      </c>
      <c r="AD426" s="25"/>
      <c r="AE426" s="25"/>
      <c r="AF426" s="9"/>
      <c r="AG426" s="9"/>
      <c r="AH426" s="25">
        <v>-0.534385533994668</v>
      </c>
      <c r="AI426" s="25">
        <v>0.00694155213105652</v>
      </c>
      <c r="AJ426" s="4">
        <v>0.0318441281546433</v>
      </c>
      <c r="AK426" s="4">
        <v>0.00719791381504683</v>
      </c>
      <c r="AL426" s="3"/>
      <c r="AM426" s="3"/>
      <c r="AN426" s="4"/>
      <c r="AO426" s="4"/>
      <c r="AP426" s="3"/>
      <c r="AQ426" s="3"/>
      <c r="AR426" s="4"/>
      <c r="AS426" s="4"/>
      <c r="AT426" s="3"/>
      <c r="AU426" s="3"/>
      <c r="AV426" s="4"/>
      <c r="AW426" s="4"/>
      <c r="AX426" s="3"/>
      <c r="AY426" s="3"/>
      <c r="BB426" s="3">
        <v>-0.395751696935305</v>
      </c>
      <c r="BC426" s="3">
        <v>0.00694155213105651</v>
      </c>
    </row>
    <row r="427" s="3" customFormat="1" spans="1:55">
      <c r="A427" s="4">
        <v>426</v>
      </c>
      <c r="B427" s="6">
        <v>74</v>
      </c>
      <c r="C427" s="24" t="s">
        <v>298</v>
      </c>
      <c r="D427" s="13" t="s">
        <v>299</v>
      </c>
      <c r="E427" s="25">
        <v>38.833</v>
      </c>
      <c r="F427" s="25">
        <v>-0.7</v>
      </c>
      <c r="G427" s="26">
        <v>14.2</v>
      </c>
      <c r="H427" s="27">
        <v>479</v>
      </c>
      <c r="I427" s="3"/>
      <c r="J427" s="13" t="s">
        <v>181</v>
      </c>
      <c r="K427" s="5" t="s">
        <v>182</v>
      </c>
      <c r="L427" s="3">
        <v>2005</v>
      </c>
      <c r="M427" s="3">
        <v>7</v>
      </c>
      <c r="N427" s="13" t="s">
        <v>96</v>
      </c>
      <c r="O427" s="36" t="s">
        <v>80</v>
      </c>
      <c r="P427" s="12"/>
      <c r="Q427" s="3">
        <v>14.857512</v>
      </c>
      <c r="R427" s="12"/>
      <c r="S427" s="13"/>
      <c r="T427" s="21">
        <v>12</v>
      </c>
      <c r="U427" s="21">
        <v>22</v>
      </c>
      <c r="V427" s="21">
        <v>66</v>
      </c>
      <c r="W427" s="3"/>
      <c r="X427" s="3"/>
      <c r="Y427" s="13" t="s">
        <v>82</v>
      </c>
      <c r="Z427" s="3">
        <v>3</v>
      </c>
      <c r="AA427" s="3">
        <v>3</v>
      </c>
      <c r="AB427" s="9">
        <v>-0.38195738019564</v>
      </c>
      <c r="AC427" s="9">
        <v>0.000256361683990305</v>
      </c>
      <c r="AD427" s="25"/>
      <c r="AE427" s="25"/>
      <c r="AF427" s="9"/>
      <c r="AG427" s="9"/>
      <c r="AH427" s="25">
        <v>0.134869970260367</v>
      </c>
      <c r="AI427" s="25">
        <v>0.00694155213105649</v>
      </c>
      <c r="AJ427" s="4">
        <v>-0.516827350456006</v>
      </c>
      <c r="AK427" s="4">
        <v>0.00719791381504679</v>
      </c>
      <c r="AL427" s="3"/>
      <c r="AM427" s="3"/>
      <c r="AN427" s="4"/>
      <c r="AO427" s="4"/>
      <c r="AP427" s="3"/>
      <c r="AQ427" s="3"/>
      <c r="AR427" s="4"/>
      <c r="AS427" s="4"/>
      <c r="AT427" s="3"/>
      <c r="AU427" s="3"/>
      <c r="AV427" s="4"/>
      <c r="AW427" s="4"/>
      <c r="AX427" s="3"/>
      <c r="AY427" s="3"/>
      <c r="BB427" s="3">
        <v>-0.0862563501471234</v>
      </c>
      <c r="BC427" s="3">
        <v>0.0069415521310565</v>
      </c>
    </row>
    <row r="428" s="3" customFormat="1" spans="1:55">
      <c r="A428" s="4">
        <v>427</v>
      </c>
      <c r="B428" s="6">
        <v>74</v>
      </c>
      <c r="C428" s="24" t="s">
        <v>298</v>
      </c>
      <c r="D428" s="13" t="s">
        <v>299</v>
      </c>
      <c r="E428" s="25">
        <v>38.833</v>
      </c>
      <c r="F428" s="25">
        <v>-0.7</v>
      </c>
      <c r="G428" s="26">
        <v>14.2</v>
      </c>
      <c r="H428" s="27">
        <v>479</v>
      </c>
      <c r="I428" s="3"/>
      <c r="J428" s="13" t="s">
        <v>181</v>
      </c>
      <c r="K428" s="5" t="s">
        <v>182</v>
      </c>
      <c r="L428" s="3">
        <v>2006</v>
      </c>
      <c r="M428" s="3">
        <v>7</v>
      </c>
      <c r="N428" s="13" t="s">
        <v>96</v>
      </c>
      <c r="O428" s="36" t="s">
        <v>80</v>
      </c>
      <c r="P428" s="12"/>
      <c r="Q428" s="3">
        <v>18.671244</v>
      </c>
      <c r="R428" s="12"/>
      <c r="S428" s="13"/>
      <c r="T428" s="21">
        <v>12</v>
      </c>
      <c r="U428" s="21">
        <v>22</v>
      </c>
      <c r="V428" s="21">
        <v>66</v>
      </c>
      <c r="W428" s="3"/>
      <c r="X428" s="3"/>
      <c r="Y428" s="13" t="s">
        <v>82</v>
      </c>
      <c r="Z428" s="3">
        <v>3</v>
      </c>
      <c r="AA428" s="3">
        <v>3</v>
      </c>
      <c r="AB428" s="9">
        <v>-0.524906971142422</v>
      </c>
      <c r="AC428" s="9">
        <v>0.000256361683990305</v>
      </c>
      <c r="AD428" s="25"/>
      <c r="AE428" s="25"/>
      <c r="AF428" s="9"/>
      <c r="AG428" s="9"/>
      <c r="AH428" s="25">
        <v>-0.00640407560626395</v>
      </c>
      <c r="AI428" s="25">
        <v>0.00694155213105653</v>
      </c>
      <c r="AJ428" s="4">
        <v>-0.518502895536156</v>
      </c>
      <c r="AK428" s="4">
        <v>0.00719791381504683</v>
      </c>
      <c r="AL428" s="3"/>
      <c r="AM428" s="3"/>
      <c r="AN428" s="4"/>
      <c r="AO428" s="4"/>
      <c r="AP428" s="3"/>
      <c r="AQ428" s="3"/>
      <c r="AR428" s="4"/>
      <c r="AS428" s="4"/>
      <c r="AT428" s="3"/>
      <c r="AU428" s="3"/>
      <c r="AV428" s="4"/>
      <c r="AW428" s="4"/>
      <c r="AX428" s="3"/>
      <c r="AY428" s="3"/>
      <c r="BB428" s="3">
        <v>-0.10199281045035</v>
      </c>
      <c r="BC428" s="3">
        <v>0.00694155213105651</v>
      </c>
    </row>
    <row r="429" s="3" customFormat="1" spans="1:55">
      <c r="A429" s="4">
        <v>428</v>
      </c>
      <c r="B429" s="6">
        <v>74</v>
      </c>
      <c r="C429" s="24" t="s">
        <v>298</v>
      </c>
      <c r="D429" s="13" t="s">
        <v>299</v>
      </c>
      <c r="E429" s="25">
        <v>38.833</v>
      </c>
      <c r="F429" s="25">
        <v>-0.7</v>
      </c>
      <c r="G429" s="26">
        <v>14.2</v>
      </c>
      <c r="H429" s="27">
        <v>479</v>
      </c>
      <c r="I429" s="3"/>
      <c r="J429" s="13" t="s">
        <v>181</v>
      </c>
      <c r="K429" s="5" t="s">
        <v>182</v>
      </c>
      <c r="L429" s="3">
        <v>2007</v>
      </c>
      <c r="M429" s="3">
        <v>7</v>
      </c>
      <c r="N429" s="13" t="s">
        <v>96</v>
      </c>
      <c r="O429" s="36" t="s">
        <v>80</v>
      </c>
      <c r="P429" s="12"/>
      <c r="Q429" s="3">
        <v>22.008216</v>
      </c>
      <c r="R429" s="12"/>
      <c r="S429" s="13"/>
      <c r="T429" s="21">
        <v>12</v>
      </c>
      <c r="U429" s="21">
        <v>22</v>
      </c>
      <c r="V429" s="21">
        <v>66</v>
      </c>
      <c r="W429" s="3"/>
      <c r="X429" s="3"/>
      <c r="Y429" s="13" t="s">
        <v>82</v>
      </c>
      <c r="Z429" s="3">
        <v>3</v>
      </c>
      <c r="AA429" s="3">
        <v>3</v>
      </c>
      <c r="AB429" s="9">
        <v>0.0284653777333942</v>
      </c>
      <c r="AC429" s="9">
        <v>0.000256361683990305</v>
      </c>
      <c r="AD429" s="25"/>
      <c r="AE429" s="25"/>
      <c r="AF429" s="9"/>
      <c r="AG429" s="9"/>
      <c r="AH429" s="25">
        <v>0.0930094843597021</v>
      </c>
      <c r="AI429" s="25">
        <v>0.0069415521310565</v>
      </c>
      <c r="AJ429" s="4">
        <v>-0.0645441066263069</v>
      </c>
      <c r="AK429" s="4">
        <v>0.00719791381504681</v>
      </c>
      <c r="AL429" s="3"/>
      <c r="AM429" s="3"/>
      <c r="AN429" s="4"/>
      <c r="AO429" s="4"/>
      <c r="AP429" s="3"/>
      <c r="AQ429" s="3"/>
      <c r="AR429" s="4"/>
      <c r="AS429" s="4"/>
      <c r="AT429" s="3"/>
      <c r="AU429" s="3"/>
      <c r="AV429" s="4"/>
      <c r="AW429" s="4"/>
      <c r="AX429" s="3"/>
      <c r="AY429" s="3"/>
      <c r="BB429" s="3">
        <v>-0.199621871856653</v>
      </c>
      <c r="BC429" s="3">
        <v>0.0069415521310565</v>
      </c>
    </row>
    <row r="430" s="3" customFormat="1" spans="1:55">
      <c r="A430" s="4">
        <v>429</v>
      </c>
      <c r="B430" s="6">
        <v>74</v>
      </c>
      <c r="C430" s="24" t="s">
        <v>298</v>
      </c>
      <c r="D430" s="13" t="s">
        <v>299</v>
      </c>
      <c r="E430" s="25">
        <v>38.833</v>
      </c>
      <c r="F430" s="25">
        <v>-0.7</v>
      </c>
      <c r="G430" s="26">
        <v>14.2</v>
      </c>
      <c r="H430" s="27">
        <v>479</v>
      </c>
      <c r="I430" s="3"/>
      <c r="J430" s="13" t="s">
        <v>181</v>
      </c>
      <c r="K430" s="5" t="s">
        <v>182</v>
      </c>
      <c r="L430" s="3">
        <v>2008</v>
      </c>
      <c r="M430" s="3">
        <v>7</v>
      </c>
      <c r="N430" s="13" t="s">
        <v>96</v>
      </c>
      <c r="O430" s="36" t="s">
        <v>80</v>
      </c>
      <c r="P430" s="12"/>
      <c r="Q430" s="3">
        <v>26.17946</v>
      </c>
      <c r="R430" s="12"/>
      <c r="S430" s="13"/>
      <c r="T430" s="21">
        <v>12</v>
      </c>
      <c r="U430" s="21">
        <v>22</v>
      </c>
      <c r="V430" s="21">
        <v>66</v>
      </c>
      <c r="W430" s="3"/>
      <c r="X430" s="3"/>
      <c r="Y430" s="13" t="s">
        <v>82</v>
      </c>
      <c r="Z430" s="3">
        <v>3</v>
      </c>
      <c r="AA430" s="3">
        <v>3</v>
      </c>
      <c r="AB430" s="9">
        <v>-0.11358252716489</v>
      </c>
      <c r="AC430" s="9">
        <v>0.000256361683990305</v>
      </c>
      <c r="AD430" s="25"/>
      <c r="AE430" s="25"/>
      <c r="AF430" s="9"/>
      <c r="AG430" s="9"/>
      <c r="AH430" s="25">
        <v>0.087138020423734</v>
      </c>
      <c r="AI430" s="25">
        <v>0.00694155213105649</v>
      </c>
      <c r="AJ430" s="4">
        <v>-0.200720547588624</v>
      </c>
      <c r="AK430" s="4">
        <v>0.00719791381504679</v>
      </c>
      <c r="AL430" s="3"/>
      <c r="AM430" s="3"/>
      <c r="AN430" s="4"/>
      <c r="AO430" s="4"/>
      <c r="AP430" s="3"/>
      <c r="AQ430" s="3"/>
      <c r="AR430" s="4"/>
      <c r="AS430" s="4"/>
      <c r="AT430" s="3"/>
      <c r="AU430" s="3"/>
      <c r="AV430" s="4"/>
      <c r="AW430" s="4"/>
      <c r="AX430" s="3"/>
      <c r="AY430" s="3"/>
      <c r="BB430" s="3">
        <v>-0.109906218405017</v>
      </c>
      <c r="BC430" s="3">
        <v>0.00694155213105651</v>
      </c>
    </row>
    <row r="431" s="3" customFormat="1" spans="1:55">
      <c r="A431" s="4">
        <v>430</v>
      </c>
      <c r="B431" s="6">
        <v>74</v>
      </c>
      <c r="C431" s="24" t="s">
        <v>298</v>
      </c>
      <c r="D431" s="13" t="s">
        <v>299</v>
      </c>
      <c r="E431" s="25">
        <v>38.833</v>
      </c>
      <c r="F431" s="25">
        <v>-0.7</v>
      </c>
      <c r="G431" s="26">
        <v>14.2</v>
      </c>
      <c r="H431" s="27">
        <v>479</v>
      </c>
      <c r="I431" s="3"/>
      <c r="J431" s="13" t="s">
        <v>181</v>
      </c>
      <c r="K431" s="5" t="s">
        <v>182</v>
      </c>
      <c r="L431" s="3">
        <v>2009</v>
      </c>
      <c r="M431" s="3">
        <v>7</v>
      </c>
      <c r="N431" s="13" t="s">
        <v>96</v>
      </c>
      <c r="O431" s="36" t="s">
        <v>80</v>
      </c>
      <c r="P431" s="12"/>
      <c r="Q431" s="3">
        <v>23.31919</v>
      </c>
      <c r="R431" s="12"/>
      <c r="S431" s="13"/>
      <c r="T431" s="21">
        <v>12</v>
      </c>
      <c r="U431" s="21">
        <v>22</v>
      </c>
      <c r="V431" s="21">
        <v>66</v>
      </c>
      <c r="W431" s="3"/>
      <c r="X431" s="3"/>
      <c r="Y431" s="13" t="s">
        <v>82</v>
      </c>
      <c r="Z431" s="3">
        <v>3</v>
      </c>
      <c r="AA431" s="3">
        <v>3</v>
      </c>
      <c r="AB431" s="9">
        <v>0.292535823240627</v>
      </c>
      <c r="AC431" s="9">
        <v>0.000256361683990305</v>
      </c>
      <c r="AD431" s="25"/>
      <c r="AE431" s="25"/>
      <c r="AF431" s="9"/>
      <c r="AG431" s="9"/>
      <c r="AH431" s="25">
        <v>0.044969727539074</v>
      </c>
      <c r="AI431" s="25">
        <v>0.00694155213105651</v>
      </c>
      <c r="AJ431" s="4">
        <v>0.247566095701554</v>
      </c>
      <c r="AK431" s="4">
        <v>0.00719791381504681</v>
      </c>
      <c r="AL431" s="3"/>
      <c r="AM431" s="3"/>
      <c r="AN431" s="4"/>
      <c r="AO431" s="4"/>
      <c r="AP431" s="3"/>
      <c r="AQ431" s="3"/>
      <c r="AR431" s="4"/>
      <c r="AS431" s="4"/>
      <c r="AT431" s="3"/>
      <c r="AU431" s="3"/>
      <c r="AV431" s="4"/>
      <c r="AW431" s="4"/>
      <c r="AX431" s="3"/>
      <c r="AY431" s="3"/>
      <c r="BB431" s="3">
        <v>-0.0085634902071832</v>
      </c>
      <c r="BC431" s="3">
        <v>0.0069415521310565</v>
      </c>
    </row>
    <row r="432" s="3" customFormat="1" spans="1:55">
      <c r="A432" s="4">
        <v>431</v>
      </c>
      <c r="B432" s="6">
        <v>74</v>
      </c>
      <c r="C432" s="24" t="s">
        <v>298</v>
      </c>
      <c r="D432" s="13" t="s">
        <v>299</v>
      </c>
      <c r="E432" s="25">
        <v>38.833</v>
      </c>
      <c r="F432" s="25">
        <v>-0.7</v>
      </c>
      <c r="G432" s="26">
        <v>14.2</v>
      </c>
      <c r="H432" s="27">
        <v>479</v>
      </c>
      <c r="I432" s="3"/>
      <c r="J432" s="13" t="s">
        <v>181</v>
      </c>
      <c r="K432" s="5" t="s">
        <v>182</v>
      </c>
      <c r="L432" s="3">
        <v>2005</v>
      </c>
      <c r="M432" s="3">
        <v>7</v>
      </c>
      <c r="N432" s="13" t="s">
        <v>96</v>
      </c>
      <c r="O432" s="36" t="s">
        <v>80</v>
      </c>
      <c r="P432" s="12"/>
      <c r="Q432" s="3">
        <v>14.857512</v>
      </c>
      <c r="R432" s="12"/>
      <c r="S432" s="13"/>
      <c r="T432" s="21">
        <v>12</v>
      </c>
      <c r="U432" s="21">
        <v>22</v>
      </c>
      <c r="V432" s="21">
        <v>66</v>
      </c>
      <c r="W432" s="3"/>
      <c r="X432" s="3"/>
      <c r="Y432" s="13" t="s">
        <v>82</v>
      </c>
      <c r="Z432" s="3">
        <v>3</v>
      </c>
      <c r="AA432" s="3">
        <v>3</v>
      </c>
      <c r="AB432" s="9">
        <v>-0.796633427159042</v>
      </c>
      <c r="AC432" s="9">
        <v>0.000256361683990305</v>
      </c>
      <c r="AD432" s="25"/>
      <c r="AE432" s="25"/>
      <c r="AF432" s="9"/>
      <c r="AG432" s="9"/>
      <c r="AH432" s="25">
        <v>-0.24408134977327</v>
      </c>
      <c r="AI432" s="25">
        <v>0.0069415521310565</v>
      </c>
      <c r="AJ432" s="4">
        <v>-0.552552077385772</v>
      </c>
      <c r="AK432" s="4">
        <v>0.0071979138150468</v>
      </c>
      <c r="AL432" s="3"/>
      <c r="AM432" s="3"/>
      <c r="AN432" s="4"/>
      <c r="AO432" s="4"/>
      <c r="AP432" s="3"/>
      <c r="AQ432" s="3"/>
      <c r="AR432" s="4"/>
      <c r="AS432" s="4"/>
      <c r="AT432" s="3"/>
      <c r="AU432" s="3"/>
      <c r="AV432" s="4"/>
      <c r="AW432" s="4"/>
      <c r="AX432" s="3"/>
      <c r="AY432" s="3"/>
      <c r="BB432" s="3">
        <v>-0.493631866458268</v>
      </c>
      <c r="BC432" s="3">
        <v>0.00694155213105651</v>
      </c>
    </row>
    <row r="433" s="3" customFormat="1" spans="1:55">
      <c r="A433" s="4">
        <v>432</v>
      </c>
      <c r="B433" s="6">
        <v>74</v>
      </c>
      <c r="C433" s="24" t="s">
        <v>298</v>
      </c>
      <c r="D433" s="13" t="s">
        <v>299</v>
      </c>
      <c r="E433" s="25">
        <v>38.833</v>
      </c>
      <c r="F433" s="25">
        <v>-0.7</v>
      </c>
      <c r="G433" s="26">
        <v>14.2</v>
      </c>
      <c r="H433" s="27">
        <v>479</v>
      </c>
      <c r="I433" s="3"/>
      <c r="J433" s="13" t="s">
        <v>181</v>
      </c>
      <c r="K433" s="5" t="s">
        <v>182</v>
      </c>
      <c r="L433" s="3">
        <v>2006</v>
      </c>
      <c r="M433" s="3">
        <v>7</v>
      </c>
      <c r="N433" s="13" t="s">
        <v>96</v>
      </c>
      <c r="O433" s="36" t="s">
        <v>80</v>
      </c>
      <c r="P433" s="12"/>
      <c r="Q433" s="3">
        <v>18.671244</v>
      </c>
      <c r="R433" s="12"/>
      <c r="S433" s="13"/>
      <c r="T433" s="21">
        <v>12</v>
      </c>
      <c r="U433" s="21">
        <v>22</v>
      </c>
      <c r="V433" s="21">
        <v>66</v>
      </c>
      <c r="W433" s="3"/>
      <c r="X433" s="3"/>
      <c r="Y433" s="13" t="s">
        <v>82</v>
      </c>
      <c r="Z433" s="3">
        <v>3</v>
      </c>
      <c r="AA433" s="3">
        <v>3</v>
      </c>
      <c r="AB433" s="9">
        <v>-0.963390726646057</v>
      </c>
      <c r="AC433" s="9">
        <v>0.000256361683990306</v>
      </c>
      <c r="AD433" s="25"/>
      <c r="AE433" s="25"/>
      <c r="AF433" s="9"/>
      <c r="AG433" s="9"/>
      <c r="AH433" s="25">
        <v>-0.482853057123498</v>
      </c>
      <c r="AI433" s="25">
        <v>0.00694155213105652</v>
      </c>
      <c r="AJ433" s="4">
        <v>-0.480537669522559</v>
      </c>
      <c r="AK433" s="4">
        <v>0.00719791381504684</v>
      </c>
      <c r="AL433" s="3"/>
      <c r="AM433" s="3"/>
      <c r="AN433" s="4"/>
      <c r="AO433" s="4"/>
      <c r="AP433" s="3"/>
      <c r="AQ433" s="3"/>
      <c r="AR433" s="4"/>
      <c r="AS433" s="4"/>
      <c r="AT433" s="3"/>
      <c r="AU433" s="3"/>
      <c r="AV433" s="4"/>
      <c r="AW433" s="4"/>
      <c r="AX433" s="3"/>
      <c r="AY433" s="3"/>
      <c r="BB433" s="3">
        <v>-0.41696791946586</v>
      </c>
      <c r="BC433" s="3">
        <v>0.00694155213105651</v>
      </c>
    </row>
    <row r="434" s="3" customFormat="1" spans="1:55">
      <c r="A434" s="4">
        <v>433</v>
      </c>
      <c r="B434" s="6">
        <v>74</v>
      </c>
      <c r="C434" s="24" t="s">
        <v>298</v>
      </c>
      <c r="D434" s="13" t="s">
        <v>299</v>
      </c>
      <c r="E434" s="25">
        <v>38.833</v>
      </c>
      <c r="F434" s="25">
        <v>-0.7</v>
      </c>
      <c r="G434" s="26">
        <v>14.2</v>
      </c>
      <c r="H434" s="27">
        <v>479</v>
      </c>
      <c r="I434" s="3"/>
      <c r="J434" s="13" t="s">
        <v>181</v>
      </c>
      <c r="K434" s="5" t="s">
        <v>182</v>
      </c>
      <c r="L434" s="3">
        <v>2007</v>
      </c>
      <c r="M434" s="3">
        <v>7</v>
      </c>
      <c r="N434" s="13" t="s">
        <v>96</v>
      </c>
      <c r="O434" s="36" t="s">
        <v>80</v>
      </c>
      <c r="P434" s="12"/>
      <c r="Q434" s="3">
        <v>22.008216</v>
      </c>
      <c r="R434" s="12"/>
      <c r="S434" s="13"/>
      <c r="T434" s="21">
        <v>12</v>
      </c>
      <c r="U434" s="21">
        <v>22</v>
      </c>
      <c r="V434" s="21">
        <v>66</v>
      </c>
      <c r="W434" s="3"/>
      <c r="X434" s="3"/>
      <c r="Y434" s="13" t="s">
        <v>82</v>
      </c>
      <c r="Z434" s="3">
        <v>3</v>
      </c>
      <c r="AA434" s="3">
        <v>3</v>
      </c>
      <c r="AB434" s="9">
        <v>-0.525704016563378</v>
      </c>
      <c r="AC434" s="9">
        <v>0.000256361683990306</v>
      </c>
      <c r="AD434" s="25"/>
      <c r="AE434" s="25"/>
      <c r="AF434" s="9"/>
      <c r="AG434" s="9"/>
      <c r="AH434" s="25">
        <v>-0.60673904814804</v>
      </c>
      <c r="AI434" s="25">
        <v>0.0069415521310565</v>
      </c>
      <c r="AJ434" s="4">
        <v>0.0810350315846626</v>
      </c>
      <c r="AK434" s="4">
        <v>0.00719791381504681</v>
      </c>
      <c r="AL434" s="3"/>
      <c r="AM434" s="3"/>
      <c r="AN434" s="4"/>
      <c r="AO434" s="4"/>
      <c r="AP434" s="3"/>
      <c r="AQ434" s="3"/>
      <c r="AR434" s="4"/>
      <c r="AS434" s="4"/>
      <c r="AT434" s="3"/>
      <c r="AU434" s="3"/>
      <c r="AV434" s="4"/>
      <c r="AW434" s="4"/>
      <c r="AX434" s="3"/>
      <c r="AY434" s="3"/>
      <c r="BB434" s="3">
        <v>-0.76476778529604</v>
      </c>
      <c r="BC434" s="3">
        <v>0.00694155213105651</v>
      </c>
    </row>
    <row r="435" s="3" customFormat="1" spans="1:55">
      <c r="A435" s="4">
        <v>434</v>
      </c>
      <c r="B435" s="6">
        <v>74</v>
      </c>
      <c r="C435" s="24" t="s">
        <v>298</v>
      </c>
      <c r="D435" s="13" t="s">
        <v>299</v>
      </c>
      <c r="E435" s="25">
        <v>38.833</v>
      </c>
      <c r="F435" s="25">
        <v>-0.7</v>
      </c>
      <c r="G435" s="26">
        <v>14.2</v>
      </c>
      <c r="H435" s="27">
        <v>479</v>
      </c>
      <c r="I435" s="3"/>
      <c r="J435" s="13" t="s">
        <v>181</v>
      </c>
      <c r="K435" s="5" t="s">
        <v>182</v>
      </c>
      <c r="L435" s="3">
        <v>2008</v>
      </c>
      <c r="M435" s="3">
        <v>7</v>
      </c>
      <c r="N435" s="13" t="s">
        <v>96</v>
      </c>
      <c r="O435" s="36" t="s">
        <v>80</v>
      </c>
      <c r="P435" s="12"/>
      <c r="Q435" s="3">
        <v>26.17946</v>
      </c>
      <c r="R435" s="12"/>
      <c r="S435" s="13"/>
      <c r="T435" s="21">
        <v>12</v>
      </c>
      <c r="U435" s="21">
        <v>22</v>
      </c>
      <c r="V435" s="21">
        <v>66</v>
      </c>
      <c r="W435" s="3"/>
      <c r="X435" s="3"/>
      <c r="Y435" s="13" t="s">
        <v>82</v>
      </c>
      <c r="Z435" s="3">
        <v>3</v>
      </c>
      <c r="AA435" s="3">
        <v>3</v>
      </c>
      <c r="AB435" s="9">
        <v>-0.746713157469924</v>
      </c>
      <c r="AC435" s="9">
        <v>0.000256361683990304</v>
      </c>
      <c r="AD435" s="25"/>
      <c r="AE435" s="25"/>
      <c r="AF435" s="9"/>
      <c r="AG435" s="9"/>
      <c r="AH435" s="25">
        <v>-0.703824984234336</v>
      </c>
      <c r="AI435" s="25">
        <v>0.00694155213105652</v>
      </c>
      <c r="AJ435" s="4">
        <v>-0.0428881732355892</v>
      </c>
      <c r="AK435" s="4">
        <v>0.00719791381504682</v>
      </c>
      <c r="AL435" s="3"/>
      <c r="AM435" s="3"/>
      <c r="AN435" s="4"/>
      <c r="AO435" s="4"/>
      <c r="AP435" s="3"/>
      <c r="AQ435" s="3"/>
      <c r="AR435" s="4"/>
      <c r="AS435" s="4"/>
      <c r="AT435" s="3"/>
      <c r="AU435" s="3"/>
      <c r="AV435" s="4"/>
      <c r="AW435" s="4"/>
      <c r="AX435" s="3"/>
      <c r="AY435" s="3"/>
      <c r="BB435" s="3">
        <v>-0.637465841431544</v>
      </c>
      <c r="BC435" s="3">
        <v>0.00694155213105651</v>
      </c>
    </row>
    <row r="436" s="3" customFormat="1" spans="1:55">
      <c r="A436" s="4">
        <v>435</v>
      </c>
      <c r="B436" s="6">
        <v>74</v>
      </c>
      <c r="C436" s="24" t="s">
        <v>298</v>
      </c>
      <c r="D436" s="13" t="s">
        <v>299</v>
      </c>
      <c r="E436" s="25">
        <v>38.833</v>
      </c>
      <c r="F436" s="25">
        <v>-0.7</v>
      </c>
      <c r="G436" s="26">
        <v>14.2</v>
      </c>
      <c r="H436" s="27">
        <v>479</v>
      </c>
      <c r="I436" s="3"/>
      <c r="J436" s="13" t="s">
        <v>181</v>
      </c>
      <c r="K436" s="5" t="s">
        <v>182</v>
      </c>
      <c r="L436" s="3">
        <v>2009</v>
      </c>
      <c r="M436" s="3">
        <v>7</v>
      </c>
      <c r="N436" s="13" t="s">
        <v>96</v>
      </c>
      <c r="O436" s="36" t="s">
        <v>80</v>
      </c>
      <c r="P436" s="12"/>
      <c r="Q436" s="3">
        <v>23.31919</v>
      </c>
      <c r="R436" s="12"/>
      <c r="S436" s="13"/>
      <c r="T436" s="21">
        <v>12</v>
      </c>
      <c r="U436" s="21">
        <v>22</v>
      </c>
      <c r="V436" s="21">
        <v>66</v>
      </c>
      <c r="W436" s="3"/>
      <c r="X436" s="3"/>
      <c r="Y436" s="13" t="s">
        <v>82</v>
      </c>
      <c r="Z436" s="3">
        <v>3</v>
      </c>
      <c r="AA436" s="3">
        <v>3</v>
      </c>
      <c r="AB436" s="9">
        <v>-0.27446990595565</v>
      </c>
      <c r="AC436" s="9">
        <v>0.000256361683990305</v>
      </c>
      <c r="AD436" s="25"/>
      <c r="AE436" s="25"/>
      <c r="AF436" s="9"/>
      <c r="AG436" s="9"/>
      <c r="AH436" s="25">
        <v>-0.46694157751523</v>
      </c>
      <c r="AI436" s="25">
        <v>0.00694155213105649</v>
      </c>
      <c r="AJ436" s="4">
        <v>0.192471671559579</v>
      </c>
      <c r="AK436" s="4">
        <v>0.00719791381504679</v>
      </c>
      <c r="AL436" s="3"/>
      <c r="AM436" s="3"/>
      <c r="AN436" s="4"/>
      <c r="AO436" s="4"/>
      <c r="AP436" s="3"/>
      <c r="AQ436" s="3"/>
      <c r="AR436" s="4"/>
      <c r="AS436" s="4"/>
      <c r="AT436" s="3"/>
      <c r="AU436" s="3"/>
      <c r="AV436" s="4"/>
      <c r="AW436" s="4"/>
      <c r="AX436" s="3"/>
      <c r="AY436" s="3"/>
      <c r="BB436" s="3">
        <v>-0.322612308498025</v>
      </c>
      <c r="BC436" s="3">
        <v>0.0069415521310565</v>
      </c>
    </row>
    <row r="437" s="3" customFormat="1" spans="1:55">
      <c r="A437" s="4">
        <v>436</v>
      </c>
      <c r="B437" s="6">
        <v>74</v>
      </c>
      <c r="C437" s="24" t="s">
        <v>298</v>
      </c>
      <c r="D437" s="13" t="s">
        <v>299</v>
      </c>
      <c r="E437" s="25">
        <v>38.833</v>
      </c>
      <c r="F437" s="25">
        <v>-0.7</v>
      </c>
      <c r="G437" s="26">
        <v>14.2</v>
      </c>
      <c r="H437" s="27">
        <v>479</v>
      </c>
      <c r="I437" s="3"/>
      <c r="J437" s="13" t="s">
        <v>181</v>
      </c>
      <c r="K437" s="5" t="s">
        <v>182</v>
      </c>
      <c r="L437" s="3">
        <v>2005</v>
      </c>
      <c r="M437" s="3">
        <v>7</v>
      </c>
      <c r="N437" s="13" t="s">
        <v>96</v>
      </c>
      <c r="O437" s="36" t="s">
        <v>80</v>
      </c>
      <c r="P437" s="12"/>
      <c r="Q437" s="3">
        <v>14.857512</v>
      </c>
      <c r="R437" s="12"/>
      <c r="S437" s="13"/>
      <c r="T437" s="21">
        <v>12</v>
      </c>
      <c r="U437" s="21">
        <v>22</v>
      </c>
      <c r="V437" s="21">
        <v>66</v>
      </c>
      <c r="W437" s="3"/>
      <c r="X437" s="3"/>
      <c r="Y437" s="13" t="s">
        <v>82</v>
      </c>
      <c r="Z437" s="3">
        <v>3</v>
      </c>
      <c r="AA437" s="3">
        <v>3</v>
      </c>
      <c r="AB437" s="9">
        <v>-0.764022698855648</v>
      </c>
      <c r="AC437" s="9">
        <v>0.000256361683990305</v>
      </c>
      <c r="AD437" s="25"/>
      <c r="AE437" s="25"/>
      <c r="AF437" s="9"/>
      <c r="AG437" s="9"/>
      <c r="AH437" s="25">
        <v>-0.155933679293506</v>
      </c>
      <c r="AI437" s="25">
        <v>0.0069415521310565</v>
      </c>
      <c r="AJ437" s="4">
        <v>-0.608089019562142</v>
      </c>
      <c r="AK437" s="4">
        <v>0.00719791381504681</v>
      </c>
      <c r="AL437" s="3"/>
      <c r="AM437" s="3"/>
      <c r="AN437" s="4"/>
      <c r="AO437" s="4"/>
      <c r="AP437" s="3"/>
      <c r="AQ437" s="3"/>
      <c r="AR437" s="4"/>
      <c r="AS437" s="4"/>
      <c r="AT437" s="3"/>
      <c r="AU437" s="3"/>
      <c r="AV437" s="4"/>
      <c r="AW437" s="4"/>
      <c r="AX437" s="3"/>
      <c r="AY437" s="3"/>
      <c r="BB437" s="3">
        <v>-0.370854134832953</v>
      </c>
      <c r="BC437" s="3">
        <v>0.00694155213105651</v>
      </c>
    </row>
    <row r="438" s="3" customFormat="1" spans="1:55">
      <c r="A438" s="4">
        <v>437</v>
      </c>
      <c r="B438" s="6">
        <v>74</v>
      </c>
      <c r="C438" s="24" t="s">
        <v>298</v>
      </c>
      <c r="D438" s="13" t="s">
        <v>299</v>
      </c>
      <c r="E438" s="25">
        <v>38.833</v>
      </c>
      <c r="F438" s="25">
        <v>-0.7</v>
      </c>
      <c r="G438" s="26">
        <v>14.2</v>
      </c>
      <c r="H438" s="27">
        <v>479</v>
      </c>
      <c r="I438" s="3"/>
      <c r="J438" s="13" t="s">
        <v>181</v>
      </c>
      <c r="K438" s="5" t="s">
        <v>182</v>
      </c>
      <c r="L438" s="3">
        <v>2006</v>
      </c>
      <c r="M438" s="3">
        <v>7</v>
      </c>
      <c r="N438" s="13" t="s">
        <v>96</v>
      </c>
      <c r="O438" s="36" t="s">
        <v>80</v>
      </c>
      <c r="P438" s="12"/>
      <c r="Q438" s="3">
        <v>18.671244</v>
      </c>
      <c r="R438" s="12"/>
      <c r="S438" s="13"/>
      <c r="T438" s="21">
        <v>12</v>
      </c>
      <c r="U438" s="21">
        <v>22</v>
      </c>
      <c r="V438" s="21">
        <v>66</v>
      </c>
      <c r="W438" s="3"/>
      <c r="X438" s="3"/>
      <c r="Y438" s="13" t="s">
        <v>82</v>
      </c>
      <c r="Z438" s="3">
        <v>3</v>
      </c>
      <c r="AA438" s="3">
        <v>3</v>
      </c>
      <c r="AB438" s="9">
        <v>-0.855263424052964</v>
      </c>
      <c r="AC438" s="9">
        <v>0.000256361683990304</v>
      </c>
      <c r="AD438" s="25"/>
      <c r="AE438" s="25"/>
      <c r="AF438" s="9"/>
      <c r="AG438" s="9"/>
      <c r="AH438" s="25">
        <v>-0.558019606016711</v>
      </c>
      <c r="AI438" s="25">
        <v>0.00694155213105652</v>
      </c>
      <c r="AJ438" s="4">
        <v>-0.297243818036252</v>
      </c>
      <c r="AK438" s="4">
        <v>0.00719791381504682</v>
      </c>
      <c r="AL438" s="3"/>
      <c r="AM438" s="3"/>
      <c r="AN438" s="4"/>
      <c r="AO438" s="4"/>
      <c r="AP438" s="3"/>
      <c r="AQ438" s="3"/>
      <c r="AR438" s="4"/>
      <c r="AS438" s="4"/>
      <c r="AT438" s="3"/>
      <c r="AU438" s="3"/>
      <c r="AV438" s="4"/>
      <c r="AW438" s="4"/>
      <c r="AX438" s="3"/>
      <c r="AY438" s="3"/>
      <c r="BB438" s="3">
        <v>-0.275536245334673</v>
      </c>
      <c r="BC438" s="3">
        <v>0.0069415521310565</v>
      </c>
    </row>
    <row r="439" s="3" customFormat="1" spans="1:55">
      <c r="A439" s="4">
        <v>438</v>
      </c>
      <c r="B439" s="6">
        <v>74</v>
      </c>
      <c r="C439" s="24" t="s">
        <v>298</v>
      </c>
      <c r="D439" s="13" t="s">
        <v>299</v>
      </c>
      <c r="E439" s="25">
        <v>38.833</v>
      </c>
      <c r="F439" s="25">
        <v>-0.7</v>
      </c>
      <c r="G439" s="26">
        <v>14.2</v>
      </c>
      <c r="H439" s="27">
        <v>479</v>
      </c>
      <c r="I439" s="3"/>
      <c r="J439" s="13" t="s">
        <v>181</v>
      </c>
      <c r="K439" s="5" t="s">
        <v>182</v>
      </c>
      <c r="L439" s="3">
        <v>2007</v>
      </c>
      <c r="M439" s="3">
        <v>7</v>
      </c>
      <c r="N439" s="13" t="s">
        <v>96</v>
      </c>
      <c r="O439" s="36" t="s">
        <v>80</v>
      </c>
      <c r="P439" s="12"/>
      <c r="Q439" s="3">
        <v>22.008216</v>
      </c>
      <c r="R439" s="12"/>
      <c r="S439" s="13"/>
      <c r="T439" s="21">
        <v>12</v>
      </c>
      <c r="U439" s="21">
        <v>22</v>
      </c>
      <c r="V439" s="21">
        <v>66</v>
      </c>
      <c r="W439" s="3"/>
      <c r="X439" s="3"/>
      <c r="Y439" s="13" t="s">
        <v>82</v>
      </c>
      <c r="Z439" s="3">
        <v>3</v>
      </c>
      <c r="AA439" s="3">
        <v>3</v>
      </c>
      <c r="AB439" s="9">
        <v>-0.340412433113343</v>
      </c>
      <c r="AC439" s="9">
        <v>0.000256361683990306</v>
      </c>
      <c r="AD439" s="25"/>
      <c r="AE439" s="25"/>
      <c r="AF439" s="9"/>
      <c r="AG439" s="9"/>
      <c r="AH439" s="25">
        <v>-0.503034249323874</v>
      </c>
      <c r="AI439" s="25">
        <v>0.00694155213105652</v>
      </c>
      <c r="AJ439" s="4">
        <v>0.162621816210531</v>
      </c>
      <c r="AK439" s="4">
        <v>0.00719791381504683</v>
      </c>
      <c r="AL439" s="3"/>
      <c r="AM439" s="3"/>
      <c r="AN439" s="4"/>
      <c r="AO439" s="4"/>
      <c r="AP439" s="3"/>
      <c r="AQ439" s="3"/>
      <c r="AR439" s="4"/>
      <c r="AS439" s="4"/>
      <c r="AT439" s="3"/>
      <c r="AU439" s="3"/>
      <c r="AV439" s="4"/>
      <c r="AW439" s="4"/>
      <c r="AX439" s="3"/>
      <c r="AY439" s="3"/>
      <c r="BB439" s="3">
        <v>-0.347242637243487</v>
      </c>
      <c r="BC439" s="3">
        <v>0.00694155213105651</v>
      </c>
    </row>
    <row r="440" s="3" customFormat="1" spans="1:55">
      <c r="A440" s="4">
        <v>439</v>
      </c>
      <c r="B440" s="6">
        <v>74</v>
      </c>
      <c r="C440" s="24" t="s">
        <v>298</v>
      </c>
      <c r="D440" s="13" t="s">
        <v>299</v>
      </c>
      <c r="E440" s="25">
        <v>38.833</v>
      </c>
      <c r="F440" s="25">
        <v>-0.7</v>
      </c>
      <c r="G440" s="26">
        <v>14.2</v>
      </c>
      <c r="H440" s="27">
        <v>479</v>
      </c>
      <c r="I440" s="3"/>
      <c r="J440" s="13" t="s">
        <v>181</v>
      </c>
      <c r="K440" s="5" t="s">
        <v>182</v>
      </c>
      <c r="L440" s="3">
        <v>2008</v>
      </c>
      <c r="M440" s="3">
        <v>7</v>
      </c>
      <c r="N440" s="13" t="s">
        <v>96</v>
      </c>
      <c r="O440" s="36" t="s">
        <v>80</v>
      </c>
      <c r="P440" s="12"/>
      <c r="Q440" s="3">
        <v>26.17946</v>
      </c>
      <c r="R440" s="12"/>
      <c r="S440" s="13"/>
      <c r="T440" s="21">
        <v>12</v>
      </c>
      <c r="U440" s="21">
        <v>22</v>
      </c>
      <c r="V440" s="21">
        <v>66</v>
      </c>
      <c r="W440" s="3"/>
      <c r="X440" s="3"/>
      <c r="Y440" s="13" t="s">
        <v>82</v>
      </c>
      <c r="Z440" s="3">
        <v>3</v>
      </c>
      <c r="AA440" s="3">
        <v>3</v>
      </c>
      <c r="AB440" s="9">
        <v>-0.586558056259389</v>
      </c>
      <c r="AC440" s="9">
        <v>0.000256361683990306</v>
      </c>
      <c r="AD440" s="25"/>
      <c r="AE440" s="25"/>
      <c r="AF440" s="9"/>
      <c r="AG440" s="9"/>
      <c r="AH440" s="25">
        <v>-0.542687961083886</v>
      </c>
      <c r="AI440" s="25">
        <v>0.00694155213105648</v>
      </c>
      <c r="AJ440" s="4">
        <v>-0.0438700951755029</v>
      </c>
      <c r="AK440" s="4">
        <v>0.00719791381504679</v>
      </c>
      <c r="AL440" s="3"/>
      <c r="AM440" s="3"/>
      <c r="AN440" s="4"/>
      <c r="AO440" s="4"/>
      <c r="AP440" s="3"/>
      <c r="AQ440" s="3"/>
      <c r="AR440" s="4"/>
      <c r="AS440" s="4"/>
      <c r="AT440" s="3"/>
      <c r="AU440" s="3"/>
      <c r="AV440" s="4"/>
      <c r="AW440" s="4"/>
      <c r="AX440" s="3"/>
      <c r="AY440" s="3"/>
      <c r="BB440" s="3">
        <v>-0.41305110547131</v>
      </c>
      <c r="BC440" s="3">
        <v>0.00694155213105651</v>
      </c>
    </row>
    <row r="441" s="3" customFormat="1" spans="1:55">
      <c r="A441" s="4">
        <v>440</v>
      </c>
      <c r="B441" s="6">
        <v>74</v>
      </c>
      <c r="C441" s="24" t="s">
        <v>298</v>
      </c>
      <c r="D441" s="13" t="s">
        <v>299</v>
      </c>
      <c r="E441" s="25">
        <v>38.833</v>
      </c>
      <c r="F441" s="25">
        <v>-0.7</v>
      </c>
      <c r="G441" s="26">
        <v>14.2</v>
      </c>
      <c r="H441" s="27">
        <v>479</v>
      </c>
      <c r="I441" s="3"/>
      <c r="J441" s="13" t="s">
        <v>181</v>
      </c>
      <c r="K441" s="5" t="s">
        <v>182</v>
      </c>
      <c r="L441" s="3">
        <v>2009</v>
      </c>
      <c r="M441" s="3">
        <v>7</v>
      </c>
      <c r="N441" s="13" t="s">
        <v>96</v>
      </c>
      <c r="O441" s="36" t="s">
        <v>80</v>
      </c>
      <c r="P441" s="12"/>
      <c r="Q441" s="3">
        <v>23.31919</v>
      </c>
      <c r="R441" s="12"/>
      <c r="S441" s="13"/>
      <c r="T441" s="21">
        <v>12</v>
      </c>
      <c r="U441" s="21">
        <v>22</v>
      </c>
      <c r="V441" s="21">
        <v>66</v>
      </c>
      <c r="W441" s="3"/>
      <c r="X441" s="3"/>
      <c r="Y441" s="13" t="s">
        <v>82</v>
      </c>
      <c r="Z441" s="3">
        <v>3</v>
      </c>
      <c r="AA441" s="3">
        <v>3</v>
      </c>
      <c r="AB441" s="9">
        <v>-0.248496639755125</v>
      </c>
      <c r="AC441" s="9">
        <v>0.000256361683990304</v>
      </c>
      <c r="AD441" s="25"/>
      <c r="AE441" s="25"/>
      <c r="AF441" s="9"/>
      <c r="AG441" s="9"/>
      <c r="AH441" s="25">
        <v>-0.184708654557076</v>
      </c>
      <c r="AI441" s="25">
        <v>0.00694155213105649</v>
      </c>
      <c r="AJ441" s="4">
        <v>-0.0637879851980472</v>
      </c>
      <c r="AK441" s="4">
        <v>0.00719791381504678</v>
      </c>
      <c r="AL441" s="3"/>
      <c r="AM441" s="3"/>
      <c r="AN441" s="4"/>
      <c r="AO441" s="4"/>
      <c r="AP441" s="3"/>
      <c r="AQ441" s="3"/>
      <c r="AR441" s="4"/>
      <c r="AS441" s="4"/>
      <c r="AT441" s="3"/>
      <c r="AU441" s="3"/>
      <c r="AV441" s="4"/>
      <c r="AW441" s="4"/>
      <c r="AX441" s="3"/>
      <c r="AY441" s="3"/>
      <c r="BB441" s="3">
        <v>-0.654696237442708</v>
      </c>
      <c r="BC441" s="3">
        <v>0.0069415521310565</v>
      </c>
    </row>
    <row r="442" s="4" customFormat="1" spans="1:41">
      <c r="A442" s="4">
        <v>441</v>
      </c>
      <c r="B442" s="18">
        <v>75</v>
      </c>
      <c r="C442" s="19" t="s">
        <v>300</v>
      </c>
      <c r="D442" s="5" t="s">
        <v>301</v>
      </c>
      <c r="E442" s="9">
        <v>35.067</v>
      </c>
      <c r="F442" s="9">
        <v>113.167</v>
      </c>
      <c r="G442" s="20">
        <v>13.5</v>
      </c>
      <c r="H442" s="21">
        <v>615.1</v>
      </c>
      <c r="I442" s="4"/>
      <c r="J442" s="5" t="s">
        <v>90</v>
      </c>
      <c r="K442" s="5" t="s">
        <v>78</v>
      </c>
      <c r="L442" s="4">
        <v>2011</v>
      </c>
      <c r="M442" s="4">
        <v>3</v>
      </c>
      <c r="N442" s="5" t="s">
        <v>113</v>
      </c>
      <c r="O442" s="28" t="s">
        <v>80</v>
      </c>
      <c r="P442" s="29">
        <v>8.6</v>
      </c>
      <c r="Q442" s="4">
        <v>4.5</v>
      </c>
      <c r="R442" s="4">
        <v>0.45</v>
      </c>
      <c r="S442" s="13">
        <v>10</v>
      </c>
      <c r="T442" s="21">
        <v>19</v>
      </c>
      <c r="U442" s="21">
        <v>34</v>
      </c>
      <c r="V442" s="21">
        <v>47</v>
      </c>
      <c r="W442" s="4">
        <v>21</v>
      </c>
      <c r="X442" s="5" t="s">
        <v>91</v>
      </c>
      <c r="Y442" s="5" t="s">
        <v>82</v>
      </c>
      <c r="Z442" s="4">
        <v>3</v>
      </c>
      <c r="AA442" s="4">
        <v>3</v>
      </c>
      <c r="AB442" s="9">
        <v>0.40989970517603</v>
      </c>
      <c r="AC442" s="9">
        <v>0.00118309215316029</v>
      </c>
      <c r="AD442" s="9">
        <v>0.405465108108165</v>
      </c>
      <c r="AE442" s="9">
        <v>0.00285779606767261</v>
      </c>
      <c r="AF442" s="9">
        <v>-0.0044345970678662</v>
      </c>
      <c r="AG442" s="9">
        <v>0.00404088822083291</v>
      </c>
      <c r="AH442" s="9">
        <v>0.358945092473271</v>
      </c>
      <c r="AI442" s="9">
        <v>0.000508113152413297</v>
      </c>
      <c r="AJ442" s="4">
        <v>0.0509546127027592</v>
      </c>
      <c r="AK442" s="4">
        <v>0.00169120530557359</v>
      </c>
      <c r="AL442" s="4">
        <v>0.046520015634894</v>
      </c>
      <c r="AM442" s="4">
        <v>0.0033659092200859</v>
      </c>
      <c r="AN442" s="4">
        <v>-0.0459851132418234</v>
      </c>
      <c r="AO442" s="4">
        <v>4.61361014994233e-5</v>
      </c>
    </row>
    <row r="443" s="4" customFormat="1" spans="1:41">
      <c r="A443" s="4">
        <v>442</v>
      </c>
      <c r="B443" s="18">
        <v>75</v>
      </c>
      <c r="C443" s="19" t="s">
        <v>300</v>
      </c>
      <c r="D443" s="5" t="s">
        <v>301</v>
      </c>
      <c r="E443" s="9">
        <v>35.067</v>
      </c>
      <c r="F443" s="9">
        <v>113.167</v>
      </c>
      <c r="G443" s="20">
        <v>13.5</v>
      </c>
      <c r="H443" s="21">
        <v>615.1</v>
      </c>
      <c r="I443" s="4"/>
      <c r="J443" s="5" t="s">
        <v>95</v>
      </c>
      <c r="K443" s="5" t="s">
        <v>78</v>
      </c>
      <c r="L443" s="4">
        <v>2011</v>
      </c>
      <c r="M443" s="4">
        <v>3</v>
      </c>
      <c r="N443" s="5" t="s">
        <v>113</v>
      </c>
      <c r="O443" s="28" t="s">
        <v>80</v>
      </c>
      <c r="P443" s="29">
        <v>8.6</v>
      </c>
      <c r="Q443" s="4">
        <v>4.5</v>
      </c>
      <c r="R443" s="4">
        <v>0.45</v>
      </c>
      <c r="S443" s="13">
        <v>10</v>
      </c>
      <c r="T443" s="21">
        <v>19</v>
      </c>
      <c r="U443" s="21">
        <v>34</v>
      </c>
      <c r="V443" s="21">
        <v>47</v>
      </c>
      <c r="W443" s="4">
        <v>21</v>
      </c>
      <c r="X443" s="5" t="s">
        <v>91</v>
      </c>
      <c r="Y443" s="5" t="s">
        <v>82</v>
      </c>
      <c r="Z443" s="4">
        <v>3</v>
      </c>
      <c r="AA443" s="4">
        <v>3</v>
      </c>
      <c r="AB443" s="9">
        <v>0.297632403304949</v>
      </c>
      <c r="AC443" s="9">
        <v>0.00124223696297022</v>
      </c>
      <c r="AD443" s="9">
        <v>0.328504066972036</v>
      </c>
      <c r="AE443" s="9">
        <v>0.00156213991769547</v>
      </c>
      <c r="AF443" s="9">
        <v>0.0308716636670891</v>
      </c>
      <c r="AG443" s="9">
        <v>0.0028043768806657</v>
      </c>
      <c r="AH443" s="9">
        <v>0.276253376628158</v>
      </c>
      <c r="AI443" s="9">
        <v>0.000568529855904194</v>
      </c>
      <c r="AJ443" s="4">
        <v>0.0213790266767949</v>
      </c>
      <c r="AK443" s="4">
        <v>0.00181076681887442</v>
      </c>
      <c r="AL443" s="4">
        <v>0.0522506903438787</v>
      </c>
      <c r="AM443" s="4">
        <v>0.00213066977359966</v>
      </c>
      <c r="AN443" s="4">
        <v>-0.0459851132418234</v>
      </c>
      <c r="AO443" s="4">
        <v>4.61361014994233e-5</v>
      </c>
    </row>
    <row r="444" s="4" customFormat="1" spans="1:41">
      <c r="A444" s="4">
        <v>443</v>
      </c>
      <c r="B444" s="18">
        <v>75</v>
      </c>
      <c r="C444" s="19" t="s">
        <v>300</v>
      </c>
      <c r="D444" s="5" t="s">
        <v>301</v>
      </c>
      <c r="E444" s="9">
        <v>35.067</v>
      </c>
      <c r="F444" s="9">
        <v>113.167</v>
      </c>
      <c r="G444" s="20">
        <v>13.5</v>
      </c>
      <c r="H444" s="21">
        <v>615.1</v>
      </c>
      <c r="I444" s="4"/>
      <c r="J444" s="13" t="s">
        <v>94</v>
      </c>
      <c r="K444" s="5" t="s">
        <v>78</v>
      </c>
      <c r="L444" s="4">
        <v>2011</v>
      </c>
      <c r="M444" s="4">
        <v>3</v>
      </c>
      <c r="N444" s="5" t="s">
        <v>113</v>
      </c>
      <c r="O444" s="28" t="s">
        <v>80</v>
      </c>
      <c r="P444" s="29">
        <v>8.6</v>
      </c>
      <c r="Q444" s="4">
        <v>4.5</v>
      </c>
      <c r="R444" s="4">
        <v>0.45</v>
      </c>
      <c r="S444" s="13">
        <v>10</v>
      </c>
      <c r="T444" s="21">
        <v>19</v>
      </c>
      <c r="U444" s="21">
        <v>34</v>
      </c>
      <c r="V444" s="21">
        <v>47</v>
      </c>
      <c r="W444" s="4">
        <v>21</v>
      </c>
      <c r="X444" s="5" t="s">
        <v>91</v>
      </c>
      <c r="Y444" s="5" t="s">
        <v>82</v>
      </c>
      <c r="Z444" s="4">
        <v>3</v>
      </c>
      <c r="AA444" s="4">
        <v>3</v>
      </c>
      <c r="AB444" s="9">
        <v>0.0263173083173734</v>
      </c>
      <c r="AC444" s="9">
        <v>0.00145413566712268</v>
      </c>
      <c r="AD444" s="9">
        <v>0.105360515657826</v>
      </c>
      <c r="AE444" s="9">
        <v>0.00186213991769547</v>
      </c>
      <c r="AF444" s="9">
        <v>0.0790432073404539</v>
      </c>
      <c r="AG444" s="9">
        <v>0.00331627558481816</v>
      </c>
      <c r="AH444" s="9">
        <v>-0.0229895182246988</v>
      </c>
      <c r="AI444" s="9">
        <v>0.000352453936086366</v>
      </c>
      <c r="AJ444" s="4">
        <v>0.0493068265420723</v>
      </c>
      <c r="AK444" s="4">
        <v>0.00180658960320906</v>
      </c>
      <c r="AL444" s="4">
        <v>0.128350033882526</v>
      </c>
      <c r="AM444" s="4">
        <v>0.00221459385378184</v>
      </c>
      <c r="AN444" s="4">
        <v>-0.0227282510775563</v>
      </c>
      <c r="AO444" s="4">
        <v>0</v>
      </c>
    </row>
    <row r="445" s="4" customFormat="1" spans="1:41">
      <c r="A445" s="4">
        <v>444</v>
      </c>
      <c r="B445" s="18">
        <v>75</v>
      </c>
      <c r="C445" s="19" t="s">
        <v>300</v>
      </c>
      <c r="D445" s="5" t="s">
        <v>301</v>
      </c>
      <c r="E445" s="9">
        <v>35.067</v>
      </c>
      <c r="F445" s="9">
        <v>113.167</v>
      </c>
      <c r="G445" s="20">
        <v>13.5</v>
      </c>
      <c r="H445" s="21">
        <v>615.1</v>
      </c>
      <c r="I445" s="4"/>
      <c r="J445" s="5" t="s">
        <v>123</v>
      </c>
      <c r="K445" s="5" t="s">
        <v>78</v>
      </c>
      <c r="L445" s="4">
        <v>2011</v>
      </c>
      <c r="M445" s="4">
        <v>3</v>
      </c>
      <c r="N445" s="5" t="s">
        <v>113</v>
      </c>
      <c r="O445" s="28" t="s">
        <v>80</v>
      </c>
      <c r="P445" s="29">
        <v>8.6</v>
      </c>
      <c r="Q445" s="4">
        <v>4.5</v>
      </c>
      <c r="R445" s="4">
        <v>0.45</v>
      </c>
      <c r="S445" s="13">
        <v>10</v>
      </c>
      <c r="T445" s="21">
        <v>19</v>
      </c>
      <c r="U445" s="21">
        <v>34</v>
      </c>
      <c r="V445" s="21">
        <v>47</v>
      </c>
      <c r="W445" s="4">
        <v>21</v>
      </c>
      <c r="X445" s="5" t="s">
        <v>91</v>
      </c>
      <c r="Y445" s="5" t="s">
        <v>82</v>
      </c>
      <c r="Z445" s="4">
        <v>3</v>
      </c>
      <c r="AA445" s="4">
        <v>3</v>
      </c>
      <c r="AB445" s="9">
        <v>0.20430046351273</v>
      </c>
      <c r="AC445" s="9">
        <v>0.00236591752432962</v>
      </c>
      <c r="AD445" s="9">
        <v>0.245122458032985</v>
      </c>
      <c r="AE445" s="9">
        <v>0.0111107221483193</v>
      </c>
      <c r="AF445" s="9">
        <v>0.0408219945202552</v>
      </c>
      <c r="AG445" s="9">
        <v>0.0134766396726489</v>
      </c>
      <c r="AH445" s="9">
        <v>0.186102279633861</v>
      </c>
      <c r="AI445" s="9">
        <v>0.00124017203655703</v>
      </c>
      <c r="AJ445" s="4">
        <v>0.0181981838788697</v>
      </c>
      <c r="AK445" s="4">
        <v>0.00360608956088669</v>
      </c>
      <c r="AL445" s="4">
        <v>0.0590201783991235</v>
      </c>
      <c r="AM445" s="4">
        <v>0.0123508941848763</v>
      </c>
      <c r="AN445" s="4">
        <v>-0.0112995552539333</v>
      </c>
      <c r="AO445" s="4">
        <v>0</v>
      </c>
    </row>
    <row r="446" s="3" customFormat="1" spans="1:63">
      <c r="A446" s="4">
        <v>445</v>
      </c>
      <c r="B446" s="6">
        <v>76</v>
      </c>
      <c r="C446" s="24" t="s">
        <v>302</v>
      </c>
      <c r="D446" s="13" t="s">
        <v>303</v>
      </c>
      <c r="E446" s="25">
        <v>-24.873</v>
      </c>
      <c r="F446" s="25">
        <v>-64.248</v>
      </c>
      <c r="G446" s="20">
        <v>21.1916656494141</v>
      </c>
      <c r="H446" s="21">
        <v>651</v>
      </c>
      <c r="I446" s="3">
        <v>1250</v>
      </c>
      <c r="J446" s="13" t="s">
        <v>193</v>
      </c>
      <c r="K446" s="5" t="s">
        <v>182</v>
      </c>
      <c r="L446" s="3">
        <v>2009</v>
      </c>
      <c r="M446" s="3">
        <v>1</v>
      </c>
      <c r="N446" s="13" t="s">
        <v>96</v>
      </c>
      <c r="O446" s="36" t="s">
        <v>80</v>
      </c>
      <c r="P446" s="12"/>
      <c r="Q446" s="12"/>
      <c r="R446" s="12"/>
      <c r="S446" s="13"/>
      <c r="T446" s="21">
        <v>25</v>
      </c>
      <c r="U446" s="21">
        <v>42</v>
      </c>
      <c r="V446" s="21">
        <v>33</v>
      </c>
      <c r="W446" s="3">
        <v>2</v>
      </c>
      <c r="X446" s="5" t="s">
        <v>81</v>
      </c>
      <c r="Y446" s="13" t="s">
        <v>82</v>
      </c>
      <c r="Z446" s="3">
        <v>3</v>
      </c>
      <c r="AA446" s="3">
        <v>3</v>
      </c>
      <c r="AB446" s="9">
        <v>-1.31908561142644</v>
      </c>
      <c r="AC446" s="9">
        <v>0.000256361683990304</v>
      </c>
      <c r="AD446" s="25"/>
      <c r="AE446" s="25"/>
      <c r="AF446" s="9"/>
      <c r="AG446" s="9"/>
      <c r="AH446" s="25">
        <v>-0.813486552588961</v>
      </c>
      <c r="AI446" s="25">
        <v>0.00694155213105649</v>
      </c>
      <c r="AJ446" s="4">
        <v>-0.505599058837482</v>
      </c>
      <c r="AK446" s="4">
        <v>0.00719791381504681</v>
      </c>
      <c r="AL446" s="3"/>
      <c r="AM446" s="3"/>
      <c r="AN446" s="4">
        <v>0.158707606553389</v>
      </c>
      <c r="AO446" s="4">
        <v>0.000376217392046544</v>
      </c>
      <c r="AP446" s="3">
        <v>-0.308301359654517</v>
      </c>
      <c r="AQ446" s="3">
        <v>0.0143562530821345</v>
      </c>
      <c r="AR446" s="4"/>
      <c r="AS446" s="4"/>
      <c r="AT446" s="3"/>
      <c r="AU446" s="3"/>
      <c r="AV446" s="4">
        <v>-1.19377606333472</v>
      </c>
      <c r="AW446" s="4">
        <v>0.00559950665344732</v>
      </c>
      <c r="AX446" s="3"/>
      <c r="AY446" s="3"/>
      <c r="BB446" s="3">
        <v>-1.24169110475231</v>
      </c>
      <c r="BC446" s="3">
        <v>0.00694155213105648</v>
      </c>
      <c r="BJ446" s="3">
        <v>0.126613469531653</v>
      </c>
      <c r="BK446" s="3">
        <v>0.00823045267489712</v>
      </c>
    </row>
    <row r="447" s="3" customFormat="1" spans="1:63">
      <c r="A447" s="4">
        <v>446</v>
      </c>
      <c r="B447" s="6">
        <v>76</v>
      </c>
      <c r="C447" s="24" t="s">
        <v>302</v>
      </c>
      <c r="D447" s="13" t="s">
        <v>303</v>
      </c>
      <c r="E447" s="25">
        <v>-24.873</v>
      </c>
      <c r="F447" s="25">
        <v>-64.248</v>
      </c>
      <c r="G447" s="20">
        <v>21.1916656494141</v>
      </c>
      <c r="H447" s="21">
        <v>651</v>
      </c>
      <c r="I447" s="3">
        <v>1250</v>
      </c>
      <c r="J447" s="13" t="s">
        <v>193</v>
      </c>
      <c r="K447" s="5" t="s">
        <v>182</v>
      </c>
      <c r="L447" s="3">
        <v>2009</v>
      </c>
      <c r="M447" s="3">
        <v>1</v>
      </c>
      <c r="N447" s="13" t="s">
        <v>96</v>
      </c>
      <c r="O447" s="36" t="s">
        <v>80</v>
      </c>
      <c r="P447" s="12"/>
      <c r="Q447" s="12"/>
      <c r="R447" s="12"/>
      <c r="S447" s="13"/>
      <c r="T447" s="21">
        <v>25</v>
      </c>
      <c r="U447" s="21">
        <v>42</v>
      </c>
      <c r="V447" s="21">
        <v>33</v>
      </c>
      <c r="W447" s="3">
        <v>2</v>
      </c>
      <c r="X447" s="5" t="s">
        <v>81</v>
      </c>
      <c r="Y447" s="13" t="s">
        <v>82</v>
      </c>
      <c r="Z447" s="3">
        <v>3</v>
      </c>
      <c r="AA447" s="3">
        <v>3</v>
      </c>
      <c r="AB447" s="9">
        <v>-0.541648787673414</v>
      </c>
      <c r="AC447" s="9">
        <v>0.000256361683990306</v>
      </c>
      <c r="AD447" s="25"/>
      <c r="AE447" s="25"/>
      <c r="AF447" s="9"/>
      <c r="AG447" s="9"/>
      <c r="AH447" s="25">
        <v>-0.896773325268756</v>
      </c>
      <c r="AI447" s="25">
        <v>0.00694155213105648</v>
      </c>
      <c r="AJ447" s="4">
        <v>0.355124537595342</v>
      </c>
      <c r="AK447" s="4">
        <v>0.0071979138150468</v>
      </c>
      <c r="AL447" s="3"/>
      <c r="AM447" s="3"/>
      <c r="AN447" s="4">
        <v>0.102224487999479</v>
      </c>
      <c r="AO447" s="4">
        <v>0.000376217392046544</v>
      </c>
      <c r="AP447" s="3">
        <v>-0.435382639458029</v>
      </c>
      <c r="AQ447" s="3">
        <v>0.0143562530821345</v>
      </c>
      <c r="AR447" s="4"/>
      <c r="AS447" s="4"/>
      <c r="AT447" s="3"/>
      <c r="AU447" s="3"/>
      <c r="AV447" s="4">
        <v>0.014742586011728</v>
      </c>
      <c r="AW447" s="4">
        <v>0.00559950665344731</v>
      </c>
      <c r="AX447" s="3"/>
      <c r="AY447" s="3"/>
      <c r="BB447" s="3">
        <v>-1.29376504474361</v>
      </c>
      <c r="BC447" s="3">
        <v>0.00694155213105651</v>
      </c>
      <c r="BJ447" s="3">
        <v>0.186752686160854</v>
      </c>
      <c r="BK447" s="3">
        <v>0.00823045267489714</v>
      </c>
    </row>
    <row r="448" s="3" customFormat="1" spans="1:63">
      <c r="A448" s="4">
        <v>447</v>
      </c>
      <c r="B448" s="6">
        <v>76</v>
      </c>
      <c r="C448" s="24" t="s">
        <v>302</v>
      </c>
      <c r="D448" s="13" t="s">
        <v>303</v>
      </c>
      <c r="E448" s="25">
        <v>-24.873</v>
      </c>
      <c r="F448" s="25">
        <v>-64.248</v>
      </c>
      <c r="G448" s="20">
        <v>21.1916656494141</v>
      </c>
      <c r="H448" s="21">
        <v>651</v>
      </c>
      <c r="I448" s="3">
        <v>1250</v>
      </c>
      <c r="J448" s="13" t="s">
        <v>193</v>
      </c>
      <c r="K448" s="5" t="s">
        <v>182</v>
      </c>
      <c r="L448" s="3">
        <v>2009</v>
      </c>
      <c r="M448" s="3">
        <v>1</v>
      </c>
      <c r="N448" s="13" t="s">
        <v>96</v>
      </c>
      <c r="O448" s="36" t="s">
        <v>80</v>
      </c>
      <c r="P448" s="12"/>
      <c r="Q448" s="12"/>
      <c r="R448" s="12"/>
      <c r="S448" s="13"/>
      <c r="T448" s="21">
        <v>25</v>
      </c>
      <c r="U448" s="21">
        <v>42</v>
      </c>
      <c r="V448" s="21">
        <v>33</v>
      </c>
      <c r="W448" s="3">
        <v>2</v>
      </c>
      <c r="X448" s="5" t="s">
        <v>81</v>
      </c>
      <c r="Y448" s="13" t="s">
        <v>82</v>
      </c>
      <c r="Z448" s="3">
        <v>3</v>
      </c>
      <c r="AA448" s="3">
        <v>3</v>
      </c>
      <c r="AB448" s="9">
        <v>-0.636265013284367</v>
      </c>
      <c r="AC448" s="9">
        <v>0.000256361683990305</v>
      </c>
      <c r="AD448" s="25"/>
      <c r="AE448" s="25"/>
      <c r="AF448" s="9"/>
      <c r="AG448" s="9"/>
      <c r="AH448" s="25">
        <v>-0.735464517569924</v>
      </c>
      <c r="AI448" s="25">
        <v>0.00694155213105649</v>
      </c>
      <c r="AJ448" s="4">
        <v>0.0991995042855564</v>
      </c>
      <c r="AK448" s="4">
        <v>0.00719791381504678</v>
      </c>
      <c r="AL448" s="3"/>
      <c r="AM448" s="3"/>
      <c r="AN448" s="4">
        <v>0.178866157460235</v>
      </c>
      <c r="AO448" s="4">
        <v>0.000376217392046544</v>
      </c>
      <c r="AP448" s="3">
        <v>-0.341421171282569</v>
      </c>
      <c r="AQ448" s="3">
        <v>0.0143562530821345</v>
      </c>
      <c r="AR448" s="4"/>
      <c r="AS448" s="4"/>
      <c r="AT448" s="3"/>
      <c r="AU448" s="3"/>
      <c r="AV448" s="4">
        <v>-0.60783922685988</v>
      </c>
      <c r="AW448" s="4">
        <v>0.0055995066534473</v>
      </c>
      <c r="AX448" s="3"/>
      <c r="AY448" s="3"/>
      <c r="BB448" s="3">
        <v>-1.45480502818055</v>
      </c>
      <c r="BC448" s="3">
        <v>0.00694155213105649</v>
      </c>
      <c r="BJ448" s="3">
        <v>0.0996766914255535</v>
      </c>
      <c r="BK448" s="3">
        <v>0.00823045267489711</v>
      </c>
    </row>
    <row r="449" s="3" customFormat="1" spans="1:63">
      <c r="A449" s="4">
        <v>448</v>
      </c>
      <c r="B449" s="6">
        <v>76</v>
      </c>
      <c r="C449" s="24" t="s">
        <v>302</v>
      </c>
      <c r="D449" s="13" t="s">
        <v>303</v>
      </c>
      <c r="E449" s="25">
        <v>-24.873</v>
      </c>
      <c r="F449" s="25">
        <v>-64.248</v>
      </c>
      <c r="G449" s="20">
        <v>21.1916656494141</v>
      </c>
      <c r="H449" s="21">
        <v>651</v>
      </c>
      <c r="I449" s="3">
        <v>1250</v>
      </c>
      <c r="J449" s="13" t="s">
        <v>193</v>
      </c>
      <c r="K449" s="5" t="s">
        <v>182</v>
      </c>
      <c r="L449" s="3">
        <v>2009</v>
      </c>
      <c r="M449" s="3">
        <v>1</v>
      </c>
      <c r="N449" s="13" t="s">
        <v>96</v>
      </c>
      <c r="O449" s="36" t="s">
        <v>80</v>
      </c>
      <c r="P449" s="12"/>
      <c r="Q449" s="12"/>
      <c r="R449" s="12"/>
      <c r="S449" s="13"/>
      <c r="T449" s="21">
        <v>25</v>
      </c>
      <c r="U449" s="21">
        <v>42</v>
      </c>
      <c r="V449" s="21">
        <v>33</v>
      </c>
      <c r="W449" s="3">
        <v>2</v>
      </c>
      <c r="X449" s="5" t="s">
        <v>81</v>
      </c>
      <c r="Y449" s="13" t="s">
        <v>82</v>
      </c>
      <c r="Z449" s="3">
        <v>3</v>
      </c>
      <c r="AA449" s="3">
        <v>3</v>
      </c>
      <c r="AB449" s="9">
        <v>-0.803062524610852</v>
      </c>
      <c r="AC449" s="9">
        <v>0.000256361683990305</v>
      </c>
      <c r="AD449" s="25"/>
      <c r="AE449" s="25"/>
      <c r="AF449" s="9"/>
      <c r="AG449" s="9"/>
      <c r="AH449" s="25">
        <v>-0.877673156954539</v>
      </c>
      <c r="AI449" s="25">
        <v>0.0069415521310565</v>
      </c>
      <c r="AJ449" s="4">
        <v>0.0746106323436866</v>
      </c>
      <c r="AK449" s="4">
        <v>0.00719791381504682</v>
      </c>
      <c r="AL449" s="3"/>
      <c r="AM449" s="3"/>
      <c r="AN449" s="4">
        <v>0.00945030658784213</v>
      </c>
      <c r="AO449" s="4">
        <v>0.000376217392046545</v>
      </c>
      <c r="AP449" s="3">
        <v>-0.205020419588617</v>
      </c>
      <c r="AQ449" s="3">
        <v>0.0143562530821345</v>
      </c>
      <c r="AR449" s="4"/>
      <c r="AS449" s="4"/>
      <c r="AT449" s="3"/>
      <c r="AU449" s="3"/>
      <c r="AV449" s="4">
        <v>-0.658182347620316</v>
      </c>
      <c r="AW449" s="4">
        <v>0.00559950665344731</v>
      </c>
      <c r="AX449" s="3"/>
      <c r="AY449" s="3"/>
      <c r="BB449" s="3">
        <v>-1.49557213000092</v>
      </c>
      <c r="BC449" s="3">
        <v>0.00694155213105651</v>
      </c>
      <c r="BJ449" s="3">
        <v>0.0800427076735364</v>
      </c>
      <c r="BK449" s="3">
        <v>0.00823045267489708</v>
      </c>
    </row>
    <row r="450" s="3" customFormat="1" spans="1:63">
      <c r="A450" s="4">
        <v>449</v>
      </c>
      <c r="B450" s="6">
        <v>76</v>
      </c>
      <c r="C450" s="24" t="s">
        <v>302</v>
      </c>
      <c r="D450" s="13" t="s">
        <v>303</v>
      </c>
      <c r="E450" s="25">
        <v>-24.873</v>
      </c>
      <c r="F450" s="25">
        <v>-64.248</v>
      </c>
      <c r="G450" s="20">
        <v>21.1916656494141</v>
      </c>
      <c r="H450" s="21">
        <v>651</v>
      </c>
      <c r="I450" s="3">
        <v>1250</v>
      </c>
      <c r="J450" s="13" t="s">
        <v>193</v>
      </c>
      <c r="K450" s="5" t="s">
        <v>182</v>
      </c>
      <c r="L450" s="3">
        <v>2010</v>
      </c>
      <c r="M450" s="3">
        <v>1</v>
      </c>
      <c r="N450" s="13" t="s">
        <v>96</v>
      </c>
      <c r="O450" s="36" t="s">
        <v>80</v>
      </c>
      <c r="P450" s="12"/>
      <c r="Q450" s="12"/>
      <c r="R450" s="12"/>
      <c r="S450" s="13"/>
      <c r="T450" s="21">
        <v>25</v>
      </c>
      <c r="U450" s="21">
        <v>42</v>
      </c>
      <c r="V450" s="21">
        <v>33</v>
      </c>
      <c r="W450" s="3">
        <v>2</v>
      </c>
      <c r="X450" s="5" t="s">
        <v>81</v>
      </c>
      <c r="Y450" s="13" t="s">
        <v>82</v>
      </c>
      <c r="Z450" s="3">
        <v>3</v>
      </c>
      <c r="AA450" s="3">
        <v>3</v>
      </c>
      <c r="AB450" s="9">
        <v>-0.710339581100318</v>
      </c>
      <c r="AC450" s="9">
        <v>0.000256361683990305</v>
      </c>
      <c r="AD450" s="25"/>
      <c r="AE450" s="25"/>
      <c r="AF450" s="9"/>
      <c r="AG450" s="9"/>
      <c r="AH450" s="25">
        <v>-1.22017071038303</v>
      </c>
      <c r="AI450" s="25">
        <v>0.00694155213105649</v>
      </c>
      <c r="AJ450" s="4">
        <v>0.509831129282706</v>
      </c>
      <c r="AK450" s="4">
        <v>0.0071979138150468</v>
      </c>
      <c r="AL450" s="3"/>
      <c r="AM450" s="3"/>
      <c r="AN450" s="4">
        <v>0.0766147290577205</v>
      </c>
      <c r="AO450" s="4">
        <v>0.000376217392046545</v>
      </c>
      <c r="AP450" s="3">
        <v>-0.534834163818</v>
      </c>
      <c r="AQ450" s="3">
        <v>0.0143562530821346</v>
      </c>
      <c r="AR450" s="4"/>
      <c r="AS450" s="4"/>
      <c r="AT450" s="3"/>
      <c r="AU450" s="3"/>
      <c r="AV450" s="4">
        <v>-0.790458209483721</v>
      </c>
      <c r="AW450" s="4">
        <v>0.00559950665344731</v>
      </c>
      <c r="AX450" s="3"/>
      <c r="AY450" s="3"/>
      <c r="BB450" s="3">
        <v>-0.47269429389246</v>
      </c>
      <c r="BC450" s="3">
        <v>0.00694155213105649</v>
      </c>
      <c r="BJ450" s="3">
        <v>0.340873801201624</v>
      </c>
      <c r="BK450" s="3">
        <v>0.00823045267489709</v>
      </c>
    </row>
    <row r="451" s="3" customFormat="1" spans="1:63">
      <c r="A451" s="4">
        <v>450</v>
      </c>
      <c r="B451" s="6">
        <v>76</v>
      </c>
      <c r="C451" s="24" t="s">
        <v>302</v>
      </c>
      <c r="D451" s="13" t="s">
        <v>303</v>
      </c>
      <c r="E451" s="25">
        <v>-24.873</v>
      </c>
      <c r="F451" s="25">
        <v>-64.248</v>
      </c>
      <c r="G451" s="20">
        <v>21.1916656494141</v>
      </c>
      <c r="H451" s="21">
        <v>651</v>
      </c>
      <c r="I451" s="3">
        <v>1250</v>
      </c>
      <c r="J451" s="13" t="s">
        <v>193</v>
      </c>
      <c r="K451" s="5" t="s">
        <v>182</v>
      </c>
      <c r="L451" s="3">
        <v>2010</v>
      </c>
      <c r="M451" s="3">
        <v>1</v>
      </c>
      <c r="N451" s="13" t="s">
        <v>96</v>
      </c>
      <c r="O451" s="36" t="s">
        <v>80</v>
      </c>
      <c r="P451" s="12"/>
      <c r="Q451" s="12"/>
      <c r="R451" s="12"/>
      <c r="S451" s="13"/>
      <c r="T451" s="21">
        <v>25</v>
      </c>
      <c r="U451" s="21">
        <v>42</v>
      </c>
      <c r="V451" s="21">
        <v>33</v>
      </c>
      <c r="W451" s="3">
        <v>2</v>
      </c>
      <c r="X451" s="5" t="s">
        <v>81</v>
      </c>
      <c r="Y451" s="13" t="s">
        <v>82</v>
      </c>
      <c r="Z451" s="3">
        <v>3</v>
      </c>
      <c r="AA451" s="3">
        <v>3</v>
      </c>
      <c r="AB451" s="9">
        <v>-1.38351033533625</v>
      </c>
      <c r="AC451" s="9">
        <v>0.000256361683990305</v>
      </c>
      <c r="AD451" s="25"/>
      <c r="AE451" s="25"/>
      <c r="AF451" s="9"/>
      <c r="AG451" s="9"/>
      <c r="AH451" s="25">
        <v>-1.17566499112406</v>
      </c>
      <c r="AI451" s="25">
        <v>0.00694155213105653</v>
      </c>
      <c r="AJ451" s="4">
        <v>-0.207845344212195</v>
      </c>
      <c r="AK451" s="4">
        <v>0.00719791381504683</v>
      </c>
      <c r="AL451" s="3"/>
      <c r="AM451" s="3"/>
      <c r="AN451" s="4">
        <v>0.176907169276374</v>
      </c>
      <c r="AO451" s="4">
        <v>0.000376217392046542</v>
      </c>
      <c r="AP451" s="3">
        <v>-0.401245692565456</v>
      </c>
      <c r="AQ451" s="3">
        <v>0.0143562530821345</v>
      </c>
      <c r="AR451" s="4"/>
      <c r="AS451" s="4"/>
      <c r="AT451" s="3"/>
      <c r="AU451" s="3"/>
      <c r="AV451" s="4">
        <v>-0.725674389189184</v>
      </c>
      <c r="AW451" s="4">
        <v>0.00559950665344731</v>
      </c>
      <c r="AX451" s="3"/>
      <c r="AY451" s="3"/>
      <c r="BB451" s="3">
        <v>-0.375390035131452</v>
      </c>
      <c r="BC451" s="3">
        <v>0.00694155213105651</v>
      </c>
      <c r="BJ451" s="3">
        <v>0.177496456962198</v>
      </c>
      <c r="BK451" s="3">
        <v>0.00823045267489714</v>
      </c>
    </row>
    <row r="452" s="3" customFormat="1" spans="1:63">
      <c r="A452" s="4">
        <v>451</v>
      </c>
      <c r="B452" s="6">
        <v>76</v>
      </c>
      <c r="C452" s="24" t="s">
        <v>302</v>
      </c>
      <c r="D452" s="13" t="s">
        <v>303</v>
      </c>
      <c r="E452" s="25">
        <v>-24.873</v>
      </c>
      <c r="F452" s="25">
        <v>-64.248</v>
      </c>
      <c r="G452" s="20">
        <v>21.1916656494141</v>
      </c>
      <c r="H452" s="21">
        <v>651</v>
      </c>
      <c r="I452" s="3">
        <v>1250</v>
      </c>
      <c r="J452" s="13" t="s">
        <v>193</v>
      </c>
      <c r="K452" s="5" t="s">
        <v>182</v>
      </c>
      <c r="L452" s="3">
        <v>2010</v>
      </c>
      <c r="M452" s="3">
        <v>1</v>
      </c>
      <c r="N452" s="13" t="s">
        <v>96</v>
      </c>
      <c r="O452" s="36" t="s">
        <v>80</v>
      </c>
      <c r="P452" s="12"/>
      <c r="Q452" s="12"/>
      <c r="R452" s="12"/>
      <c r="S452" s="13"/>
      <c r="T452" s="21">
        <v>25</v>
      </c>
      <c r="U452" s="21">
        <v>42</v>
      </c>
      <c r="V452" s="21">
        <v>33</v>
      </c>
      <c r="W452" s="3">
        <v>2</v>
      </c>
      <c r="X452" s="5" t="s">
        <v>81</v>
      </c>
      <c r="Y452" s="13" t="s">
        <v>82</v>
      </c>
      <c r="Z452" s="3">
        <v>3</v>
      </c>
      <c r="AA452" s="3">
        <v>3</v>
      </c>
      <c r="AB452" s="9">
        <v>-0.549605993444252</v>
      </c>
      <c r="AC452" s="9">
        <v>0.000256361683990305</v>
      </c>
      <c r="AD452" s="25"/>
      <c r="AE452" s="25"/>
      <c r="AF452" s="9"/>
      <c r="AG452" s="9"/>
      <c r="AH452" s="25">
        <v>-0.782092495640569</v>
      </c>
      <c r="AI452" s="25">
        <v>0.00694155213105649</v>
      </c>
      <c r="AJ452" s="4">
        <v>0.232486502196318</v>
      </c>
      <c r="AK452" s="4">
        <v>0.00719791381504683</v>
      </c>
      <c r="AL452" s="3"/>
      <c r="AM452" s="3"/>
      <c r="AN452" s="4">
        <v>0.0810836773563546</v>
      </c>
      <c r="AO452" s="4">
        <v>0.000376217392046546</v>
      </c>
      <c r="AP452" s="3">
        <v>-0.255116714230645</v>
      </c>
      <c r="AQ452" s="3">
        <v>0.0143562530821345</v>
      </c>
      <c r="AR452" s="4"/>
      <c r="AS452" s="4"/>
      <c r="AT452" s="3"/>
      <c r="AU452" s="3"/>
      <c r="AV452" s="4">
        <v>-0.0637547304383053</v>
      </c>
      <c r="AW452" s="4">
        <v>0.00559950665344731</v>
      </c>
      <c r="AX452" s="3">
        <v>-0.50518519293444</v>
      </c>
      <c r="AY452" s="3">
        <v>0.0212978052131911</v>
      </c>
      <c r="BB452" s="3">
        <v>-0.261806662676371</v>
      </c>
      <c r="BC452" s="3">
        <v>0.0069415521310565</v>
      </c>
      <c r="BJ452" s="3">
        <v>0.0731624397236763</v>
      </c>
      <c r="BK452" s="3">
        <v>0.00823045267489716</v>
      </c>
    </row>
    <row r="453" s="3" customFormat="1" spans="1:63">
      <c r="A453" s="4">
        <v>452</v>
      </c>
      <c r="B453" s="6">
        <v>76</v>
      </c>
      <c r="C453" s="24" t="s">
        <v>302</v>
      </c>
      <c r="D453" s="13" t="s">
        <v>303</v>
      </c>
      <c r="E453" s="25">
        <v>-24.873</v>
      </c>
      <c r="F453" s="25">
        <v>-64.248</v>
      </c>
      <c r="G453" s="20">
        <v>21.1916656494141</v>
      </c>
      <c r="H453" s="21">
        <v>651</v>
      </c>
      <c r="I453" s="3">
        <v>1250</v>
      </c>
      <c r="J453" s="13" t="s">
        <v>193</v>
      </c>
      <c r="K453" s="5" t="s">
        <v>182</v>
      </c>
      <c r="L453" s="3">
        <v>2010</v>
      </c>
      <c r="M453" s="3">
        <v>1</v>
      </c>
      <c r="N453" s="13" t="s">
        <v>96</v>
      </c>
      <c r="O453" s="36" t="s">
        <v>80</v>
      </c>
      <c r="P453" s="12"/>
      <c r="Q453" s="12"/>
      <c r="R453" s="12"/>
      <c r="S453" s="13"/>
      <c r="T453" s="21">
        <v>25</v>
      </c>
      <c r="U453" s="21">
        <v>42</v>
      </c>
      <c r="V453" s="21">
        <v>33</v>
      </c>
      <c r="W453" s="3">
        <v>2</v>
      </c>
      <c r="X453" s="5" t="s">
        <v>81</v>
      </c>
      <c r="Y453" s="13" t="s">
        <v>82</v>
      </c>
      <c r="Z453" s="3">
        <v>3</v>
      </c>
      <c r="AA453" s="3">
        <v>3</v>
      </c>
      <c r="AB453" s="9">
        <v>-0.449267730766557</v>
      </c>
      <c r="AC453" s="9">
        <v>0.000256361683990305</v>
      </c>
      <c r="AD453" s="25"/>
      <c r="AE453" s="25"/>
      <c r="AF453" s="9"/>
      <c r="AG453" s="9"/>
      <c r="AH453" s="25">
        <v>-0.854780594262949</v>
      </c>
      <c r="AI453" s="25">
        <v>0.00694155213105652</v>
      </c>
      <c r="AJ453" s="4">
        <v>0.405512863496393</v>
      </c>
      <c r="AK453" s="4">
        <v>0.00719791381504685</v>
      </c>
      <c r="AL453" s="3"/>
      <c r="AM453" s="3"/>
      <c r="AN453" s="4">
        <v>0.0957187715071443</v>
      </c>
      <c r="AO453" s="4">
        <v>0.000376217392046544</v>
      </c>
      <c r="AP453" s="3">
        <v>-0.282106248441224</v>
      </c>
      <c r="AQ453" s="3">
        <v>0.0143562530821345</v>
      </c>
      <c r="AR453" s="4"/>
      <c r="AS453" s="4"/>
      <c r="AT453" s="3"/>
      <c r="AU453" s="3"/>
      <c r="AV453" s="4">
        <v>-0.497533850167727</v>
      </c>
      <c r="AW453" s="4">
        <v>0.00559950665344731</v>
      </c>
      <c r="AX453" s="3">
        <v>-0.461390685810731</v>
      </c>
      <c r="AY453" s="3">
        <v>0.0212978052131909</v>
      </c>
      <c r="BB453" s="3">
        <v>-0.330453518013208</v>
      </c>
      <c r="BC453" s="3">
        <v>0.00694155213105651</v>
      </c>
      <c r="BJ453" s="3">
        <v>0.0500591998727369</v>
      </c>
      <c r="BK453" s="3">
        <v>0.00823045267489713</v>
      </c>
    </row>
    <row r="454" s="4" customFormat="1" spans="1:73">
      <c r="A454" s="4">
        <v>453</v>
      </c>
      <c r="B454" s="18">
        <v>77</v>
      </c>
      <c r="C454" s="19" t="s">
        <v>304</v>
      </c>
      <c r="D454" s="5" t="s">
        <v>305</v>
      </c>
      <c r="E454" s="9">
        <v>-22.836944</v>
      </c>
      <c r="F454" s="9">
        <v>-46.932778</v>
      </c>
      <c r="G454" s="20">
        <v>19.7666664123535</v>
      </c>
      <c r="H454" s="21">
        <v>1500</v>
      </c>
      <c r="I454" s="4"/>
      <c r="J454" s="13" t="s">
        <v>188</v>
      </c>
      <c r="K454" s="5" t="s">
        <v>182</v>
      </c>
      <c r="L454" s="4">
        <v>2021</v>
      </c>
      <c r="M454" s="4">
        <v>1</v>
      </c>
      <c r="N454" s="5" t="s">
        <v>96</v>
      </c>
      <c r="O454" s="36" t="s">
        <v>80</v>
      </c>
      <c r="P454" s="29">
        <v>4.7</v>
      </c>
      <c r="Q454" s="4">
        <v>39</v>
      </c>
      <c r="R454" s="12"/>
      <c r="S454" s="13"/>
      <c r="T454" s="34">
        <v>25.1</v>
      </c>
      <c r="U454" s="34">
        <v>13.7</v>
      </c>
      <c r="V454" s="34">
        <v>61.2</v>
      </c>
      <c r="W454" s="4">
        <v>20</v>
      </c>
      <c r="X454" s="5" t="s">
        <v>91</v>
      </c>
      <c r="Y454" s="5" t="s">
        <v>82</v>
      </c>
      <c r="Z454" s="4">
        <v>3</v>
      </c>
      <c r="AA454" s="4">
        <v>3</v>
      </c>
      <c r="AB454" s="9">
        <v>-0.456988261133665</v>
      </c>
      <c r="AC454" s="9">
        <v>0.000256361683990305</v>
      </c>
      <c r="AD454" s="9">
        <v>-0.197464536896518</v>
      </c>
      <c r="AE454" s="9">
        <v>0.0053344894695166</v>
      </c>
      <c r="AF454" s="9">
        <v>0.259523724237147</v>
      </c>
      <c r="AG454" s="9">
        <v>0.0055908511535069</v>
      </c>
      <c r="AH454" s="9">
        <v>-0.485507815781701</v>
      </c>
      <c r="AI454" s="9">
        <v>0.00463004738690054</v>
      </c>
      <c r="AJ454" s="4">
        <v>0.0285195546480364</v>
      </c>
      <c r="AK454" s="4">
        <v>0.00488640907089084</v>
      </c>
      <c r="AL454" s="4">
        <v>0.288043278885182</v>
      </c>
      <c r="AM454" s="4">
        <v>0.00996453685641712</v>
      </c>
      <c r="AN454" s="4">
        <v>-0.0434851119397389</v>
      </c>
      <c r="AO454" s="4">
        <v>0.02366301717441</v>
      </c>
      <c r="AP454" s="4"/>
      <c r="AQ454" s="4"/>
      <c r="AR454" s="4"/>
      <c r="AS454" s="4"/>
      <c r="AT454" s="4"/>
      <c r="AU454" s="4"/>
      <c r="AV454" s="4">
        <v>-0.199613053904016</v>
      </c>
      <c r="AW454" s="4">
        <v>0.0055995066534473</v>
      </c>
      <c r="AX454" s="4">
        <v>-0.394043346287353</v>
      </c>
      <c r="AY454" s="4">
        <v>0.0212978052131909</v>
      </c>
      <c r="BF454" s="4">
        <v>-0.356674943938732</v>
      </c>
      <c r="BG454" s="4">
        <v>1.32812499999999</v>
      </c>
      <c r="BH454" s="4">
        <v>-0.640224779105603</v>
      </c>
      <c r="BI454" s="4">
        <v>0.274318911165978</v>
      </c>
      <c r="BJ454" s="4">
        <v>0.0296317976063711</v>
      </c>
      <c r="BK454" s="4">
        <v>1.703539617966</v>
      </c>
      <c r="BN454" s="4">
        <v>-0.760286483397574</v>
      </c>
      <c r="BO454" s="4">
        <v>0.0069415521310565</v>
      </c>
      <c r="BT454" s="4">
        <v>-0.9075570519054</v>
      </c>
      <c r="BU454" s="4">
        <v>0.00823045267489713</v>
      </c>
    </row>
    <row r="455" s="4" customFormat="1" spans="1:73">
      <c r="A455" s="4">
        <v>454</v>
      </c>
      <c r="B455" s="18">
        <v>77</v>
      </c>
      <c r="C455" s="19" t="s">
        <v>304</v>
      </c>
      <c r="D455" s="5" t="s">
        <v>305</v>
      </c>
      <c r="E455" s="9">
        <v>-22.836944</v>
      </c>
      <c r="F455" s="9">
        <v>-46.932778</v>
      </c>
      <c r="G455" s="20">
        <v>19.7666664123535</v>
      </c>
      <c r="H455" s="21">
        <v>1500</v>
      </c>
      <c r="I455" s="4"/>
      <c r="J455" s="13" t="s">
        <v>188</v>
      </c>
      <c r="K455" s="5" t="s">
        <v>182</v>
      </c>
      <c r="L455" s="4">
        <v>2021</v>
      </c>
      <c r="M455" s="4">
        <v>1</v>
      </c>
      <c r="N455" s="5" t="s">
        <v>96</v>
      </c>
      <c r="O455" s="36" t="s">
        <v>80</v>
      </c>
      <c r="P455" s="29">
        <v>4.7</v>
      </c>
      <c r="Q455" s="4">
        <v>39</v>
      </c>
      <c r="R455" s="12"/>
      <c r="S455" s="13"/>
      <c r="T455" s="34">
        <v>25.1</v>
      </c>
      <c r="U455" s="34">
        <v>13.7</v>
      </c>
      <c r="V455" s="34">
        <v>61.2</v>
      </c>
      <c r="W455" s="4">
        <v>10</v>
      </c>
      <c r="X455" s="5" t="s">
        <v>91</v>
      </c>
      <c r="Y455" s="5" t="s">
        <v>82</v>
      </c>
      <c r="Z455" s="4">
        <v>3</v>
      </c>
      <c r="AA455" s="4">
        <v>3</v>
      </c>
      <c r="AB455" s="9">
        <v>-0.597440096602762</v>
      </c>
      <c r="AC455" s="9">
        <v>0.000256361683990304</v>
      </c>
      <c r="AD455" s="9">
        <v>-0.425903775785438</v>
      </c>
      <c r="AE455" s="9">
        <v>0.00533448946951661</v>
      </c>
      <c r="AF455" s="9">
        <v>0.171536320817323</v>
      </c>
      <c r="AG455" s="9">
        <v>0.00559085115350691</v>
      </c>
      <c r="AH455" s="9">
        <v>-0.528067430200497</v>
      </c>
      <c r="AI455" s="9">
        <v>0.00463004738690053</v>
      </c>
      <c r="AJ455" s="4">
        <v>-0.0693726664022642</v>
      </c>
      <c r="AK455" s="4">
        <v>0.00488640907089083</v>
      </c>
      <c r="AL455" s="4">
        <v>0.102163654415058</v>
      </c>
      <c r="AM455" s="4">
        <v>0.00996453685641711</v>
      </c>
      <c r="AN455" s="4">
        <v>0</v>
      </c>
      <c r="AO455" s="4">
        <v>0.0131281122679946</v>
      </c>
      <c r="AP455" s="4"/>
      <c r="AQ455" s="4"/>
      <c r="AR455" s="4"/>
      <c r="AS455" s="4"/>
      <c r="AT455" s="4"/>
      <c r="AU455" s="4"/>
      <c r="AV455" s="4">
        <v>-0.655759648488325</v>
      </c>
      <c r="AW455" s="4">
        <v>0.00559950665344731</v>
      </c>
      <c r="AX455" s="4">
        <v>-0.672652737365923</v>
      </c>
      <c r="AY455" s="4">
        <v>0.021297805213191</v>
      </c>
      <c r="BF455" s="4">
        <v>-0.0512932943875506</v>
      </c>
      <c r="BG455" s="4">
        <v>1.19845048476454</v>
      </c>
      <c r="BH455" s="4">
        <v>-1.13739831370327</v>
      </c>
      <c r="BI455" s="4">
        <v>0.361801087078709</v>
      </c>
      <c r="BJ455" s="4">
        <v>0.165896677126554</v>
      </c>
      <c r="BK455" s="4">
        <v>1.67767290625726</v>
      </c>
      <c r="BN455" s="4">
        <v>-0.817444897237522</v>
      </c>
      <c r="BO455" s="4">
        <v>0.00694155213105651</v>
      </c>
      <c r="BT455" s="4">
        <v>-0.405465108108164</v>
      </c>
      <c r="BU455" s="4">
        <v>0.00823045267489711</v>
      </c>
    </row>
    <row r="456" s="4" customFormat="1" spans="1:73">
      <c r="A456" s="4">
        <v>455</v>
      </c>
      <c r="B456" s="18">
        <v>77</v>
      </c>
      <c r="C456" s="19" t="s">
        <v>304</v>
      </c>
      <c r="D456" s="5" t="s">
        <v>305</v>
      </c>
      <c r="E456" s="9">
        <v>-22.836944</v>
      </c>
      <c r="F456" s="9">
        <v>-46.932778</v>
      </c>
      <c r="G456" s="20">
        <v>19.7666664123535</v>
      </c>
      <c r="H456" s="21">
        <v>1500</v>
      </c>
      <c r="I456" s="4"/>
      <c r="J456" s="13" t="s">
        <v>188</v>
      </c>
      <c r="K456" s="5" t="s">
        <v>182</v>
      </c>
      <c r="L456" s="4">
        <v>2021</v>
      </c>
      <c r="M456" s="4">
        <v>1</v>
      </c>
      <c r="N456" s="5" t="s">
        <v>96</v>
      </c>
      <c r="O456" s="36" t="s">
        <v>80</v>
      </c>
      <c r="P456" s="29">
        <v>4.7</v>
      </c>
      <c r="Q456" s="4">
        <v>39</v>
      </c>
      <c r="R456" s="12"/>
      <c r="S456" s="13"/>
      <c r="T456" s="34">
        <v>25.1</v>
      </c>
      <c r="U456" s="34">
        <v>13.7</v>
      </c>
      <c r="V456" s="34">
        <v>61.2</v>
      </c>
      <c r="W456" s="4">
        <v>5</v>
      </c>
      <c r="X456" s="5" t="s">
        <v>81</v>
      </c>
      <c r="Y456" s="5" t="s">
        <v>82</v>
      </c>
      <c r="Z456" s="4">
        <v>3</v>
      </c>
      <c r="AA456" s="4">
        <v>3</v>
      </c>
      <c r="AB456" s="9">
        <v>-0.235224972288414</v>
      </c>
      <c r="AC456" s="9">
        <v>0.000256361683990305</v>
      </c>
      <c r="AD456" s="9">
        <v>-0.262942466276025</v>
      </c>
      <c r="AE456" s="9">
        <v>0.00533448946951661</v>
      </c>
      <c r="AF456" s="9">
        <v>-0.0277174939876117</v>
      </c>
      <c r="AG456" s="9">
        <v>0.00559085115350691</v>
      </c>
      <c r="AH456" s="9">
        <v>-0.719122666963206</v>
      </c>
      <c r="AI456" s="9">
        <v>0.00463004738690053</v>
      </c>
      <c r="AJ456" s="4">
        <v>0.483897694674792</v>
      </c>
      <c r="AK456" s="4">
        <v>0.00488640907089083</v>
      </c>
      <c r="AL456" s="4">
        <v>0.45618020068718</v>
      </c>
      <c r="AM456" s="4">
        <v>0.00996453685641712</v>
      </c>
      <c r="AN456" s="4">
        <v>0.0416726964005681</v>
      </c>
      <c r="AO456" s="4">
        <v>0.0150657763128348</v>
      </c>
      <c r="AP456" s="4"/>
      <c r="AQ456" s="4"/>
      <c r="AR456" s="4"/>
      <c r="AS456" s="4"/>
      <c r="AT456" s="4"/>
      <c r="AU456" s="4"/>
      <c r="AV456" s="4">
        <v>-0.702716631576096</v>
      </c>
      <c r="AW456" s="4">
        <v>0.00559950665344729</v>
      </c>
      <c r="AX456" s="4">
        <v>-0.685336546565026</v>
      </c>
      <c r="AY456" s="4">
        <v>0.0212978052131911</v>
      </c>
      <c r="BF456" s="4">
        <v>-0.885519073207401</v>
      </c>
      <c r="BG456" s="4">
        <v>1.33954602846648</v>
      </c>
      <c r="BH456" s="4">
        <v>-1.91909889160466</v>
      </c>
      <c r="BI456" s="4">
        <v>0.631777352511794</v>
      </c>
      <c r="BJ456" s="4">
        <v>0.172245904805213</v>
      </c>
      <c r="BK456" s="4">
        <v>1.46825958182995</v>
      </c>
      <c r="BN456" s="4">
        <v>-0.537142932083364</v>
      </c>
      <c r="BO456" s="4">
        <v>0.00694155213105651</v>
      </c>
      <c r="BT456" s="4">
        <v>0.993901334579079</v>
      </c>
      <c r="BU456" s="4">
        <v>0.00823045267489711</v>
      </c>
    </row>
    <row r="457" s="4" customFormat="1" spans="1:73">
      <c r="A457" s="4">
        <v>456</v>
      </c>
      <c r="B457" s="18">
        <v>77</v>
      </c>
      <c r="C457" s="19" t="s">
        <v>304</v>
      </c>
      <c r="D457" s="5" t="s">
        <v>305</v>
      </c>
      <c r="E457" s="9">
        <v>-22.836944</v>
      </c>
      <c r="F457" s="9">
        <v>-46.932778</v>
      </c>
      <c r="G457" s="20">
        <v>19.7666664123535</v>
      </c>
      <c r="H457" s="21">
        <v>1500</v>
      </c>
      <c r="I457" s="4"/>
      <c r="J457" s="13" t="s">
        <v>188</v>
      </c>
      <c r="K457" s="5" t="s">
        <v>182</v>
      </c>
      <c r="L457" s="4">
        <v>2021</v>
      </c>
      <c r="M457" s="4">
        <v>6</v>
      </c>
      <c r="N457" s="5" t="s">
        <v>79</v>
      </c>
      <c r="O457" s="36" t="s">
        <v>80</v>
      </c>
      <c r="P457" s="29">
        <v>4.7</v>
      </c>
      <c r="Q457" s="4">
        <v>39</v>
      </c>
      <c r="R457" s="12"/>
      <c r="S457" s="13"/>
      <c r="T457" s="34">
        <v>25.1</v>
      </c>
      <c r="U457" s="34">
        <v>13.7</v>
      </c>
      <c r="V457" s="34">
        <v>61.2</v>
      </c>
      <c r="W457" s="4">
        <v>20</v>
      </c>
      <c r="X457" s="5" t="s">
        <v>91</v>
      </c>
      <c r="Y457" s="5" t="s">
        <v>82</v>
      </c>
      <c r="Z457" s="4">
        <v>3</v>
      </c>
      <c r="AA457" s="4">
        <v>3</v>
      </c>
      <c r="AB457" s="9">
        <v>-0.381232794720396</v>
      </c>
      <c r="AC457" s="9">
        <v>0.000256361683990305</v>
      </c>
      <c r="AD457" s="9">
        <v>-0.364337816684301</v>
      </c>
      <c r="AE457" s="9">
        <v>0.0053344894695166</v>
      </c>
      <c r="AF457" s="9">
        <v>0.0168949780360919</v>
      </c>
      <c r="AG457" s="9">
        <v>0.00559085115350692</v>
      </c>
      <c r="AH457" s="9"/>
      <c r="AI457" s="9"/>
      <c r="AJ457" s="4"/>
      <c r="AK457" s="4"/>
      <c r="AL457" s="4"/>
      <c r="AM457" s="4"/>
      <c r="AN457" s="4"/>
      <c r="AO457" s="4"/>
      <c r="AP457" s="4"/>
      <c r="AQ457" s="4"/>
      <c r="AR457" s="4"/>
      <c r="AS457" s="4"/>
      <c r="AT457" s="4"/>
      <c r="AU457" s="4"/>
      <c r="AV457" s="4">
        <v>-0.0994338969881869</v>
      </c>
      <c r="AW457" s="4">
        <v>0.00559950665344731</v>
      </c>
      <c r="AX457" s="4">
        <v>-0.774419298558606</v>
      </c>
      <c r="AY457" s="4">
        <v>0.021297805213191</v>
      </c>
      <c r="BN457" s="4">
        <v>-0.679901953809925</v>
      </c>
      <c r="BO457" s="4">
        <v>0.0069415521310565</v>
      </c>
      <c r="BT457" s="4">
        <v>-1.19213834667893</v>
      </c>
      <c r="BU457" s="4">
        <v>0.00823045267489712</v>
      </c>
    </row>
    <row r="458" s="4" customFormat="1" spans="1:73">
      <c r="A458" s="4">
        <v>457</v>
      </c>
      <c r="B458" s="18">
        <v>77</v>
      </c>
      <c r="C458" s="19" t="s">
        <v>304</v>
      </c>
      <c r="D458" s="5" t="s">
        <v>305</v>
      </c>
      <c r="E458" s="9">
        <v>-22.836944</v>
      </c>
      <c r="F458" s="9">
        <v>-46.932778</v>
      </c>
      <c r="G458" s="20">
        <v>19.7666664123535</v>
      </c>
      <c r="H458" s="21">
        <v>1500</v>
      </c>
      <c r="I458" s="4"/>
      <c r="J458" s="13" t="s">
        <v>188</v>
      </c>
      <c r="K458" s="5" t="s">
        <v>182</v>
      </c>
      <c r="L458" s="4">
        <v>2021</v>
      </c>
      <c r="M458" s="4">
        <v>6</v>
      </c>
      <c r="N458" s="5" t="s">
        <v>79</v>
      </c>
      <c r="O458" s="36" t="s">
        <v>80</v>
      </c>
      <c r="P458" s="29">
        <v>4.7</v>
      </c>
      <c r="Q458" s="4">
        <v>39</v>
      </c>
      <c r="R458" s="12"/>
      <c r="S458" s="13"/>
      <c r="T458" s="34">
        <v>25.1</v>
      </c>
      <c r="U458" s="34">
        <v>13.7</v>
      </c>
      <c r="V458" s="34">
        <v>61.2</v>
      </c>
      <c r="W458" s="4">
        <v>10</v>
      </c>
      <c r="X458" s="5" t="s">
        <v>91</v>
      </c>
      <c r="Y458" s="5" t="s">
        <v>82</v>
      </c>
      <c r="Z458" s="4">
        <v>3</v>
      </c>
      <c r="AA458" s="4">
        <v>3</v>
      </c>
      <c r="AB458" s="9">
        <v>-0.195234763197133</v>
      </c>
      <c r="AC458" s="9">
        <v>0.000256361683990305</v>
      </c>
      <c r="AD458" s="9">
        <v>-0.450350691344342</v>
      </c>
      <c r="AE458" s="9">
        <v>0.0053344894695166</v>
      </c>
      <c r="AF458" s="9">
        <v>-0.255115928147208</v>
      </c>
      <c r="AG458" s="9">
        <v>0.0055908511535069</v>
      </c>
      <c r="AH458" s="9"/>
      <c r="AI458" s="9"/>
      <c r="AJ458" s="4"/>
      <c r="AK458" s="4"/>
      <c r="AL458" s="4"/>
      <c r="AM458" s="4"/>
      <c r="AN458" s="4"/>
      <c r="AO458" s="4"/>
      <c r="AP458" s="4"/>
      <c r="AQ458" s="4"/>
      <c r="AR458" s="4"/>
      <c r="AS458" s="4"/>
      <c r="AT458" s="4"/>
      <c r="AU458" s="4"/>
      <c r="AV458" s="4">
        <v>-0.565807758183344</v>
      </c>
      <c r="AW458" s="4">
        <v>0.00559950665344733</v>
      </c>
      <c r="AX458" s="4">
        <v>-0.526975781409929</v>
      </c>
      <c r="AY458" s="4">
        <v>0.0212978052131909</v>
      </c>
      <c r="BN458" s="4">
        <v>-0.916290731874155</v>
      </c>
      <c r="BO458" s="4">
        <v>0.00694155213105651</v>
      </c>
      <c r="BT458" s="4">
        <v>-0.693147180559945</v>
      </c>
      <c r="BU458" s="4">
        <v>0.00823045267489711</v>
      </c>
    </row>
    <row r="459" s="4" customFormat="1" spans="1:73">
      <c r="A459" s="4">
        <v>458</v>
      </c>
      <c r="B459" s="18">
        <v>77</v>
      </c>
      <c r="C459" s="19" t="s">
        <v>304</v>
      </c>
      <c r="D459" s="5" t="s">
        <v>305</v>
      </c>
      <c r="E459" s="9">
        <v>-22.836944</v>
      </c>
      <c r="F459" s="9">
        <v>-46.932778</v>
      </c>
      <c r="G459" s="20">
        <v>19.7666664123535</v>
      </c>
      <c r="H459" s="21">
        <v>1500</v>
      </c>
      <c r="I459" s="4"/>
      <c r="J459" s="13" t="s">
        <v>188</v>
      </c>
      <c r="K459" s="5" t="s">
        <v>182</v>
      </c>
      <c r="L459" s="4">
        <v>2021</v>
      </c>
      <c r="M459" s="4">
        <v>6</v>
      </c>
      <c r="N459" s="5" t="s">
        <v>79</v>
      </c>
      <c r="O459" s="36" t="s">
        <v>80</v>
      </c>
      <c r="P459" s="29">
        <v>4.7</v>
      </c>
      <c r="Q459" s="4">
        <v>39</v>
      </c>
      <c r="R459" s="12"/>
      <c r="S459" s="13"/>
      <c r="T459" s="34">
        <v>25.1</v>
      </c>
      <c r="U459" s="34">
        <v>13.7</v>
      </c>
      <c r="V459" s="34">
        <v>61.2</v>
      </c>
      <c r="W459" s="4">
        <v>5</v>
      </c>
      <c r="X459" s="5" t="s">
        <v>81</v>
      </c>
      <c r="Y459" s="5" t="s">
        <v>82</v>
      </c>
      <c r="Z459" s="4">
        <v>3</v>
      </c>
      <c r="AA459" s="4">
        <v>3</v>
      </c>
      <c r="AB459" s="9">
        <v>0.0442876802011163</v>
      </c>
      <c r="AC459" s="9">
        <v>0.000256361683990305</v>
      </c>
      <c r="AD459" s="9">
        <v>-0.364337816684301</v>
      </c>
      <c r="AE459" s="9">
        <v>0.0053344894695166</v>
      </c>
      <c r="AF459" s="9">
        <v>-0.408625496885418</v>
      </c>
      <c r="AG459" s="9">
        <v>0.0055908511535069</v>
      </c>
      <c r="AH459" s="9"/>
      <c r="AI459" s="9"/>
      <c r="AJ459" s="4"/>
      <c r="AK459" s="4"/>
      <c r="AL459" s="4"/>
      <c r="AM459" s="4"/>
      <c r="AN459" s="4"/>
      <c r="AO459" s="4"/>
      <c r="AP459" s="4"/>
      <c r="AQ459" s="4"/>
      <c r="AR459" s="4"/>
      <c r="AS459" s="4"/>
      <c r="AT459" s="4"/>
      <c r="AU459" s="4"/>
      <c r="AV459" s="4">
        <v>-0.36909746393729</v>
      </c>
      <c r="AW459" s="4">
        <v>0.0055995066534473</v>
      </c>
      <c r="AX459" s="4">
        <v>-0.572674345821721</v>
      </c>
      <c r="AY459" s="4">
        <v>0.0212978052131912</v>
      </c>
      <c r="BN459" s="4">
        <v>-0.533298479618049</v>
      </c>
      <c r="BO459" s="4">
        <v>0.00694155213105651</v>
      </c>
      <c r="BT459" s="4">
        <v>0.393488917061449</v>
      </c>
      <c r="BU459" s="4">
        <v>0.00823045267489711</v>
      </c>
    </row>
    <row r="460" s="3" customFormat="1" spans="1:71">
      <c r="A460" s="4">
        <v>459</v>
      </c>
      <c r="B460" s="6">
        <v>78</v>
      </c>
      <c r="C460" s="24" t="s">
        <v>306</v>
      </c>
      <c r="D460" s="13" t="s">
        <v>307</v>
      </c>
      <c r="E460" s="25">
        <v>-17.953056</v>
      </c>
      <c r="F460" s="25">
        <v>-52.079167</v>
      </c>
      <c r="G460" s="20">
        <v>21.4208335876465</v>
      </c>
      <c r="H460" s="21">
        <v>1650</v>
      </c>
      <c r="I460" s="3"/>
      <c r="J460" s="13" t="s">
        <v>193</v>
      </c>
      <c r="K460" s="5" t="s">
        <v>182</v>
      </c>
      <c r="L460" s="3">
        <v>2010</v>
      </c>
      <c r="M460" s="3">
        <v>11</v>
      </c>
      <c r="N460" s="13" t="s">
        <v>113</v>
      </c>
      <c r="O460" s="36" t="s">
        <v>80</v>
      </c>
      <c r="P460" s="7">
        <v>5.4</v>
      </c>
      <c r="Q460" s="3">
        <v>23.084</v>
      </c>
      <c r="R460" s="12"/>
      <c r="S460" s="13"/>
      <c r="T460" s="8">
        <v>44.5</v>
      </c>
      <c r="U460" s="8">
        <v>2.5</v>
      </c>
      <c r="V460" s="8">
        <v>53</v>
      </c>
      <c r="W460" s="3">
        <v>6</v>
      </c>
      <c r="X460" s="5" t="s">
        <v>91</v>
      </c>
      <c r="Y460" s="13" t="s">
        <v>82</v>
      </c>
      <c r="Z460" s="3">
        <v>3</v>
      </c>
      <c r="AA460" s="3">
        <v>3</v>
      </c>
      <c r="AB460" s="9">
        <v>-0.212174519943636</v>
      </c>
      <c r="AC460" s="9">
        <v>0.000256361683990305</v>
      </c>
      <c r="AD460" s="25"/>
      <c r="AE460" s="25"/>
      <c r="AF460" s="9"/>
      <c r="AG460" s="9"/>
      <c r="AH460" s="25">
        <v>-0.608247736773459</v>
      </c>
      <c r="AI460" s="25">
        <v>0.00694155213105649</v>
      </c>
      <c r="AJ460" s="4">
        <v>0.396073216829823</v>
      </c>
      <c r="AK460" s="4">
        <v>0.0071979138150468</v>
      </c>
      <c r="AL460" s="3"/>
      <c r="AM460" s="3"/>
      <c r="AN460" s="4"/>
      <c r="AO460" s="4"/>
      <c r="AP460" s="3"/>
      <c r="AQ460" s="3"/>
      <c r="AR460" s="4"/>
      <c r="AS460" s="4"/>
      <c r="AT460" s="3"/>
      <c r="AU460" s="3"/>
      <c r="AV460" s="4"/>
      <c r="AW460" s="4"/>
      <c r="AX460" s="3"/>
      <c r="AY460" s="3"/>
      <c r="BN460" s="3">
        <v>0</v>
      </c>
      <c r="BO460" s="3">
        <v>0.00694155213105651</v>
      </c>
      <c r="BR460" s="3">
        <v>0.513021014329426</v>
      </c>
      <c r="BS460" s="3">
        <v>0.00694155213105652</v>
      </c>
    </row>
    <row r="461" s="3" customFormat="1" spans="1:71">
      <c r="A461" s="4">
        <v>460</v>
      </c>
      <c r="B461" s="6">
        <v>78</v>
      </c>
      <c r="C461" s="24" t="s">
        <v>306</v>
      </c>
      <c r="D461" s="13" t="s">
        <v>307</v>
      </c>
      <c r="E461" s="25">
        <v>-17.953056</v>
      </c>
      <c r="F461" s="25">
        <v>-52.079167</v>
      </c>
      <c r="G461" s="20">
        <v>21.4208335876465</v>
      </c>
      <c r="H461" s="21">
        <v>1650</v>
      </c>
      <c r="I461" s="3"/>
      <c r="J461" s="13" t="s">
        <v>193</v>
      </c>
      <c r="K461" s="5" t="s">
        <v>182</v>
      </c>
      <c r="L461" s="3">
        <v>2010</v>
      </c>
      <c r="M461" s="3">
        <v>11</v>
      </c>
      <c r="N461" s="13" t="s">
        <v>113</v>
      </c>
      <c r="O461" s="36" t="s">
        <v>80</v>
      </c>
      <c r="P461" s="7">
        <v>5.4</v>
      </c>
      <c r="Q461" s="3">
        <v>23.084</v>
      </c>
      <c r="R461" s="12"/>
      <c r="S461" s="13"/>
      <c r="T461" s="8">
        <v>44.5</v>
      </c>
      <c r="U461" s="8">
        <v>2.5</v>
      </c>
      <c r="V461" s="8">
        <v>53</v>
      </c>
      <c r="W461" s="3">
        <v>10</v>
      </c>
      <c r="X461" s="5" t="s">
        <v>91</v>
      </c>
      <c r="Y461" s="13" t="s">
        <v>82</v>
      </c>
      <c r="Z461" s="3">
        <v>3</v>
      </c>
      <c r="AA461" s="3">
        <v>3</v>
      </c>
      <c r="AB461" s="9">
        <v>-1.04145387482816</v>
      </c>
      <c r="AC461" s="9">
        <v>0.000256361683990305</v>
      </c>
      <c r="AD461" s="25"/>
      <c r="AE461" s="25"/>
      <c r="AF461" s="9"/>
      <c r="AG461" s="9"/>
      <c r="AH461" s="25">
        <v>-0.187397709825815</v>
      </c>
      <c r="AI461" s="25">
        <v>0.00694155213105648</v>
      </c>
      <c r="AJ461" s="4">
        <v>-0.854056165002346</v>
      </c>
      <c r="AK461" s="4">
        <v>0.00719791381504681</v>
      </c>
      <c r="AL461" s="3"/>
      <c r="AM461" s="3"/>
      <c r="AN461" s="4"/>
      <c r="AO461" s="4"/>
      <c r="AP461" s="3"/>
      <c r="AQ461" s="3"/>
      <c r="AR461" s="4"/>
      <c r="AS461" s="4"/>
      <c r="AT461" s="3"/>
      <c r="AU461" s="3"/>
      <c r="AV461" s="4"/>
      <c r="AW461" s="4"/>
      <c r="AX461" s="3"/>
      <c r="AY461" s="3"/>
      <c r="BN461" s="3">
        <v>0</v>
      </c>
      <c r="BO461" s="3">
        <v>0.00694155213105651</v>
      </c>
      <c r="BR461" s="3">
        <v>0.394415271921579</v>
      </c>
      <c r="BS461" s="3">
        <v>0.00694155213105648</v>
      </c>
    </row>
    <row r="462" s="3" customFormat="1" spans="1:71">
      <c r="A462" s="4">
        <v>461</v>
      </c>
      <c r="B462" s="6">
        <v>78</v>
      </c>
      <c r="C462" s="24" t="s">
        <v>306</v>
      </c>
      <c r="D462" s="13" t="s">
        <v>307</v>
      </c>
      <c r="E462" s="25">
        <v>-17.953056</v>
      </c>
      <c r="F462" s="25">
        <v>-52.079167</v>
      </c>
      <c r="G462" s="20">
        <v>21.4208335876465</v>
      </c>
      <c r="H462" s="21">
        <v>1650</v>
      </c>
      <c r="I462" s="3"/>
      <c r="J462" s="13" t="s">
        <v>193</v>
      </c>
      <c r="K462" s="5" t="s">
        <v>182</v>
      </c>
      <c r="L462" s="3">
        <v>2010</v>
      </c>
      <c r="M462" s="3">
        <v>11</v>
      </c>
      <c r="N462" s="13" t="s">
        <v>113</v>
      </c>
      <c r="O462" s="36" t="s">
        <v>80</v>
      </c>
      <c r="P462" s="7">
        <v>5.4</v>
      </c>
      <c r="Q462" s="3">
        <v>23.084</v>
      </c>
      <c r="R462" s="12"/>
      <c r="S462" s="13"/>
      <c r="T462" s="8">
        <v>44.5</v>
      </c>
      <c r="U462" s="8">
        <v>2.5</v>
      </c>
      <c r="V462" s="8">
        <v>53</v>
      </c>
      <c r="W462" s="3">
        <v>13</v>
      </c>
      <c r="X462" s="5" t="s">
        <v>91</v>
      </c>
      <c r="Y462" s="13" t="s">
        <v>82</v>
      </c>
      <c r="Z462" s="3">
        <v>3</v>
      </c>
      <c r="AA462" s="3">
        <v>3</v>
      </c>
      <c r="AB462" s="9">
        <v>-0.664159643686693</v>
      </c>
      <c r="AC462" s="9">
        <v>0.000256361683990305</v>
      </c>
      <c r="AD462" s="25"/>
      <c r="AE462" s="25"/>
      <c r="AF462" s="9"/>
      <c r="AG462" s="9"/>
      <c r="AH462" s="25">
        <v>-0.309004841920602</v>
      </c>
      <c r="AI462" s="25">
        <v>0.00694155213105652</v>
      </c>
      <c r="AJ462" s="4">
        <v>-0.355154801766092</v>
      </c>
      <c r="AK462" s="4">
        <v>0.00719791381504684</v>
      </c>
      <c r="AL462" s="3"/>
      <c r="AM462" s="3"/>
      <c r="AN462" s="4"/>
      <c r="AO462" s="4"/>
      <c r="AP462" s="3"/>
      <c r="AQ462" s="3"/>
      <c r="AR462" s="4"/>
      <c r="AS462" s="4"/>
      <c r="AT462" s="3"/>
      <c r="AU462" s="3"/>
      <c r="AV462" s="4"/>
      <c r="AW462" s="4"/>
      <c r="AX462" s="3"/>
      <c r="AY462" s="3"/>
      <c r="BN462" s="3">
        <v>-0.133531392624523</v>
      </c>
      <c r="BO462" s="3">
        <v>0.0069415521310565</v>
      </c>
      <c r="BR462" s="3">
        <v>-0.749659390823288</v>
      </c>
      <c r="BS462" s="3">
        <v>0.0069415521310565</v>
      </c>
    </row>
    <row r="463" s="3" customFormat="1" spans="1:71">
      <c r="A463" s="4">
        <v>462</v>
      </c>
      <c r="B463" s="6">
        <v>78</v>
      </c>
      <c r="C463" s="24" t="s">
        <v>306</v>
      </c>
      <c r="D463" s="13" t="s">
        <v>307</v>
      </c>
      <c r="E463" s="25">
        <v>-17.953056</v>
      </c>
      <c r="F463" s="25">
        <v>-52.079167</v>
      </c>
      <c r="G463" s="20">
        <v>21.4208335876465</v>
      </c>
      <c r="H463" s="21">
        <v>1650</v>
      </c>
      <c r="I463" s="3"/>
      <c r="J463" s="13" t="s">
        <v>193</v>
      </c>
      <c r="K463" s="5" t="s">
        <v>182</v>
      </c>
      <c r="L463" s="3">
        <v>2010</v>
      </c>
      <c r="M463" s="3">
        <v>11</v>
      </c>
      <c r="N463" s="13" t="s">
        <v>113</v>
      </c>
      <c r="O463" s="36" t="s">
        <v>80</v>
      </c>
      <c r="P463" s="7">
        <v>5.4</v>
      </c>
      <c r="Q463" s="3">
        <v>23.084</v>
      </c>
      <c r="R463" s="12"/>
      <c r="S463" s="13"/>
      <c r="T463" s="8">
        <v>44.5</v>
      </c>
      <c r="U463" s="8">
        <v>2.5</v>
      </c>
      <c r="V463" s="8">
        <v>53</v>
      </c>
      <c r="W463" s="3">
        <v>6</v>
      </c>
      <c r="X463" s="5" t="s">
        <v>91</v>
      </c>
      <c r="Y463" s="13" t="s">
        <v>82</v>
      </c>
      <c r="Z463" s="3">
        <v>3</v>
      </c>
      <c r="AA463" s="3">
        <v>3</v>
      </c>
      <c r="AB463" s="9">
        <v>-0.740400065410491</v>
      </c>
      <c r="AC463" s="9">
        <v>0.000256361683990305</v>
      </c>
      <c r="AD463" s="25"/>
      <c r="AE463" s="25"/>
      <c r="AF463" s="9"/>
      <c r="AG463" s="9"/>
      <c r="AH463" s="25">
        <v>-0.141830195439218</v>
      </c>
      <c r="AI463" s="25">
        <v>0.00694155213105649</v>
      </c>
      <c r="AJ463" s="4">
        <v>-0.598569869971274</v>
      </c>
      <c r="AK463" s="4">
        <v>0.00719791381504682</v>
      </c>
      <c r="AL463" s="3"/>
      <c r="AM463" s="3"/>
      <c r="AN463" s="4"/>
      <c r="AO463" s="4"/>
      <c r="AP463" s="3"/>
      <c r="AQ463" s="3"/>
      <c r="AR463" s="4"/>
      <c r="AS463" s="4"/>
      <c r="AT463" s="3"/>
      <c r="AU463" s="3"/>
      <c r="AV463" s="4"/>
      <c r="AW463" s="4"/>
      <c r="AX463" s="3"/>
      <c r="AY463" s="3"/>
      <c r="BN463" s="3">
        <v>0.356674943938732</v>
      </c>
      <c r="BO463" s="3">
        <v>0.00694155213105653</v>
      </c>
      <c r="BR463" s="3">
        <v>0.0699585886069105</v>
      </c>
      <c r="BS463" s="3">
        <v>0.0069415521310565</v>
      </c>
    </row>
    <row r="464" s="3" customFormat="1" spans="1:71">
      <c r="A464" s="4">
        <v>463</v>
      </c>
      <c r="B464" s="6">
        <v>78</v>
      </c>
      <c r="C464" s="24" t="s">
        <v>306</v>
      </c>
      <c r="D464" s="13" t="s">
        <v>307</v>
      </c>
      <c r="E464" s="25">
        <v>-17.953056</v>
      </c>
      <c r="F464" s="25">
        <v>-52.079167</v>
      </c>
      <c r="G464" s="20">
        <v>21.4208335876465</v>
      </c>
      <c r="H464" s="21">
        <v>1650</v>
      </c>
      <c r="I464" s="3"/>
      <c r="J464" s="13" t="s">
        <v>193</v>
      </c>
      <c r="K464" s="5" t="s">
        <v>182</v>
      </c>
      <c r="L464" s="3">
        <v>2010</v>
      </c>
      <c r="M464" s="3">
        <v>11</v>
      </c>
      <c r="N464" s="13" t="s">
        <v>113</v>
      </c>
      <c r="O464" s="36" t="s">
        <v>80</v>
      </c>
      <c r="P464" s="7">
        <v>5.4</v>
      </c>
      <c r="Q464" s="3">
        <v>23.084</v>
      </c>
      <c r="R464" s="12"/>
      <c r="S464" s="13"/>
      <c r="T464" s="8">
        <v>44.5</v>
      </c>
      <c r="U464" s="8">
        <v>2.5</v>
      </c>
      <c r="V464" s="8">
        <v>53</v>
      </c>
      <c r="W464" s="3">
        <v>10</v>
      </c>
      <c r="X464" s="5" t="s">
        <v>91</v>
      </c>
      <c r="Y464" s="13" t="s">
        <v>82</v>
      </c>
      <c r="Z464" s="3">
        <v>3</v>
      </c>
      <c r="AA464" s="3">
        <v>3</v>
      </c>
      <c r="AB464" s="9">
        <v>-0.677879708429157</v>
      </c>
      <c r="AC464" s="9">
        <v>0.000256361683990305</v>
      </c>
      <c r="AD464" s="25"/>
      <c r="AE464" s="25"/>
      <c r="AF464" s="9"/>
      <c r="AG464" s="9"/>
      <c r="AH464" s="25">
        <v>0.0870113769896297</v>
      </c>
      <c r="AI464" s="25">
        <v>0.00694155213105648</v>
      </c>
      <c r="AJ464" s="4">
        <v>-0.764891085418786</v>
      </c>
      <c r="AK464" s="4">
        <v>0.00719791381504679</v>
      </c>
      <c r="AL464" s="3"/>
      <c r="AM464" s="3"/>
      <c r="AN464" s="4"/>
      <c r="AO464" s="4"/>
      <c r="AP464" s="3"/>
      <c r="AQ464" s="3"/>
      <c r="AR464" s="4"/>
      <c r="AS464" s="4"/>
      <c r="AT464" s="3"/>
      <c r="AU464" s="3"/>
      <c r="AV464" s="4"/>
      <c r="AW464" s="4"/>
      <c r="AX464" s="3"/>
      <c r="AY464" s="3"/>
      <c r="BN464" s="3">
        <v>0</v>
      </c>
      <c r="BO464" s="3">
        <v>0.0069415521310565</v>
      </c>
      <c r="BR464" s="3">
        <v>-0.17366349405084</v>
      </c>
      <c r="BS464" s="3">
        <v>0.00694155213105651</v>
      </c>
    </row>
    <row r="465" s="3" customFormat="1" spans="1:71">
      <c r="A465" s="4">
        <v>464</v>
      </c>
      <c r="B465" s="6">
        <v>78</v>
      </c>
      <c r="C465" s="24" t="s">
        <v>306</v>
      </c>
      <c r="D465" s="13" t="s">
        <v>307</v>
      </c>
      <c r="E465" s="25">
        <v>-17.953056</v>
      </c>
      <c r="F465" s="25">
        <v>-52.079167</v>
      </c>
      <c r="G465" s="20">
        <v>21.4208335876465</v>
      </c>
      <c r="H465" s="21">
        <v>1650</v>
      </c>
      <c r="I465" s="3"/>
      <c r="J465" s="13" t="s">
        <v>193</v>
      </c>
      <c r="K465" s="5" t="s">
        <v>182</v>
      </c>
      <c r="L465" s="3">
        <v>2010</v>
      </c>
      <c r="M465" s="3">
        <v>11</v>
      </c>
      <c r="N465" s="13" t="s">
        <v>113</v>
      </c>
      <c r="O465" s="36" t="s">
        <v>80</v>
      </c>
      <c r="P465" s="7">
        <v>5.4</v>
      </c>
      <c r="Q465" s="3">
        <v>23.084</v>
      </c>
      <c r="R465" s="12"/>
      <c r="S465" s="13"/>
      <c r="T465" s="8">
        <v>44.5</v>
      </c>
      <c r="U465" s="8">
        <v>2.5</v>
      </c>
      <c r="V465" s="8">
        <v>53</v>
      </c>
      <c r="W465" s="3">
        <v>13</v>
      </c>
      <c r="X465" s="5" t="s">
        <v>91</v>
      </c>
      <c r="Y465" s="13" t="s">
        <v>82</v>
      </c>
      <c r="Z465" s="3">
        <v>3</v>
      </c>
      <c r="AA465" s="3">
        <v>3</v>
      </c>
      <c r="AB465" s="9">
        <v>-0.916290731874155</v>
      </c>
      <c r="AC465" s="9">
        <v>0.000256361683990305</v>
      </c>
      <c r="AD465" s="25"/>
      <c r="AE465" s="25"/>
      <c r="AF465" s="9"/>
      <c r="AG465" s="9"/>
      <c r="AH465" s="25">
        <v>-0.0953101798043248</v>
      </c>
      <c r="AI465" s="25">
        <v>0.00694155213105652</v>
      </c>
      <c r="AJ465" s="4">
        <v>-0.820980552069831</v>
      </c>
      <c r="AK465" s="4">
        <v>0.00719791381504683</v>
      </c>
      <c r="AL465" s="3"/>
      <c r="AM465" s="3"/>
      <c r="AN465" s="4"/>
      <c r="AO465" s="4"/>
      <c r="AP465" s="3"/>
      <c r="AQ465" s="3"/>
      <c r="AR465" s="4"/>
      <c r="AS465" s="4"/>
      <c r="AT465" s="3"/>
      <c r="AU465" s="3"/>
      <c r="AV465" s="4"/>
      <c r="AW465" s="4"/>
      <c r="AX465" s="3"/>
      <c r="AY465" s="3"/>
      <c r="BN465" s="3">
        <v>-0.154150679827258</v>
      </c>
      <c r="BO465" s="3">
        <v>0.00694155213105651</v>
      </c>
      <c r="BR465" s="3">
        <v>-1.18958406687384</v>
      </c>
      <c r="BS465" s="3">
        <v>0.00694155213105649</v>
      </c>
    </row>
    <row r="466" s="3" customFormat="1" spans="1:71">
      <c r="A466" s="4">
        <v>465</v>
      </c>
      <c r="B466" s="6">
        <v>78</v>
      </c>
      <c r="C466" s="24" t="s">
        <v>306</v>
      </c>
      <c r="D466" s="13" t="s">
        <v>307</v>
      </c>
      <c r="E466" s="25">
        <v>-17.953056</v>
      </c>
      <c r="F466" s="25">
        <v>-52.079167</v>
      </c>
      <c r="G466" s="20">
        <v>21.4208335876465</v>
      </c>
      <c r="H466" s="21">
        <v>1650</v>
      </c>
      <c r="I466" s="3"/>
      <c r="J466" s="13" t="s">
        <v>193</v>
      </c>
      <c r="K466" s="5" t="s">
        <v>182</v>
      </c>
      <c r="L466" s="3">
        <v>2010</v>
      </c>
      <c r="M466" s="3">
        <v>11</v>
      </c>
      <c r="N466" s="13" t="s">
        <v>113</v>
      </c>
      <c r="O466" s="36" t="s">
        <v>80</v>
      </c>
      <c r="P466" s="7">
        <v>5.4</v>
      </c>
      <c r="Q466" s="3">
        <v>23.084</v>
      </c>
      <c r="R466" s="12"/>
      <c r="S466" s="13"/>
      <c r="T466" s="8">
        <v>44.5</v>
      </c>
      <c r="U466" s="8">
        <v>2.5</v>
      </c>
      <c r="V466" s="8">
        <v>53</v>
      </c>
      <c r="W466" s="3">
        <v>6</v>
      </c>
      <c r="X466" s="5" t="s">
        <v>91</v>
      </c>
      <c r="Y466" s="13" t="s">
        <v>82</v>
      </c>
      <c r="Z466" s="3">
        <v>3</v>
      </c>
      <c r="AA466" s="3">
        <v>3</v>
      </c>
      <c r="AB466" s="9">
        <v>-0.485507815781701</v>
      </c>
      <c r="AC466" s="9">
        <v>0.000256361683990305</v>
      </c>
      <c r="AD466" s="25"/>
      <c r="AE466" s="25"/>
      <c r="AF466" s="9"/>
      <c r="AG466" s="9"/>
      <c r="AH466" s="25">
        <v>-0.180670028755482</v>
      </c>
      <c r="AI466" s="25">
        <v>0.00694155213105651</v>
      </c>
      <c r="AJ466" s="4">
        <v>-0.304837787026217</v>
      </c>
      <c r="AK466" s="4">
        <v>0.00719791381504683</v>
      </c>
      <c r="AL466" s="3"/>
      <c r="AM466" s="3"/>
      <c r="AN466" s="4"/>
      <c r="AO466" s="4"/>
      <c r="AP466" s="3"/>
      <c r="AQ466" s="3"/>
      <c r="AR466" s="4"/>
      <c r="AS466" s="4"/>
      <c r="AT466" s="3"/>
      <c r="AU466" s="3"/>
      <c r="AV466" s="4"/>
      <c r="AW466" s="4"/>
      <c r="AX466" s="3"/>
      <c r="AY466" s="3"/>
      <c r="BN466" s="3">
        <v>0.405465108108164</v>
      </c>
      <c r="BO466" s="3">
        <v>0.00694155213105652</v>
      </c>
      <c r="BR466" s="3">
        <v>0.986344986797029</v>
      </c>
      <c r="BS466" s="3">
        <v>0.00694155213105649</v>
      </c>
    </row>
    <row r="467" s="3" customFormat="1" spans="1:71">
      <c r="A467" s="4">
        <v>466</v>
      </c>
      <c r="B467" s="6">
        <v>78</v>
      </c>
      <c r="C467" s="24" t="s">
        <v>306</v>
      </c>
      <c r="D467" s="13" t="s">
        <v>307</v>
      </c>
      <c r="E467" s="25">
        <v>-17.953056</v>
      </c>
      <c r="F467" s="25">
        <v>-52.079167</v>
      </c>
      <c r="G467" s="20">
        <v>21.4208335876465</v>
      </c>
      <c r="H467" s="21">
        <v>1650</v>
      </c>
      <c r="I467" s="3"/>
      <c r="J467" s="13" t="s">
        <v>193</v>
      </c>
      <c r="K467" s="5" t="s">
        <v>182</v>
      </c>
      <c r="L467" s="3">
        <v>2010</v>
      </c>
      <c r="M467" s="3">
        <v>11</v>
      </c>
      <c r="N467" s="13" t="s">
        <v>113</v>
      </c>
      <c r="O467" s="36" t="s">
        <v>80</v>
      </c>
      <c r="P467" s="7">
        <v>5.4</v>
      </c>
      <c r="Q467" s="3">
        <v>23.084</v>
      </c>
      <c r="R467" s="12"/>
      <c r="S467" s="13"/>
      <c r="T467" s="8">
        <v>44.5</v>
      </c>
      <c r="U467" s="8">
        <v>2.5</v>
      </c>
      <c r="V467" s="8">
        <v>53</v>
      </c>
      <c r="W467" s="3">
        <v>10</v>
      </c>
      <c r="X467" s="5" t="s">
        <v>91</v>
      </c>
      <c r="Y467" s="13" t="s">
        <v>82</v>
      </c>
      <c r="Z467" s="3">
        <v>3</v>
      </c>
      <c r="AA467" s="3">
        <v>3</v>
      </c>
      <c r="AB467" s="9">
        <v>-0.454736157114947</v>
      </c>
      <c r="AC467" s="9">
        <v>0.000256361683990305</v>
      </c>
      <c r="AD467" s="25"/>
      <c r="AE467" s="25"/>
      <c r="AF467" s="9"/>
      <c r="AG467" s="9"/>
      <c r="AH467" s="25">
        <v>-0.210823066926169</v>
      </c>
      <c r="AI467" s="25">
        <v>0.0069415521310565</v>
      </c>
      <c r="AJ467" s="4">
        <v>-0.243913090188777</v>
      </c>
      <c r="AK467" s="4">
        <v>0.00719791381504681</v>
      </c>
      <c r="AL467" s="3"/>
      <c r="AM467" s="3"/>
      <c r="AN467" s="4"/>
      <c r="AO467" s="4"/>
      <c r="AP467" s="3"/>
      <c r="AQ467" s="3"/>
      <c r="AR467" s="4"/>
      <c r="AS467" s="4"/>
      <c r="AT467" s="3"/>
      <c r="AU467" s="3"/>
      <c r="AV467" s="4"/>
      <c r="AW467" s="4"/>
      <c r="AX467" s="3"/>
      <c r="AY467" s="3"/>
      <c r="BN467" s="3">
        <v>0</v>
      </c>
      <c r="BO467" s="3">
        <v>0.00694155213105651</v>
      </c>
      <c r="BR467" s="3">
        <v>0.256218802995996</v>
      </c>
      <c r="BS467" s="3">
        <v>0.00694155213105649</v>
      </c>
    </row>
    <row r="468" s="3" customFormat="1" spans="1:71">
      <c r="A468" s="4">
        <v>467</v>
      </c>
      <c r="B468" s="6">
        <v>78</v>
      </c>
      <c r="C468" s="24" t="s">
        <v>306</v>
      </c>
      <c r="D468" s="13" t="s">
        <v>307</v>
      </c>
      <c r="E468" s="25">
        <v>-17.953056</v>
      </c>
      <c r="F468" s="25">
        <v>-52.079167</v>
      </c>
      <c r="G468" s="20">
        <v>21.4208335876465</v>
      </c>
      <c r="H468" s="21">
        <v>1650</v>
      </c>
      <c r="I468" s="3"/>
      <c r="J468" s="13" t="s">
        <v>193</v>
      </c>
      <c r="K468" s="5" t="s">
        <v>182</v>
      </c>
      <c r="L468" s="3">
        <v>2010</v>
      </c>
      <c r="M468" s="3">
        <v>11</v>
      </c>
      <c r="N468" s="13" t="s">
        <v>113</v>
      </c>
      <c r="O468" s="36" t="s">
        <v>80</v>
      </c>
      <c r="P468" s="7">
        <v>5.4</v>
      </c>
      <c r="Q468" s="3">
        <v>23.084</v>
      </c>
      <c r="R468" s="12"/>
      <c r="S468" s="13"/>
      <c r="T468" s="8">
        <v>44.5</v>
      </c>
      <c r="U468" s="8">
        <v>2.5</v>
      </c>
      <c r="V468" s="8">
        <v>53</v>
      </c>
      <c r="W468" s="3">
        <v>13</v>
      </c>
      <c r="X468" s="5" t="s">
        <v>91</v>
      </c>
      <c r="Y468" s="13" t="s">
        <v>82</v>
      </c>
      <c r="Z468" s="3">
        <v>3</v>
      </c>
      <c r="AA468" s="3">
        <v>3</v>
      </c>
      <c r="AB468" s="9">
        <v>-0.693147180559945</v>
      </c>
      <c r="AC468" s="9">
        <v>0.000256361683990305</v>
      </c>
      <c r="AD468" s="25"/>
      <c r="AE468" s="25"/>
      <c r="AF468" s="9"/>
      <c r="AG468" s="9"/>
      <c r="AH468" s="25">
        <v>0.109484232841688</v>
      </c>
      <c r="AI468" s="25">
        <v>0.00694155213105649</v>
      </c>
      <c r="AJ468" s="4">
        <v>-0.80263141340163</v>
      </c>
      <c r="AK468" s="4">
        <v>0.00719791381504678</v>
      </c>
      <c r="AL468" s="3"/>
      <c r="AM468" s="3"/>
      <c r="AN468" s="4"/>
      <c r="AO468" s="4"/>
      <c r="AP468" s="3"/>
      <c r="AQ468" s="3"/>
      <c r="AR468" s="4"/>
      <c r="AS468" s="4"/>
      <c r="AT468" s="3"/>
      <c r="AU468" s="3"/>
      <c r="AV468" s="4"/>
      <c r="AW468" s="4"/>
      <c r="AX468" s="3"/>
      <c r="AY468" s="3"/>
      <c r="BN468" s="3">
        <v>-0.287682072451781</v>
      </c>
      <c r="BO468" s="3">
        <v>0.00694155213105651</v>
      </c>
      <c r="BR468" s="3">
        <v>-0.545337676071134</v>
      </c>
      <c r="BS468" s="3">
        <v>0.00694155213105649</v>
      </c>
    </row>
    <row r="469" s="4" customFormat="1" spans="1:39">
      <c r="A469" s="4">
        <v>468</v>
      </c>
      <c r="B469" s="18">
        <v>79</v>
      </c>
      <c r="C469" s="19" t="s">
        <v>308</v>
      </c>
      <c r="D469" s="5" t="s">
        <v>309</v>
      </c>
      <c r="E469" s="4">
        <v>23.333333</v>
      </c>
      <c r="F469" s="4">
        <v>113.5</v>
      </c>
      <c r="G469" s="20">
        <v>21</v>
      </c>
      <c r="H469" s="21">
        <v>1750</v>
      </c>
      <c r="I469" s="4"/>
      <c r="J469" s="5" t="s">
        <v>94</v>
      </c>
      <c r="K469" s="5" t="s">
        <v>78</v>
      </c>
      <c r="L469" s="4">
        <v>2010</v>
      </c>
      <c r="M469" s="4">
        <v>1</v>
      </c>
      <c r="N469" s="5" t="s">
        <v>79</v>
      </c>
      <c r="O469" s="28" t="s">
        <v>80</v>
      </c>
      <c r="P469" s="29">
        <v>4.2</v>
      </c>
      <c r="Q469" s="4">
        <v>16.33</v>
      </c>
      <c r="R469" s="4">
        <v>0.52</v>
      </c>
      <c r="S469" s="13">
        <v>31.4038461538461</v>
      </c>
      <c r="T469" s="21">
        <v>26</v>
      </c>
      <c r="U469" s="21">
        <v>24</v>
      </c>
      <c r="V469" s="21">
        <v>50</v>
      </c>
      <c r="W469" s="4">
        <v>5</v>
      </c>
      <c r="X469" s="5" t="s">
        <v>81</v>
      </c>
      <c r="Y469" s="5" t="s">
        <v>82</v>
      </c>
      <c r="Z469" s="4">
        <v>2</v>
      </c>
      <c r="AA469" s="4">
        <v>2</v>
      </c>
      <c r="AB469" s="9">
        <v>-0.0709439357502436</v>
      </c>
      <c r="AC469" s="9">
        <v>0.0398952113433245</v>
      </c>
      <c r="AD469" s="9">
        <v>0.255429241601567</v>
      </c>
      <c r="AE469" s="9">
        <v>0.0670739386932327</v>
      </c>
      <c r="AF469" s="9">
        <v>0.326373177351809</v>
      </c>
      <c r="AG469" s="9">
        <v>0.106969150036557</v>
      </c>
      <c r="AH469" s="9">
        <v>-0.0497495059879089</v>
      </c>
      <c r="AI469" s="9">
        <v>0.0617114831057447</v>
      </c>
      <c r="AJ469" s="4">
        <v>-0.0211944297623339</v>
      </c>
      <c r="AK469" s="4">
        <v>0.10160669444907</v>
      </c>
      <c r="AL469" s="4">
        <v>0.305178747589477</v>
      </c>
      <c r="AM469" s="4">
        <v>0.128785421798977</v>
      </c>
    </row>
    <row r="470" s="4" customFormat="1" spans="1:39">
      <c r="A470" s="4">
        <v>469</v>
      </c>
      <c r="B470" s="18">
        <v>79</v>
      </c>
      <c r="C470" s="19" t="s">
        <v>308</v>
      </c>
      <c r="D470" s="5" t="s">
        <v>309</v>
      </c>
      <c r="E470" s="4">
        <v>23.333333</v>
      </c>
      <c r="F470" s="4">
        <v>113.5</v>
      </c>
      <c r="G470" s="20">
        <v>21</v>
      </c>
      <c r="H470" s="21">
        <v>1750</v>
      </c>
      <c r="I470" s="4"/>
      <c r="J470" s="5" t="s">
        <v>94</v>
      </c>
      <c r="K470" s="5" t="s">
        <v>78</v>
      </c>
      <c r="L470" s="4">
        <v>2010</v>
      </c>
      <c r="M470" s="4">
        <v>1</v>
      </c>
      <c r="N470" s="5" t="s">
        <v>79</v>
      </c>
      <c r="O470" s="28" t="s">
        <v>80</v>
      </c>
      <c r="P470" s="29">
        <v>4.2</v>
      </c>
      <c r="Q470" s="4">
        <v>16.33</v>
      </c>
      <c r="R470" s="4">
        <v>0.52</v>
      </c>
      <c r="S470" s="13">
        <v>31.4038461538461</v>
      </c>
      <c r="T470" s="21">
        <v>26</v>
      </c>
      <c r="U470" s="21">
        <v>24</v>
      </c>
      <c r="V470" s="21">
        <v>50</v>
      </c>
      <c r="W470" s="4">
        <v>5</v>
      </c>
      <c r="X470" s="5" t="s">
        <v>81</v>
      </c>
      <c r="Y470" s="5" t="s">
        <v>82</v>
      </c>
      <c r="Z470" s="4">
        <v>3</v>
      </c>
      <c r="AA470" s="4">
        <v>3</v>
      </c>
      <c r="AB470" s="9">
        <v>0.149150899462755</v>
      </c>
      <c r="AC470" s="9">
        <v>0.0171384695768414</v>
      </c>
      <c r="AD470" s="9">
        <v>0.0274985884099648</v>
      </c>
      <c r="AE470" s="9">
        <v>0.0295596014976946</v>
      </c>
      <c r="AF470" s="9">
        <v>-0.121652311052791</v>
      </c>
      <c r="AG470" s="9">
        <v>0.0466980710745362</v>
      </c>
      <c r="AH470" s="9">
        <v>0.079553024857646</v>
      </c>
      <c r="AI470" s="9">
        <v>0.0603879692640081</v>
      </c>
      <c r="AJ470" s="4">
        <v>0.069597874605113</v>
      </c>
      <c r="AK470" s="4">
        <v>0.0775264388408497</v>
      </c>
      <c r="AL470" s="4">
        <v>-0.0520544364476812</v>
      </c>
      <c r="AM470" s="4">
        <v>0.0899475707617031</v>
      </c>
    </row>
    <row r="471" s="4" customFormat="1" ht="16.8" spans="1:39">
      <c r="A471" s="4">
        <v>470</v>
      </c>
      <c r="B471" s="18">
        <v>79</v>
      </c>
      <c r="C471" s="19" t="s">
        <v>308</v>
      </c>
      <c r="D471" s="5" t="s">
        <v>309</v>
      </c>
      <c r="E471" s="4">
        <v>23.333333</v>
      </c>
      <c r="F471" s="4">
        <v>113.5</v>
      </c>
      <c r="G471" s="20">
        <v>21</v>
      </c>
      <c r="H471" s="21">
        <v>1750</v>
      </c>
      <c r="I471" s="4"/>
      <c r="J471" s="5" t="s">
        <v>77</v>
      </c>
      <c r="K471" s="5" t="s">
        <v>78</v>
      </c>
      <c r="L471" s="4">
        <v>2010</v>
      </c>
      <c r="M471" s="4">
        <v>1</v>
      </c>
      <c r="N471" s="5" t="s">
        <v>79</v>
      </c>
      <c r="O471" s="28" t="s">
        <v>80</v>
      </c>
      <c r="P471" s="29">
        <v>4.2</v>
      </c>
      <c r="Q471" s="4">
        <v>16.33</v>
      </c>
      <c r="R471" s="4">
        <v>0.52</v>
      </c>
      <c r="S471" s="13">
        <v>31.4038461538461</v>
      </c>
      <c r="T471" s="21">
        <v>26</v>
      </c>
      <c r="U471" s="21">
        <v>24</v>
      </c>
      <c r="V471" s="21">
        <v>50</v>
      </c>
      <c r="W471" s="4">
        <v>5</v>
      </c>
      <c r="X471" s="5" t="s">
        <v>81</v>
      </c>
      <c r="Y471" s="5" t="s">
        <v>82</v>
      </c>
      <c r="Z471" s="4">
        <v>3</v>
      </c>
      <c r="AA471" s="4">
        <v>2</v>
      </c>
      <c r="AB471" s="9">
        <v>0.0490506747109799</v>
      </c>
      <c r="AC471" s="9">
        <v>0.0357065309096906</v>
      </c>
      <c r="AD471" s="9">
        <v>0.106258819930797</v>
      </c>
      <c r="AE471" s="9">
        <v>0.0302674099451054</v>
      </c>
      <c r="AF471" s="9">
        <v>0.057208145219817</v>
      </c>
      <c r="AG471" s="9">
        <v>0.0659739408547963</v>
      </c>
      <c r="AH471" s="9">
        <v>0.078543819943309</v>
      </c>
      <c r="AI471" s="9">
        <v>0.00568694178802174</v>
      </c>
      <c r="AJ471" s="4">
        <v>-0.0294931452323336</v>
      </c>
      <c r="AK471" s="4">
        <v>0.0413934726977126</v>
      </c>
      <c r="AL471" s="4">
        <v>0.0277149999874896</v>
      </c>
      <c r="AM471" s="4">
        <v>0.0359543517331273</v>
      </c>
    </row>
    <row r="472" s="4" customFormat="1" ht="16.8" spans="1:39">
      <c r="A472" s="4">
        <v>471</v>
      </c>
      <c r="B472" s="18">
        <v>79</v>
      </c>
      <c r="C472" s="19" t="s">
        <v>308</v>
      </c>
      <c r="D472" s="5" t="s">
        <v>309</v>
      </c>
      <c r="E472" s="4">
        <v>23.333333</v>
      </c>
      <c r="F472" s="4">
        <v>113.5</v>
      </c>
      <c r="G472" s="20">
        <v>21</v>
      </c>
      <c r="H472" s="21">
        <v>1750</v>
      </c>
      <c r="I472" s="4"/>
      <c r="J472" s="5" t="s">
        <v>77</v>
      </c>
      <c r="K472" s="5" t="s">
        <v>78</v>
      </c>
      <c r="L472" s="4">
        <v>2010</v>
      </c>
      <c r="M472" s="4">
        <v>1</v>
      </c>
      <c r="N472" s="5" t="s">
        <v>79</v>
      </c>
      <c r="O472" s="28" t="s">
        <v>80</v>
      </c>
      <c r="P472" s="29">
        <v>4.2</v>
      </c>
      <c r="Q472" s="4">
        <v>16.33</v>
      </c>
      <c r="R472" s="4">
        <v>0.52</v>
      </c>
      <c r="S472" s="13">
        <v>31.4038461538461</v>
      </c>
      <c r="T472" s="21">
        <v>26</v>
      </c>
      <c r="U472" s="21">
        <v>24</v>
      </c>
      <c r="V472" s="21">
        <v>50</v>
      </c>
      <c r="W472" s="4">
        <v>5</v>
      </c>
      <c r="X472" s="5" t="s">
        <v>81</v>
      </c>
      <c r="Y472" s="5" t="s">
        <v>82</v>
      </c>
      <c r="Z472" s="4">
        <v>3</v>
      </c>
      <c r="AA472" s="4">
        <v>2</v>
      </c>
      <c r="AB472" s="9">
        <v>0.269145509923978</v>
      </c>
      <c r="AC472" s="9">
        <v>0.0213271500104753</v>
      </c>
      <c r="AD472" s="9">
        <v>-0.121671833260805</v>
      </c>
      <c r="AE472" s="9">
        <v>0.0663661302458219</v>
      </c>
      <c r="AF472" s="9">
        <v>-0.390817343184783</v>
      </c>
      <c r="AG472" s="9">
        <v>0.0876932802562973</v>
      </c>
      <c r="AH472" s="9">
        <v>0.207846350788864</v>
      </c>
      <c r="AI472" s="9">
        <v>0.0532968961952435</v>
      </c>
      <c r="AJ472" s="4">
        <v>0.0612991591351134</v>
      </c>
      <c r="AK472" s="4">
        <v>0.0746240462057197</v>
      </c>
      <c r="AL472" s="4">
        <v>-0.329518184049669</v>
      </c>
      <c r="AM472" s="4">
        <v>0.119663026441065</v>
      </c>
    </row>
    <row r="473" s="4" customFormat="1" spans="1:39">
      <c r="A473" s="4">
        <v>472</v>
      </c>
      <c r="B473" s="18">
        <v>79</v>
      </c>
      <c r="C473" s="19" t="s">
        <v>308</v>
      </c>
      <c r="D473" s="5" t="s">
        <v>309</v>
      </c>
      <c r="E473" s="4">
        <v>23.333333</v>
      </c>
      <c r="F473" s="4">
        <v>113.5</v>
      </c>
      <c r="G473" s="20">
        <v>21</v>
      </c>
      <c r="H473" s="21">
        <v>1750</v>
      </c>
      <c r="I473" s="4"/>
      <c r="J473" s="5" t="s">
        <v>94</v>
      </c>
      <c r="K473" s="5" t="s">
        <v>78</v>
      </c>
      <c r="L473" s="4">
        <v>2010</v>
      </c>
      <c r="M473" s="4">
        <v>1</v>
      </c>
      <c r="N473" s="5" t="s">
        <v>79</v>
      </c>
      <c r="O473" s="28" t="s">
        <v>80</v>
      </c>
      <c r="P473" s="29">
        <v>4.2</v>
      </c>
      <c r="Q473" s="4">
        <v>16.33</v>
      </c>
      <c r="R473" s="4">
        <v>0.52</v>
      </c>
      <c r="S473" s="13">
        <v>31.4038461538461</v>
      </c>
      <c r="T473" s="21">
        <v>26</v>
      </c>
      <c r="U473" s="21">
        <v>24</v>
      </c>
      <c r="V473" s="21">
        <v>50</v>
      </c>
      <c r="W473" s="4">
        <v>5</v>
      </c>
      <c r="X473" s="5" t="s">
        <v>81</v>
      </c>
      <c r="Y473" s="5" t="s">
        <v>82</v>
      </c>
      <c r="Z473" s="4">
        <v>2</v>
      </c>
      <c r="AA473" s="4">
        <v>2</v>
      </c>
      <c r="AB473" s="9">
        <v>-0.0514763185574198</v>
      </c>
      <c r="AC473" s="9">
        <v>0.0428036174233159</v>
      </c>
      <c r="AD473" s="9">
        <v>0.133245399511495</v>
      </c>
      <c r="AE473" s="9">
        <v>0.0433901257574059</v>
      </c>
      <c r="AF473" s="9">
        <v>0.184721718068915</v>
      </c>
      <c r="AG473" s="9">
        <v>0.0861937431807215</v>
      </c>
      <c r="AH473" s="9">
        <v>0.151473128204951</v>
      </c>
      <c r="AI473" s="9">
        <v>0.00694507108035079</v>
      </c>
      <c r="AJ473" s="4">
        <v>-0.202949446762373</v>
      </c>
      <c r="AK473" s="4">
        <v>0.0497486885036667</v>
      </c>
      <c r="AL473" s="4">
        <v>-0.0182277286934563</v>
      </c>
      <c r="AM473" s="4">
        <v>0.0503351968377566</v>
      </c>
    </row>
    <row r="474" s="4" customFormat="1" spans="1:39">
      <c r="A474" s="4">
        <v>473</v>
      </c>
      <c r="B474" s="18">
        <v>79</v>
      </c>
      <c r="C474" s="19" t="s">
        <v>308</v>
      </c>
      <c r="D474" s="5" t="s">
        <v>309</v>
      </c>
      <c r="E474" s="4">
        <v>23.333333</v>
      </c>
      <c r="F474" s="4">
        <v>113.5</v>
      </c>
      <c r="G474" s="20">
        <v>21</v>
      </c>
      <c r="H474" s="21">
        <v>1750</v>
      </c>
      <c r="I474" s="4"/>
      <c r="J474" s="5" t="s">
        <v>94</v>
      </c>
      <c r="K474" s="5" t="s">
        <v>78</v>
      </c>
      <c r="L474" s="4">
        <v>2010</v>
      </c>
      <c r="M474" s="4">
        <v>1</v>
      </c>
      <c r="N474" s="5" t="s">
        <v>79</v>
      </c>
      <c r="O474" s="28" t="s">
        <v>80</v>
      </c>
      <c r="P474" s="29">
        <v>4.2</v>
      </c>
      <c r="Q474" s="4">
        <v>16.33</v>
      </c>
      <c r="R474" s="4">
        <v>0.52</v>
      </c>
      <c r="S474" s="13">
        <v>31.4038461538461</v>
      </c>
      <c r="T474" s="21">
        <v>26</v>
      </c>
      <c r="U474" s="21">
        <v>24</v>
      </c>
      <c r="V474" s="21">
        <v>50</v>
      </c>
      <c r="W474" s="4">
        <v>5</v>
      </c>
      <c r="X474" s="5" t="s">
        <v>81</v>
      </c>
      <c r="Y474" s="5" t="s">
        <v>82</v>
      </c>
      <c r="Z474" s="4">
        <v>3</v>
      </c>
      <c r="AA474" s="4">
        <v>3</v>
      </c>
      <c r="AB474" s="9">
        <v>0.129981497575913</v>
      </c>
      <c r="AC474" s="9">
        <v>0.0201920536989164</v>
      </c>
      <c r="AD474" s="9">
        <v>-0.00395809968789471</v>
      </c>
      <c r="AE474" s="9">
        <v>0.034675674311218</v>
      </c>
      <c r="AF474" s="9">
        <v>-0.133939597263809</v>
      </c>
      <c r="AG474" s="9">
        <v>0.0548677280101346</v>
      </c>
      <c r="AH474" s="9">
        <v>0.176031739179598</v>
      </c>
      <c r="AI474" s="9">
        <v>0.0359466459332195</v>
      </c>
      <c r="AJ474" s="4">
        <v>-0.046050241603688</v>
      </c>
      <c r="AK474" s="4">
        <v>0.0561386996321361</v>
      </c>
      <c r="AL474" s="4">
        <v>-0.179989838867492</v>
      </c>
      <c r="AM474" s="4">
        <v>0.0706223202444375</v>
      </c>
    </row>
    <row r="475" s="4" customFormat="1" ht="16.8" spans="1:39">
      <c r="A475" s="4">
        <v>474</v>
      </c>
      <c r="B475" s="18">
        <v>79</v>
      </c>
      <c r="C475" s="19" t="s">
        <v>308</v>
      </c>
      <c r="D475" s="5" t="s">
        <v>309</v>
      </c>
      <c r="E475" s="4">
        <v>23.333333</v>
      </c>
      <c r="F475" s="4">
        <v>113.5</v>
      </c>
      <c r="G475" s="20">
        <v>21</v>
      </c>
      <c r="H475" s="21">
        <v>1750</v>
      </c>
      <c r="I475" s="4"/>
      <c r="J475" s="5" t="s">
        <v>77</v>
      </c>
      <c r="K475" s="5" t="s">
        <v>78</v>
      </c>
      <c r="L475" s="4">
        <v>2010</v>
      </c>
      <c r="M475" s="4">
        <v>1</v>
      </c>
      <c r="N475" s="5" t="s">
        <v>79</v>
      </c>
      <c r="O475" s="28" t="s">
        <v>80</v>
      </c>
      <c r="P475" s="29">
        <v>4.2</v>
      </c>
      <c r="Q475" s="4">
        <v>16.33</v>
      </c>
      <c r="R475" s="4">
        <v>0.52</v>
      </c>
      <c r="S475" s="13">
        <v>31.4038461538461</v>
      </c>
      <c r="T475" s="21">
        <v>26</v>
      </c>
      <c r="U475" s="21">
        <v>24</v>
      </c>
      <c r="V475" s="21">
        <v>50</v>
      </c>
      <c r="W475" s="4">
        <v>5</v>
      </c>
      <c r="X475" s="5" t="s">
        <v>81</v>
      </c>
      <c r="Y475" s="5" t="s">
        <v>82</v>
      </c>
      <c r="Z475" s="4">
        <v>3</v>
      </c>
      <c r="AA475" s="4">
        <v>2</v>
      </c>
      <c r="AB475" s="9">
        <v>0.0304086086785779</v>
      </c>
      <c r="AC475" s="9">
        <v>0.0374034983717842</v>
      </c>
      <c r="AD475" s="9">
        <v>0.0198991558889361</v>
      </c>
      <c r="AE475" s="9">
        <v>0.0300434235237436</v>
      </c>
      <c r="AF475" s="9">
        <v>-0.0105094527896408</v>
      </c>
      <c r="AG475" s="9">
        <v>0.0674469218955281</v>
      </c>
      <c r="AH475" s="9">
        <v>0.095711092421457</v>
      </c>
      <c r="AI475" s="9">
        <v>0.0329886249612879</v>
      </c>
      <c r="AJ475" s="4">
        <v>-0.0653024837428778</v>
      </c>
      <c r="AK475" s="4">
        <v>0.0703921233330723</v>
      </c>
      <c r="AL475" s="4">
        <v>-0.0758119365325218</v>
      </c>
      <c r="AM475" s="4">
        <v>0.0630320484850315</v>
      </c>
    </row>
    <row r="476" s="4" customFormat="1" ht="16.8" spans="1:39">
      <c r="A476" s="4">
        <v>475</v>
      </c>
      <c r="B476" s="18">
        <v>79</v>
      </c>
      <c r="C476" s="19" t="s">
        <v>308</v>
      </c>
      <c r="D476" s="5" t="s">
        <v>309</v>
      </c>
      <c r="E476" s="4">
        <v>23.333333</v>
      </c>
      <c r="F476" s="4">
        <v>113.5</v>
      </c>
      <c r="G476" s="20">
        <v>21</v>
      </c>
      <c r="H476" s="21">
        <v>1750</v>
      </c>
      <c r="I476" s="4"/>
      <c r="J476" s="5" t="s">
        <v>77</v>
      </c>
      <c r="K476" s="5" t="s">
        <v>78</v>
      </c>
      <c r="L476" s="4">
        <v>2010</v>
      </c>
      <c r="M476" s="4">
        <v>1</v>
      </c>
      <c r="N476" s="5" t="s">
        <v>79</v>
      </c>
      <c r="O476" s="28" t="s">
        <v>80</v>
      </c>
      <c r="P476" s="29">
        <v>4.2</v>
      </c>
      <c r="Q476" s="4">
        <v>16.33</v>
      </c>
      <c r="R476" s="4">
        <v>0.52</v>
      </c>
      <c r="S476" s="13">
        <v>31.4038461538461</v>
      </c>
      <c r="T476" s="21">
        <v>26</v>
      </c>
      <c r="U476" s="21">
        <v>24</v>
      </c>
      <c r="V476" s="21">
        <v>50</v>
      </c>
      <c r="W476" s="4">
        <v>5</v>
      </c>
      <c r="X476" s="5" t="s">
        <v>81</v>
      </c>
      <c r="Y476" s="5" t="s">
        <v>82</v>
      </c>
      <c r="Z476" s="4">
        <v>3</v>
      </c>
      <c r="AA476" s="4">
        <v>2</v>
      </c>
      <c r="AB476" s="9">
        <v>0.211866424811911</v>
      </c>
      <c r="AC476" s="9">
        <v>0.0255921727504481</v>
      </c>
      <c r="AD476" s="9">
        <v>-0.117304343310454</v>
      </c>
      <c r="AE476" s="9">
        <v>0.0480223765448803</v>
      </c>
      <c r="AF476" s="9">
        <v>-0.329170768122364</v>
      </c>
      <c r="AG476" s="9">
        <v>0.0736145492953281</v>
      </c>
      <c r="AH476" s="9">
        <v>0.120269703396104</v>
      </c>
      <c r="AI476" s="9">
        <v>0.0777986820178295</v>
      </c>
      <c r="AJ476" s="4">
        <v>0.0915967214158074</v>
      </c>
      <c r="AK476" s="4">
        <v>0.103390854768277</v>
      </c>
      <c r="AL476" s="4">
        <v>-0.237574046706557</v>
      </c>
      <c r="AM476" s="4">
        <v>0.12582105856271</v>
      </c>
    </row>
    <row r="477" s="4" customFormat="1" spans="1:39">
      <c r="A477" s="4">
        <v>476</v>
      </c>
      <c r="B477" s="18">
        <v>79</v>
      </c>
      <c r="C477" s="19" t="s">
        <v>308</v>
      </c>
      <c r="D477" s="5" t="s">
        <v>309</v>
      </c>
      <c r="E477" s="4">
        <v>23.333333</v>
      </c>
      <c r="F477" s="4">
        <v>113.5</v>
      </c>
      <c r="G477" s="20">
        <v>21</v>
      </c>
      <c r="H477" s="21">
        <v>1750</v>
      </c>
      <c r="I477" s="4"/>
      <c r="J477" s="5" t="s">
        <v>94</v>
      </c>
      <c r="K477" s="5" t="s">
        <v>78</v>
      </c>
      <c r="L477" s="4">
        <v>2010</v>
      </c>
      <c r="M477" s="4">
        <v>1</v>
      </c>
      <c r="N477" s="5" t="s">
        <v>79</v>
      </c>
      <c r="O477" s="28" t="s">
        <v>136</v>
      </c>
      <c r="P477" s="29">
        <v>4.2</v>
      </c>
      <c r="Q477" s="4">
        <v>16.33</v>
      </c>
      <c r="R477" s="4">
        <v>0.52</v>
      </c>
      <c r="S477" s="13">
        <v>31.4038461538461</v>
      </c>
      <c r="T477" s="21">
        <v>26</v>
      </c>
      <c r="U477" s="21">
        <v>24</v>
      </c>
      <c r="V477" s="21">
        <v>50</v>
      </c>
      <c r="W477" s="4">
        <v>5</v>
      </c>
      <c r="X477" s="5" t="s">
        <v>81</v>
      </c>
      <c r="Y477" s="5" t="s">
        <v>82</v>
      </c>
      <c r="Z477" s="4">
        <v>2</v>
      </c>
      <c r="AA477" s="4">
        <v>2</v>
      </c>
      <c r="AB477" s="9">
        <v>0.0607566472405895</v>
      </c>
      <c r="AC477" s="9">
        <v>0.0582903097695754</v>
      </c>
      <c r="AD477" s="9">
        <v>0.159260754987643</v>
      </c>
      <c r="AE477" s="9">
        <v>0.0751306313316902</v>
      </c>
      <c r="AF477" s="9">
        <v>0.0985041077470543</v>
      </c>
      <c r="AG477" s="9">
        <v>0.133420941101265</v>
      </c>
      <c r="AH477" s="9">
        <v>0.193107605443383</v>
      </c>
      <c r="AI477" s="9">
        <v>0.0363311726699861</v>
      </c>
      <c r="AJ477" s="4">
        <v>-0.132350958202799</v>
      </c>
      <c r="AK477" s="4">
        <v>0.0946214824395614</v>
      </c>
      <c r="AL477" s="4">
        <v>-0.0338468504557416</v>
      </c>
      <c r="AM477" s="4">
        <v>0.111461804001676</v>
      </c>
    </row>
    <row r="478" s="4" customFormat="1" spans="1:39">
      <c r="A478" s="4">
        <v>477</v>
      </c>
      <c r="B478" s="18">
        <v>79</v>
      </c>
      <c r="C478" s="19" t="s">
        <v>308</v>
      </c>
      <c r="D478" s="5" t="s">
        <v>309</v>
      </c>
      <c r="E478" s="4">
        <v>23.333333</v>
      </c>
      <c r="F478" s="4">
        <v>113.5</v>
      </c>
      <c r="G478" s="20">
        <v>21</v>
      </c>
      <c r="H478" s="21">
        <v>1750</v>
      </c>
      <c r="I478" s="4"/>
      <c r="J478" s="5" t="s">
        <v>94</v>
      </c>
      <c r="K478" s="5" t="s">
        <v>78</v>
      </c>
      <c r="L478" s="4">
        <v>2010</v>
      </c>
      <c r="M478" s="4">
        <v>1</v>
      </c>
      <c r="N478" s="5" t="s">
        <v>79</v>
      </c>
      <c r="O478" s="28" t="s">
        <v>136</v>
      </c>
      <c r="P478" s="29">
        <v>4.2</v>
      </c>
      <c r="Q478" s="4">
        <v>16.33</v>
      </c>
      <c r="R478" s="4">
        <v>0.52</v>
      </c>
      <c r="S478" s="13">
        <v>31.4038461538461</v>
      </c>
      <c r="T478" s="21">
        <v>26</v>
      </c>
      <c r="U478" s="21">
        <v>24</v>
      </c>
      <c r="V478" s="21">
        <v>50</v>
      </c>
      <c r="W478" s="4">
        <v>5</v>
      </c>
      <c r="X478" s="5" t="s">
        <v>81</v>
      </c>
      <c r="Y478" s="5" t="s">
        <v>82</v>
      </c>
      <c r="Z478" s="4">
        <v>3</v>
      </c>
      <c r="AA478" s="4">
        <v>3</v>
      </c>
      <c r="AB478" s="9">
        <v>0.000267433887192398</v>
      </c>
      <c r="AC478" s="9">
        <v>0.0799782050944602</v>
      </c>
      <c r="AD478" s="9">
        <v>-0.102817517488568</v>
      </c>
      <c r="AE478" s="9">
        <v>0.0547699877645538</v>
      </c>
      <c r="AF478" s="9">
        <v>-0.103084951375761</v>
      </c>
      <c r="AG478" s="9">
        <v>0.134748192859014</v>
      </c>
      <c r="AH478" s="9">
        <v>-0.0271495978679618</v>
      </c>
      <c r="AI478" s="9">
        <v>0.0590398605949514</v>
      </c>
      <c r="AJ478" s="4">
        <v>0.0274170317551489</v>
      </c>
      <c r="AK478" s="4">
        <v>0.139018065689412</v>
      </c>
      <c r="AL478" s="4">
        <v>-0.0756679196206064</v>
      </c>
      <c r="AM478" s="4">
        <v>0.113809848359505</v>
      </c>
    </row>
    <row r="479" s="4" customFormat="1" ht="16.8" spans="1:39">
      <c r="A479" s="4">
        <v>478</v>
      </c>
      <c r="B479" s="18">
        <v>79</v>
      </c>
      <c r="C479" s="19" t="s">
        <v>308</v>
      </c>
      <c r="D479" s="5" t="s">
        <v>309</v>
      </c>
      <c r="E479" s="4">
        <v>23.333333</v>
      </c>
      <c r="F479" s="4">
        <v>113.5</v>
      </c>
      <c r="G479" s="20">
        <v>21</v>
      </c>
      <c r="H479" s="21">
        <v>1750</v>
      </c>
      <c r="I479" s="4"/>
      <c r="J479" s="5" t="s">
        <v>77</v>
      </c>
      <c r="K479" s="5" t="s">
        <v>78</v>
      </c>
      <c r="L479" s="4">
        <v>2010</v>
      </c>
      <c r="M479" s="4">
        <v>1</v>
      </c>
      <c r="N479" s="5" t="s">
        <v>79</v>
      </c>
      <c r="O479" s="28" t="s">
        <v>136</v>
      </c>
      <c r="P479" s="29">
        <v>4.2</v>
      </c>
      <c r="Q479" s="4">
        <v>16.33</v>
      </c>
      <c r="R479" s="4">
        <v>0.52</v>
      </c>
      <c r="S479" s="13">
        <v>31.4038461538461</v>
      </c>
      <c r="T479" s="21">
        <v>26</v>
      </c>
      <c r="U479" s="21">
        <v>24</v>
      </c>
      <c r="V479" s="21">
        <v>50</v>
      </c>
      <c r="W479" s="4">
        <v>5</v>
      </c>
      <c r="X479" s="5" t="s">
        <v>81</v>
      </c>
      <c r="Y479" s="5" t="s">
        <v>82</v>
      </c>
      <c r="Z479" s="4">
        <v>3</v>
      </c>
      <c r="AA479" s="4">
        <v>2</v>
      </c>
      <c r="AB479" s="9">
        <v>0.245437435672177</v>
      </c>
      <c r="AC479" s="9">
        <v>0.107560669925139</v>
      </c>
      <c r="AD479" s="9">
        <v>0.153095973221216</v>
      </c>
      <c r="AE479" s="9">
        <v>0.0823623062466156</v>
      </c>
      <c r="AF479" s="9">
        <v>-0.0923414624509604</v>
      </c>
      <c r="AG479" s="9">
        <v>0.189922976171754</v>
      </c>
      <c r="AH479" s="9">
        <v>0.327700059406431</v>
      </c>
      <c r="AI479" s="9">
        <v>0.00568694178802174</v>
      </c>
      <c r="AJ479" s="4">
        <v>-0.0822626237342541</v>
      </c>
      <c r="AK479" s="4">
        <v>0.113247611713161</v>
      </c>
      <c r="AL479" s="4">
        <v>-0.174604086185216</v>
      </c>
      <c r="AM479" s="4">
        <v>0.0880492480346374</v>
      </c>
    </row>
    <row r="480" s="4" customFormat="1" ht="16.8" spans="1:39">
      <c r="A480" s="4">
        <v>479</v>
      </c>
      <c r="B480" s="18">
        <v>79</v>
      </c>
      <c r="C480" s="19" t="s">
        <v>308</v>
      </c>
      <c r="D480" s="5" t="s">
        <v>309</v>
      </c>
      <c r="E480" s="4">
        <v>23.333333</v>
      </c>
      <c r="F480" s="4">
        <v>113.5</v>
      </c>
      <c r="G480" s="20">
        <v>21</v>
      </c>
      <c r="H480" s="21">
        <v>1750</v>
      </c>
      <c r="I480" s="4"/>
      <c r="J480" s="5" t="s">
        <v>77</v>
      </c>
      <c r="K480" s="5" t="s">
        <v>78</v>
      </c>
      <c r="L480" s="4">
        <v>2010</v>
      </c>
      <c r="M480" s="4">
        <v>1</v>
      </c>
      <c r="N480" s="5" t="s">
        <v>79</v>
      </c>
      <c r="O480" s="28" t="s">
        <v>136</v>
      </c>
      <c r="P480" s="29">
        <v>4.2</v>
      </c>
      <c r="Q480" s="4">
        <v>16.33</v>
      </c>
      <c r="R480" s="4">
        <v>0.52</v>
      </c>
      <c r="S480" s="13">
        <v>31.4038461538461</v>
      </c>
      <c r="T480" s="21">
        <v>26</v>
      </c>
      <c r="U480" s="21">
        <v>24</v>
      </c>
      <c r="V480" s="21">
        <v>50</v>
      </c>
      <c r="W480" s="4">
        <v>5</v>
      </c>
      <c r="X480" s="5" t="s">
        <v>81</v>
      </c>
      <c r="Y480" s="5" t="s">
        <v>82</v>
      </c>
      <c r="Z480" s="4">
        <v>3</v>
      </c>
      <c r="AA480" s="4">
        <v>2</v>
      </c>
      <c r="AB480" s="9">
        <v>0.18494822231878</v>
      </c>
      <c r="AC480" s="9">
        <v>0.0307078449388969</v>
      </c>
      <c r="AD480" s="9">
        <v>-0.108982299254995</v>
      </c>
      <c r="AE480" s="9">
        <v>0.0475383128496285</v>
      </c>
      <c r="AF480" s="9">
        <v>-0.293930521573775</v>
      </c>
      <c r="AG480" s="9">
        <v>0.0782461577885251</v>
      </c>
      <c r="AH480" s="9">
        <v>0.107442856095087</v>
      </c>
      <c r="AI480" s="9">
        <v>0.0259188609881863</v>
      </c>
      <c r="AJ480" s="4">
        <v>0.0775053662236934</v>
      </c>
      <c r="AK480" s="4">
        <v>0.0566267059270827</v>
      </c>
      <c r="AL480" s="4">
        <v>-0.216425155350081</v>
      </c>
      <c r="AM480" s="4">
        <v>0.0734571738378147</v>
      </c>
    </row>
    <row r="481" s="3" customFormat="1" spans="1:68">
      <c r="A481" s="4">
        <v>480</v>
      </c>
      <c r="B481" s="6">
        <v>80</v>
      </c>
      <c r="C481" s="13" t="s">
        <v>179</v>
      </c>
      <c r="D481" s="13" t="s">
        <v>310</v>
      </c>
      <c r="E481" s="3">
        <v>37.015086</v>
      </c>
      <c r="F481" s="3">
        <v>35.355989</v>
      </c>
      <c r="G481" s="26">
        <v>19.1</v>
      </c>
      <c r="H481" s="27">
        <v>670</v>
      </c>
      <c r="I481" s="3"/>
      <c r="J481" s="13" t="s">
        <v>90</v>
      </c>
      <c r="K481" s="5" t="s">
        <v>78</v>
      </c>
      <c r="L481" s="3">
        <v>2009</v>
      </c>
      <c r="M481" s="3">
        <v>5</v>
      </c>
      <c r="N481" s="13" t="s">
        <v>113</v>
      </c>
      <c r="O481" s="28" t="s">
        <v>80</v>
      </c>
      <c r="P481" s="12"/>
      <c r="Q481" s="12"/>
      <c r="R481" s="12"/>
      <c r="S481" s="13"/>
      <c r="T481" s="21">
        <v>50</v>
      </c>
      <c r="U481" s="21">
        <v>33</v>
      </c>
      <c r="V481" s="21">
        <v>17</v>
      </c>
      <c r="W481" s="3">
        <v>13</v>
      </c>
      <c r="X481" s="5" t="s">
        <v>91</v>
      </c>
      <c r="Y481" s="13" t="s">
        <v>82</v>
      </c>
      <c r="Z481" s="3">
        <v>3</v>
      </c>
      <c r="AA481" s="3">
        <v>3</v>
      </c>
      <c r="AB481" s="9">
        <v>0.386980293434061</v>
      </c>
      <c r="AC481" s="9">
        <v>0.000256361683990305</v>
      </c>
      <c r="AD481" s="25">
        <v>0.447429307207196</v>
      </c>
      <c r="AE481" s="25">
        <v>0.0053344894695166</v>
      </c>
      <c r="AF481" s="9">
        <v>0.060449013773137</v>
      </c>
      <c r="AG481" s="9">
        <v>0.00559085115350689</v>
      </c>
      <c r="AH481" s="25"/>
      <c r="AI481" s="25"/>
      <c r="AJ481" s="4"/>
      <c r="AK481" s="4"/>
      <c r="AL481" s="3"/>
      <c r="AM481" s="3"/>
      <c r="AN481" s="4"/>
      <c r="AO481" s="4"/>
      <c r="AP481" s="3"/>
      <c r="AQ481" s="3"/>
      <c r="AR481" s="4"/>
      <c r="AS481" s="4"/>
      <c r="AT481" s="3"/>
      <c r="AU481" s="3"/>
      <c r="AV481" s="4"/>
      <c r="AW481" s="4"/>
      <c r="AX481" s="3"/>
      <c r="AY481" s="3"/>
      <c r="BN481" s="3">
        <v>0.18081892690942</v>
      </c>
      <c r="BO481" s="3">
        <v>0.0069415521310565</v>
      </c>
      <c r="BP481" s="3">
        <v>-0.503720798142246</v>
      </c>
    </row>
    <row r="482" s="4" customFormat="1" spans="1:35">
      <c r="A482" s="4">
        <v>481</v>
      </c>
      <c r="B482" s="18">
        <v>81</v>
      </c>
      <c r="C482" s="19" t="s">
        <v>311</v>
      </c>
      <c r="D482" s="5" t="s">
        <v>312</v>
      </c>
      <c r="E482" s="9">
        <v>35.275389</v>
      </c>
      <c r="F482" s="9">
        <v>107.508722</v>
      </c>
      <c r="G482" s="20">
        <v>8</v>
      </c>
      <c r="H482" s="21">
        <v>560</v>
      </c>
      <c r="I482" s="4">
        <v>1254</v>
      </c>
      <c r="J482" s="5" t="s">
        <v>94</v>
      </c>
      <c r="K482" s="5" t="s">
        <v>78</v>
      </c>
      <c r="L482" s="4">
        <v>2008</v>
      </c>
      <c r="M482" s="4">
        <v>4</v>
      </c>
      <c r="N482" s="5" t="s">
        <v>113</v>
      </c>
      <c r="O482" s="28" t="s">
        <v>80</v>
      </c>
      <c r="P482" s="12"/>
      <c r="Q482" s="4">
        <v>5.3</v>
      </c>
      <c r="R482" s="12"/>
      <c r="S482" s="13"/>
      <c r="T482" s="21">
        <v>20</v>
      </c>
      <c r="U482" s="21">
        <v>36</v>
      </c>
      <c r="V482" s="21">
        <v>44</v>
      </c>
      <c r="W482" s="4">
        <v>29</v>
      </c>
      <c r="X482" s="5" t="s">
        <v>91</v>
      </c>
      <c r="Y482" s="5" t="s">
        <v>82</v>
      </c>
      <c r="Z482" s="4">
        <v>3</v>
      </c>
      <c r="AA482" s="4">
        <v>3</v>
      </c>
      <c r="AB482" s="9">
        <v>-0.104533727681832</v>
      </c>
      <c r="AC482" s="9">
        <v>0.001084445264546</v>
      </c>
      <c r="AD482" s="9"/>
      <c r="AE482" s="9"/>
      <c r="AF482" s="9"/>
      <c r="AG482" s="9"/>
      <c r="AH482" s="9"/>
      <c r="AI482" s="9"/>
    </row>
    <row r="483" s="4" customFormat="1" spans="1:35">
      <c r="A483" s="4">
        <v>482</v>
      </c>
      <c r="B483" s="18">
        <v>81</v>
      </c>
      <c r="C483" s="19" t="s">
        <v>311</v>
      </c>
      <c r="D483" s="5" t="s">
        <v>312</v>
      </c>
      <c r="E483" s="9">
        <v>35.275389</v>
      </c>
      <c r="F483" s="9">
        <v>107.508722</v>
      </c>
      <c r="G483" s="20">
        <v>8</v>
      </c>
      <c r="H483" s="21">
        <v>560</v>
      </c>
      <c r="I483" s="4">
        <v>1254</v>
      </c>
      <c r="J483" s="5" t="s">
        <v>95</v>
      </c>
      <c r="K483" s="5" t="s">
        <v>78</v>
      </c>
      <c r="L483" s="4">
        <v>2008</v>
      </c>
      <c r="M483" s="4">
        <v>4</v>
      </c>
      <c r="N483" s="5" t="s">
        <v>113</v>
      </c>
      <c r="O483" s="28" t="s">
        <v>80</v>
      </c>
      <c r="P483" s="12"/>
      <c r="Q483" s="4">
        <v>5.3</v>
      </c>
      <c r="R483" s="12"/>
      <c r="S483" s="13"/>
      <c r="T483" s="21">
        <v>20</v>
      </c>
      <c r="U483" s="21">
        <v>36</v>
      </c>
      <c r="V483" s="21">
        <v>44</v>
      </c>
      <c r="W483" s="4">
        <v>29</v>
      </c>
      <c r="X483" s="5" t="s">
        <v>91</v>
      </c>
      <c r="Y483" s="5" t="s">
        <v>82</v>
      </c>
      <c r="Z483" s="4">
        <v>3</v>
      </c>
      <c r="AA483" s="4">
        <v>3</v>
      </c>
      <c r="AB483" s="9">
        <v>0.0531526069777337</v>
      </c>
      <c r="AC483" s="9">
        <v>0.00105981278998983</v>
      </c>
      <c r="AD483" s="9"/>
      <c r="AE483" s="9"/>
      <c r="AF483" s="9"/>
      <c r="AG483" s="9"/>
      <c r="AH483" s="9"/>
      <c r="AI483" s="9"/>
    </row>
    <row r="484" s="4" customFormat="1" spans="1:35">
      <c r="A484" s="4">
        <v>483</v>
      </c>
      <c r="B484" s="18">
        <v>81</v>
      </c>
      <c r="C484" s="19" t="s">
        <v>311</v>
      </c>
      <c r="D484" s="5" t="s">
        <v>312</v>
      </c>
      <c r="E484" s="9">
        <v>35.275389</v>
      </c>
      <c r="F484" s="9">
        <v>107.508722</v>
      </c>
      <c r="G484" s="20">
        <v>8</v>
      </c>
      <c r="H484" s="21">
        <v>560</v>
      </c>
      <c r="I484" s="4">
        <v>1254</v>
      </c>
      <c r="J484" s="5" t="s">
        <v>94</v>
      </c>
      <c r="K484" s="5" t="s">
        <v>78</v>
      </c>
      <c r="L484" s="4">
        <v>2008</v>
      </c>
      <c r="M484" s="4">
        <v>5</v>
      </c>
      <c r="N484" s="5" t="s">
        <v>113</v>
      </c>
      <c r="O484" s="28" t="s">
        <v>80</v>
      </c>
      <c r="P484" s="12"/>
      <c r="Q484" s="4">
        <v>5.3</v>
      </c>
      <c r="R484" s="12"/>
      <c r="S484" s="13"/>
      <c r="T484" s="21">
        <v>20</v>
      </c>
      <c r="U484" s="21">
        <v>36</v>
      </c>
      <c r="V484" s="21">
        <v>44</v>
      </c>
      <c r="W484" s="4">
        <v>29</v>
      </c>
      <c r="X484" s="5" t="s">
        <v>91</v>
      </c>
      <c r="Y484" s="5" t="s">
        <v>82</v>
      </c>
      <c r="Z484" s="4">
        <v>3</v>
      </c>
      <c r="AA484" s="4">
        <v>3</v>
      </c>
      <c r="AB484" s="9">
        <v>0.263319374377729</v>
      </c>
      <c r="AC484" s="9">
        <v>0.000269528974440675</v>
      </c>
      <c r="AD484" s="9"/>
      <c r="AE484" s="9"/>
      <c r="AF484" s="9"/>
      <c r="AG484" s="9"/>
      <c r="AH484" s="9"/>
      <c r="AI484" s="9"/>
    </row>
    <row r="485" s="4" customFormat="1" spans="1:35">
      <c r="A485" s="4">
        <v>484</v>
      </c>
      <c r="B485" s="18">
        <v>81</v>
      </c>
      <c r="C485" s="19" t="s">
        <v>311</v>
      </c>
      <c r="D485" s="5" t="s">
        <v>312</v>
      </c>
      <c r="E485" s="9">
        <v>35.275389</v>
      </c>
      <c r="F485" s="9">
        <v>107.508722</v>
      </c>
      <c r="G485" s="20">
        <v>8</v>
      </c>
      <c r="H485" s="21">
        <v>560</v>
      </c>
      <c r="I485" s="4">
        <v>1254</v>
      </c>
      <c r="J485" s="5" t="s">
        <v>95</v>
      </c>
      <c r="K485" s="5" t="s">
        <v>78</v>
      </c>
      <c r="L485" s="4">
        <v>2008</v>
      </c>
      <c r="M485" s="4">
        <v>5</v>
      </c>
      <c r="N485" s="5" t="s">
        <v>113</v>
      </c>
      <c r="O485" s="28" t="s">
        <v>80</v>
      </c>
      <c r="P485" s="12"/>
      <c r="Q485" s="4">
        <v>5.3</v>
      </c>
      <c r="R485" s="12"/>
      <c r="S485" s="13"/>
      <c r="T485" s="21">
        <v>20</v>
      </c>
      <c r="U485" s="21">
        <v>36</v>
      </c>
      <c r="V485" s="21">
        <v>44</v>
      </c>
      <c r="W485" s="4">
        <v>29</v>
      </c>
      <c r="X485" s="5" t="s">
        <v>91</v>
      </c>
      <c r="Y485" s="5" t="s">
        <v>82</v>
      </c>
      <c r="Z485" s="4">
        <v>3</v>
      </c>
      <c r="AA485" s="4">
        <v>3</v>
      </c>
      <c r="AB485" s="9">
        <v>0.328007049069161</v>
      </c>
      <c r="AC485" s="9">
        <v>0.00142365200179183</v>
      </c>
      <c r="AD485" s="9"/>
      <c r="AE485" s="9"/>
      <c r="AF485" s="9"/>
      <c r="AG485" s="9"/>
      <c r="AH485" s="9"/>
      <c r="AI485" s="9"/>
    </row>
    <row r="486" s="4" customFormat="1" spans="1:35">
      <c r="A486" s="4">
        <v>485</v>
      </c>
      <c r="B486" s="18">
        <v>81</v>
      </c>
      <c r="C486" s="19" t="s">
        <v>311</v>
      </c>
      <c r="D486" s="5" t="s">
        <v>312</v>
      </c>
      <c r="E486" s="9">
        <v>35.275389</v>
      </c>
      <c r="F486" s="9">
        <v>107.508722</v>
      </c>
      <c r="G486" s="20">
        <v>8</v>
      </c>
      <c r="H486" s="21">
        <v>560</v>
      </c>
      <c r="I486" s="4">
        <v>1254</v>
      </c>
      <c r="J486" s="5" t="s">
        <v>94</v>
      </c>
      <c r="K486" s="5" t="s">
        <v>78</v>
      </c>
      <c r="L486" s="4">
        <v>2008</v>
      </c>
      <c r="M486" s="4">
        <v>6</v>
      </c>
      <c r="N486" s="5" t="s">
        <v>96</v>
      </c>
      <c r="O486" s="28" t="s">
        <v>80</v>
      </c>
      <c r="P486" s="12"/>
      <c r="Q486" s="4">
        <v>5.3</v>
      </c>
      <c r="R486" s="12"/>
      <c r="S486" s="13"/>
      <c r="T486" s="21">
        <v>20</v>
      </c>
      <c r="U486" s="21">
        <v>36</v>
      </c>
      <c r="V486" s="21">
        <v>44</v>
      </c>
      <c r="W486" s="4">
        <v>29</v>
      </c>
      <c r="X486" s="5" t="s">
        <v>91</v>
      </c>
      <c r="Y486" s="5" t="s">
        <v>82</v>
      </c>
      <c r="Z486" s="4">
        <v>3</v>
      </c>
      <c r="AA486" s="4">
        <v>3</v>
      </c>
      <c r="AB486" s="9">
        <v>0.0533085534545071</v>
      </c>
      <c r="AC486" s="9">
        <v>0.000122055737813688</v>
      </c>
      <c r="AD486" s="9"/>
      <c r="AE486" s="9"/>
      <c r="AF486" s="9"/>
      <c r="AG486" s="9"/>
      <c r="AH486" s="9"/>
      <c r="AI486" s="9"/>
    </row>
    <row r="487" s="4" customFormat="1" spans="1:35">
      <c r="A487" s="4">
        <v>486</v>
      </c>
      <c r="B487" s="18">
        <v>81</v>
      </c>
      <c r="C487" s="19" t="s">
        <v>311</v>
      </c>
      <c r="D487" s="5" t="s">
        <v>312</v>
      </c>
      <c r="E487" s="9">
        <v>35.275389</v>
      </c>
      <c r="F487" s="9">
        <v>107.508722</v>
      </c>
      <c r="G487" s="20">
        <v>8</v>
      </c>
      <c r="H487" s="21">
        <v>560</v>
      </c>
      <c r="I487" s="4">
        <v>1254</v>
      </c>
      <c r="J487" s="5" t="s">
        <v>95</v>
      </c>
      <c r="K487" s="5" t="s">
        <v>78</v>
      </c>
      <c r="L487" s="4">
        <v>2008</v>
      </c>
      <c r="M487" s="4">
        <v>6</v>
      </c>
      <c r="N487" s="5" t="s">
        <v>96</v>
      </c>
      <c r="O487" s="28" t="s">
        <v>80</v>
      </c>
      <c r="P487" s="12"/>
      <c r="Q487" s="4">
        <v>5.3</v>
      </c>
      <c r="R487" s="12"/>
      <c r="S487" s="13"/>
      <c r="T487" s="21">
        <v>20</v>
      </c>
      <c r="U487" s="21">
        <v>36</v>
      </c>
      <c r="V487" s="21">
        <v>44</v>
      </c>
      <c r="W487" s="4">
        <v>29</v>
      </c>
      <c r="X487" s="5" t="s">
        <v>91</v>
      </c>
      <c r="Y487" s="5" t="s">
        <v>82</v>
      </c>
      <c r="Z487" s="4">
        <v>3</v>
      </c>
      <c r="AA487" s="4">
        <v>3</v>
      </c>
      <c r="AB487" s="9">
        <v>0.174122813014174</v>
      </c>
      <c r="AC487" s="9">
        <v>0.000170013084860795</v>
      </c>
      <c r="AD487" s="9"/>
      <c r="AE487" s="9"/>
      <c r="AF487" s="9"/>
      <c r="AG487" s="9"/>
      <c r="AH487" s="9"/>
      <c r="AI487" s="9"/>
    </row>
    <row r="488" s="4" customFormat="1" spans="1:35">
      <c r="A488" s="4">
        <v>487</v>
      </c>
      <c r="B488" s="18">
        <v>81</v>
      </c>
      <c r="C488" s="19" t="s">
        <v>311</v>
      </c>
      <c r="D488" s="5" t="s">
        <v>312</v>
      </c>
      <c r="E488" s="9">
        <v>35.275389</v>
      </c>
      <c r="F488" s="9">
        <v>107.508722</v>
      </c>
      <c r="G488" s="20">
        <v>8</v>
      </c>
      <c r="H488" s="21">
        <v>560</v>
      </c>
      <c r="I488" s="4">
        <v>1254</v>
      </c>
      <c r="J488" s="5" t="s">
        <v>94</v>
      </c>
      <c r="K488" s="5" t="s">
        <v>78</v>
      </c>
      <c r="L488" s="4">
        <v>2008</v>
      </c>
      <c r="M488" s="4">
        <v>4</v>
      </c>
      <c r="N488" s="5" t="s">
        <v>113</v>
      </c>
      <c r="O488" s="28" t="s">
        <v>136</v>
      </c>
      <c r="P488" s="12"/>
      <c r="Q488" s="4">
        <v>5.3</v>
      </c>
      <c r="R488" s="12"/>
      <c r="S488" s="13"/>
      <c r="T488" s="21">
        <v>20</v>
      </c>
      <c r="U488" s="21">
        <v>36</v>
      </c>
      <c r="V488" s="21">
        <v>44</v>
      </c>
      <c r="W488" s="4">
        <v>29</v>
      </c>
      <c r="X488" s="5" t="s">
        <v>91</v>
      </c>
      <c r="Y488" s="5" t="s">
        <v>82</v>
      </c>
      <c r="Z488" s="4">
        <v>3</v>
      </c>
      <c r="AA488" s="4">
        <v>3</v>
      </c>
      <c r="AB488" s="9">
        <v>-0.499955951529087</v>
      </c>
      <c r="AC488" s="9">
        <v>0.000637426796117065</v>
      </c>
      <c r="AD488" s="9"/>
      <c r="AE488" s="9"/>
      <c r="AF488" s="9"/>
      <c r="AG488" s="9"/>
      <c r="AH488" s="9"/>
      <c r="AI488" s="9"/>
    </row>
    <row r="489" s="4" customFormat="1" spans="1:35">
      <c r="A489" s="4">
        <v>488</v>
      </c>
      <c r="B489" s="18">
        <v>81</v>
      </c>
      <c r="C489" s="19" t="s">
        <v>311</v>
      </c>
      <c r="D489" s="5" t="s">
        <v>312</v>
      </c>
      <c r="E489" s="9">
        <v>35.275389</v>
      </c>
      <c r="F489" s="9">
        <v>107.508722</v>
      </c>
      <c r="G489" s="20">
        <v>8</v>
      </c>
      <c r="H489" s="21">
        <v>560</v>
      </c>
      <c r="I489" s="4">
        <v>1254</v>
      </c>
      <c r="J489" s="5" t="s">
        <v>95</v>
      </c>
      <c r="K489" s="5" t="s">
        <v>78</v>
      </c>
      <c r="L489" s="4">
        <v>2008</v>
      </c>
      <c r="M489" s="4">
        <v>4</v>
      </c>
      <c r="N489" s="5" t="s">
        <v>113</v>
      </c>
      <c r="O489" s="28" t="s">
        <v>136</v>
      </c>
      <c r="P489" s="12"/>
      <c r="Q489" s="4">
        <v>5.3</v>
      </c>
      <c r="R489" s="12"/>
      <c r="S489" s="13"/>
      <c r="T489" s="21">
        <v>20</v>
      </c>
      <c r="U489" s="21">
        <v>36</v>
      </c>
      <c r="V489" s="21">
        <v>44</v>
      </c>
      <c r="W489" s="4">
        <v>29</v>
      </c>
      <c r="X489" s="5" t="s">
        <v>91</v>
      </c>
      <c r="Y489" s="5" t="s">
        <v>82</v>
      </c>
      <c r="Z489" s="4">
        <v>3</v>
      </c>
      <c r="AA489" s="4">
        <v>3</v>
      </c>
      <c r="AB489" s="9">
        <v>0.0660742265839995</v>
      </c>
      <c r="AC489" s="9">
        <v>0.00145229731705821</v>
      </c>
      <c r="AD489" s="9"/>
      <c r="AE489" s="9"/>
      <c r="AF489" s="9"/>
      <c r="AG489" s="9"/>
      <c r="AH489" s="9"/>
      <c r="AI489" s="9"/>
    </row>
    <row r="490" s="4" customFormat="1" spans="1:35">
      <c r="A490" s="4">
        <v>489</v>
      </c>
      <c r="B490" s="18">
        <v>81</v>
      </c>
      <c r="C490" s="19" t="s">
        <v>311</v>
      </c>
      <c r="D490" s="5" t="s">
        <v>312</v>
      </c>
      <c r="E490" s="9">
        <v>35.275389</v>
      </c>
      <c r="F490" s="9">
        <v>107.508722</v>
      </c>
      <c r="G490" s="20">
        <v>8</v>
      </c>
      <c r="H490" s="21">
        <v>560</v>
      </c>
      <c r="I490" s="4">
        <v>1254</v>
      </c>
      <c r="J490" s="5" t="s">
        <v>94</v>
      </c>
      <c r="K490" s="5" t="s">
        <v>78</v>
      </c>
      <c r="L490" s="4">
        <v>2008</v>
      </c>
      <c r="M490" s="4">
        <v>5</v>
      </c>
      <c r="N490" s="5" t="s">
        <v>113</v>
      </c>
      <c r="O490" s="28" t="s">
        <v>136</v>
      </c>
      <c r="P490" s="12"/>
      <c r="Q490" s="4">
        <v>5.3</v>
      </c>
      <c r="R490" s="12"/>
      <c r="S490" s="13"/>
      <c r="T490" s="21">
        <v>20</v>
      </c>
      <c r="U490" s="21">
        <v>36</v>
      </c>
      <c r="V490" s="21">
        <v>44</v>
      </c>
      <c r="W490" s="4">
        <v>29</v>
      </c>
      <c r="X490" s="5" t="s">
        <v>91</v>
      </c>
      <c r="Y490" s="5" t="s">
        <v>82</v>
      </c>
      <c r="Z490" s="4">
        <v>3</v>
      </c>
      <c r="AA490" s="4">
        <v>3</v>
      </c>
      <c r="AB490" s="9">
        <v>0.339936443318882</v>
      </c>
      <c r="AC490" s="9">
        <v>0.00029635261569564</v>
      </c>
      <c r="AD490" s="9"/>
      <c r="AE490" s="9"/>
      <c r="AF490" s="9"/>
      <c r="AG490" s="9"/>
      <c r="AH490" s="9"/>
      <c r="AI490" s="9"/>
    </row>
    <row r="491" s="4" customFormat="1" spans="1:35">
      <c r="A491" s="4">
        <v>490</v>
      </c>
      <c r="B491" s="18">
        <v>81</v>
      </c>
      <c r="C491" s="19" t="s">
        <v>311</v>
      </c>
      <c r="D491" s="5" t="s">
        <v>312</v>
      </c>
      <c r="E491" s="9">
        <v>35.275389</v>
      </c>
      <c r="F491" s="9">
        <v>107.508722</v>
      </c>
      <c r="G491" s="20">
        <v>8</v>
      </c>
      <c r="H491" s="21">
        <v>560</v>
      </c>
      <c r="I491" s="4">
        <v>1254</v>
      </c>
      <c r="J491" s="5" t="s">
        <v>95</v>
      </c>
      <c r="K491" s="5" t="s">
        <v>78</v>
      </c>
      <c r="L491" s="4">
        <v>2008</v>
      </c>
      <c r="M491" s="4">
        <v>5</v>
      </c>
      <c r="N491" s="5" t="s">
        <v>113</v>
      </c>
      <c r="O491" s="28" t="s">
        <v>136</v>
      </c>
      <c r="P491" s="12"/>
      <c r="Q491" s="4">
        <v>5.3</v>
      </c>
      <c r="R491" s="12"/>
      <c r="S491" s="13"/>
      <c r="T491" s="21">
        <v>20</v>
      </c>
      <c r="U491" s="21">
        <v>36</v>
      </c>
      <c r="V491" s="21">
        <v>44</v>
      </c>
      <c r="W491" s="4">
        <v>29</v>
      </c>
      <c r="X491" s="5" t="s">
        <v>91</v>
      </c>
      <c r="Y491" s="5" t="s">
        <v>82</v>
      </c>
      <c r="Z491" s="4">
        <v>3</v>
      </c>
      <c r="AA491" s="4">
        <v>3</v>
      </c>
      <c r="AB491" s="9">
        <v>0.563656197472428</v>
      </c>
      <c r="AC491" s="9">
        <v>0.000495771340194515</v>
      </c>
      <c r="AD491" s="9"/>
      <c r="AE491" s="9"/>
      <c r="AF491" s="9"/>
      <c r="AG491" s="9"/>
      <c r="AH491" s="9"/>
      <c r="AI491" s="9"/>
    </row>
    <row r="492" s="4" customFormat="1" spans="1:35">
      <c r="A492" s="4">
        <v>491</v>
      </c>
      <c r="B492" s="18">
        <v>81</v>
      </c>
      <c r="C492" s="19" t="s">
        <v>311</v>
      </c>
      <c r="D492" s="5" t="s">
        <v>312</v>
      </c>
      <c r="E492" s="9">
        <v>35.275389</v>
      </c>
      <c r="F492" s="9">
        <v>107.508722</v>
      </c>
      <c r="G492" s="20">
        <v>8</v>
      </c>
      <c r="H492" s="21">
        <v>560</v>
      </c>
      <c r="I492" s="4">
        <v>1254</v>
      </c>
      <c r="J492" s="5" t="s">
        <v>94</v>
      </c>
      <c r="K492" s="5" t="s">
        <v>78</v>
      </c>
      <c r="L492" s="4">
        <v>2008</v>
      </c>
      <c r="M492" s="4">
        <v>6</v>
      </c>
      <c r="N492" s="5" t="s">
        <v>96</v>
      </c>
      <c r="O492" s="28" t="s">
        <v>136</v>
      </c>
      <c r="P492" s="12"/>
      <c r="Q492" s="4">
        <v>5.3</v>
      </c>
      <c r="R492" s="12"/>
      <c r="S492" s="13"/>
      <c r="T492" s="21">
        <v>20</v>
      </c>
      <c r="U492" s="21">
        <v>36</v>
      </c>
      <c r="V492" s="21">
        <v>44</v>
      </c>
      <c r="W492" s="4">
        <v>29</v>
      </c>
      <c r="X492" s="5" t="s">
        <v>91</v>
      </c>
      <c r="Y492" s="5" t="s">
        <v>82</v>
      </c>
      <c r="Z492" s="4">
        <v>3</v>
      </c>
      <c r="AA492" s="4">
        <v>3</v>
      </c>
      <c r="AB492" s="9">
        <v>-0.236185546684606</v>
      </c>
      <c r="AC492" s="9">
        <v>0.00195828661225333</v>
      </c>
      <c r="AD492" s="9"/>
      <c r="AE492" s="9"/>
      <c r="AF492" s="9"/>
      <c r="AG492" s="9"/>
      <c r="AH492" s="9"/>
      <c r="AI492" s="9"/>
    </row>
    <row r="493" s="4" customFormat="1" spans="1:35">
      <c r="A493" s="4">
        <v>492</v>
      </c>
      <c r="B493" s="18">
        <v>81</v>
      </c>
      <c r="C493" s="19" t="s">
        <v>311</v>
      </c>
      <c r="D493" s="5" t="s">
        <v>312</v>
      </c>
      <c r="E493" s="9">
        <v>35.275389</v>
      </c>
      <c r="F493" s="9">
        <v>107.508722</v>
      </c>
      <c r="G493" s="20">
        <v>8</v>
      </c>
      <c r="H493" s="21">
        <v>560</v>
      </c>
      <c r="I493" s="4">
        <v>1254</v>
      </c>
      <c r="J493" s="5" t="s">
        <v>95</v>
      </c>
      <c r="K493" s="5" t="s">
        <v>78</v>
      </c>
      <c r="L493" s="4">
        <v>2008</v>
      </c>
      <c r="M493" s="4">
        <v>6</v>
      </c>
      <c r="N493" s="5" t="s">
        <v>96</v>
      </c>
      <c r="O493" s="28" t="s">
        <v>136</v>
      </c>
      <c r="P493" s="12"/>
      <c r="Q493" s="4">
        <v>5.3</v>
      </c>
      <c r="R493" s="12"/>
      <c r="S493" s="13"/>
      <c r="T493" s="21">
        <v>20</v>
      </c>
      <c r="U493" s="21">
        <v>36</v>
      </c>
      <c r="V493" s="21">
        <v>44</v>
      </c>
      <c r="W493" s="4">
        <v>29</v>
      </c>
      <c r="X493" s="5" t="s">
        <v>91</v>
      </c>
      <c r="Y493" s="5" t="s">
        <v>82</v>
      </c>
      <c r="Z493" s="4">
        <v>3</v>
      </c>
      <c r="AA493" s="4">
        <v>3</v>
      </c>
      <c r="AB493" s="9">
        <v>-0.0184620628397354</v>
      </c>
      <c r="AC493" s="9">
        <v>0.00312781619008589</v>
      </c>
      <c r="AD493" s="9"/>
      <c r="AE493" s="9"/>
      <c r="AF493" s="9"/>
      <c r="AG493" s="9"/>
      <c r="AH493" s="9"/>
      <c r="AI493" s="9"/>
    </row>
    <row r="494" s="4" customFormat="1" spans="1:35">
      <c r="A494" s="4">
        <v>493</v>
      </c>
      <c r="B494" s="18">
        <v>81</v>
      </c>
      <c r="C494" s="19" t="s">
        <v>311</v>
      </c>
      <c r="D494" s="5" t="s">
        <v>312</v>
      </c>
      <c r="E494" s="9">
        <v>35.275389</v>
      </c>
      <c r="F494" s="9">
        <v>107.508722</v>
      </c>
      <c r="G494" s="20">
        <v>8</v>
      </c>
      <c r="H494" s="21">
        <v>560</v>
      </c>
      <c r="I494" s="4">
        <v>1254</v>
      </c>
      <c r="J494" s="5" t="s">
        <v>94</v>
      </c>
      <c r="K494" s="5" t="s">
        <v>78</v>
      </c>
      <c r="L494" s="4">
        <v>2008</v>
      </c>
      <c r="M494" s="4">
        <v>4</v>
      </c>
      <c r="N494" s="5" t="s">
        <v>113</v>
      </c>
      <c r="O494" s="28" t="s">
        <v>136</v>
      </c>
      <c r="P494" s="12"/>
      <c r="Q494" s="4">
        <v>5.3</v>
      </c>
      <c r="R494" s="12"/>
      <c r="S494" s="13"/>
      <c r="T494" s="21">
        <v>20</v>
      </c>
      <c r="U494" s="21">
        <v>36</v>
      </c>
      <c r="V494" s="21">
        <v>44</v>
      </c>
      <c r="W494" s="4">
        <v>29</v>
      </c>
      <c r="X494" s="5" t="s">
        <v>91</v>
      </c>
      <c r="Y494" s="5" t="s">
        <v>82</v>
      </c>
      <c r="Z494" s="4">
        <v>3</v>
      </c>
      <c r="AA494" s="4">
        <v>3</v>
      </c>
      <c r="AB494" s="9">
        <v>-1.11721747649914</v>
      </c>
      <c r="AC494" s="9">
        <v>0.00695930552955188</v>
      </c>
      <c r="AD494" s="9"/>
      <c r="AE494" s="9"/>
      <c r="AF494" s="9"/>
      <c r="AG494" s="9"/>
      <c r="AH494" s="9"/>
      <c r="AI494" s="9"/>
    </row>
    <row r="495" s="4" customFormat="1" spans="1:35">
      <c r="A495" s="4">
        <v>494</v>
      </c>
      <c r="B495" s="18">
        <v>81</v>
      </c>
      <c r="C495" s="19" t="s">
        <v>311</v>
      </c>
      <c r="D495" s="5" t="s">
        <v>312</v>
      </c>
      <c r="E495" s="9">
        <v>35.275389</v>
      </c>
      <c r="F495" s="9">
        <v>107.508722</v>
      </c>
      <c r="G495" s="20">
        <v>8</v>
      </c>
      <c r="H495" s="21">
        <v>560</v>
      </c>
      <c r="I495" s="4">
        <v>1254</v>
      </c>
      <c r="J495" s="5" t="s">
        <v>95</v>
      </c>
      <c r="K495" s="5" t="s">
        <v>78</v>
      </c>
      <c r="L495" s="4">
        <v>2008</v>
      </c>
      <c r="M495" s="4">
        <v>4</v>
      </c>
      <c r="N495" s="5" t="s">
        <v>113</v>
      </c>
      <c r="O495" s="28" t="s">
        <v>136</v>
      </c>
      <c r="P495" s="12"/>
      <c r="Q495" s="4">
        <v>5.3</v>
      </c>
      <c r="R495" s="12"/>
      <c r="S495" s="13"/>
      <c r="T495" s="21">
        <v>20</v>
      </c>
      <c r="U495" s="21">
        <v>36</v>
      </c>
      <c r="V495" s="21">
        <v>44</v>
      </c>
      <c r="W495" s="4">
        <v>29</v>
      </c>
      <c r="X495" s="5" t="s">
        <v>91</v>
      </c>
      <c r="Y495" s="5" t="s">
        <v>82</v>
      </c>
      <c r="Z495" s="4">
        <v>3</v>
      </c>
      <c r="AA495" s="4">
        <v>3</v>
      </c>
      <c r="AB495" s="9">
        <v>-0.117207164635574</v>
      </c>
      <c r="AC495" s="9">
        <v>0.00124173951849217</v>
      </c>
      <c r="AD495" s="9"/>
      <c r="AE495" s="9"/>
      <c r="AF495" s="9"/>
      <c r="AG495" s="9"/>
      <c r="AH495" s="9"/>
      <c r="AI495" s="9"/>
    </row>
    <row r="496" s="4" customFormat="1" spans="1:35">
      <c r="A496" s="4">
        <v>495</v>
      </c>
      <c r="B496" s="18">
        <v>81</v>
      </c>
      <c r="C496" s="19" t="s">
        <v>311</v>
      </c>
      <c r="D496" s="5" t="s">
        <v>312</v>
      </c>
      <c r="E496" s="9">
        <v>35.275389</v>
      </c>
      <c r="F496" s="9">
        <v>107.508722</v>
      </c>
      <c r="G496" s="20">
        <v>8</v>
      </c>
      <c r="H496" s="21">
        <v>560</v>
      </c>
      <c r="I496" s="4">
        <v>1254</v>
      </c>
      <c r="J496" s="5" t="s">
        <v>94</v>
      </c>
      <c r="K496" s="5" t="s">
        <v>78</v>
      </c>
      <c r="L496" s="4">
        <v>2008</v>
      </c>
      <c r="M496" s="4">
        <v>5</v>
      </c>
      <c r="N496" s="5" t="s">
        <v>113</v>
      </c>
      <c r="O496" s="28" t="s">
        <v>136</v>
      </c>
      <c r="P496" s="12"/>
      <c r="Q496" s="4">
        <v>5.3</v>
      </c>
      <c r="R496" s="12"/>
      <c r="S496" s="13"/>
      <c r="T496" s="21">
        <v>20</v>
      </c>
      <c r="U496" s="21">
        <v>36</v>
      </c>
      <c r="V496" s="21">
        <v>44</v>
      </c>
      <c r="W496" s="4">
        <v>29</v>
      </c>
      <c r="X496" s="5" t="s">
        <v>91</v>
      </c>
      <c r="Y496" s="5" t="s">
        <v>82</v>
      </c>
      <c r="Z496" s="4">
        <v>3</v>
      </c>
      <c r="AA496" s="4">
        <v>3</v>
      </c>
      <c r="AB496" s="9">
        <v>0.393550073530293</v>
      </c>
      <c r="AC496" s="9">
        <v>0.000999646648857771</v>
      </c>
      <c r="AD496" s="9"/>
      <c r="AE496" s="9"/>
      <c r="AF496" s="9"/>
      <c r="AG496" s="9"/>
      <c r="AH496" s="9"/>
      <c r="AI496" s="9"/>
    </row>
    <row r="497" s="4" customFormat="1" spans="1:35">
      <c r="A497" s="4">
        <v>496</v>
      </c>
      <c r="B497" s="18">
        <v>81</v>
      </c>
      <c r="C497" s="19" t="s">
        <v>311</v>
      </c>
      <c r="D497" s="5" t="s">
        <v>312</v>
      </c>
      <c r="E497" s="9">
        <v>35.275389</v>
      </c>
      <c r="F497" s="9">
        <v>107.508722</v>
      </c>
      <c r="G497" s="20">
        <v>8</v>
      </c>
      <c r="H497" s="21">
        <v>560</v>
      </c>
      <c r="I497" s="4">
        <v>1254</v>
      </c>
      <c r="J497" s="5" t="s">
        <v>95</v>
      </c>
      <c r="K497" s="5" t="s">
        <v>78</v>
      </c>
      <c r="L497" s="4">
        <v>2008</v>
      </c>
      <c r="M497" s="4">
        <v>5</v>
      </c>
      <c r="N497" s="5" t="s">
        <v>113</v>
      </c>
      <c r="O497" s="28" t="s">
        <v>136</v>
      </c>
      <c r="P497" s="12"/>
      <c r="Q497" s="4">
        <v>5.3</v>
      </c>
      <c r="R497" s="12"/>
      <c r="S497" s="13"/>
      <c r="T497" s="21">
        <v>20</v>
      </c>
      <c r="U497" s="21">
        <v>36</v>
      </c>
      <c r="V497" s="21">
        <v>44</v>
      </c>
      <c r="W497" s="4">
        <v>29</v>
      </c>
      <c r="X497" s="5" t="s">
        <v>91</v>
      </c>
      <c r="Y497" s="5" t="s">
        <v>82</v>
      </c>
      <c r="Z497" s="4">
        <v>3</v>
      </c>
      <c r="AA497" s="4">
        <v>3</v>
      </c>
      <c r="AB497" s="9">
        <v>0.700732551949202</v>
      </c>
      <c r="AC497" s="9">
        <v>0.000935045082145105</v>
      </c>
      <c r="AD497" s="9"/>
      <c r="AE497" s="9"/>
      <c r="AF497" s="9"/>
      <c r="AG497" s="9"/>
      <c r="AH497" s="9"/>
      <c r="AI497" s="9"/>
    </row>
    <row r="498" s="4" customFormat="1" spans="1:35">
      <c r="A498" s="4">
        <v>497</v>
      </c>
      <c r="B498" s="18">
        <v>81</v>
      </c>
      <c r="C498" s="19" t="s">
        <v>311</v>
      </c>
      <c r="D498" s="5" t="s">
        <v>312</v>
      </c>
      <c r="E498" s="9">
        <v>35.275389</v>
      </c>
      <c r="F498" s="9">
        <v>107.508722</v>
      </c>
      <c r="G498" s="20">
        <v>8</v>
      </c>
      <c r="H498" s="21">
        <v>560</v>
      </c>
      <c r="I498" s="4">
        <v>1254</v>
      </c>
      <c r="J498" s="5" t="s">
        <v>94</v>
      </c>
      <c r="K498" s="5" t="s">
        <v>78</v>
      </c>
      <c r="L498" s="4">
        <v>2008</v>
      </c>
      <c r="M498" s="4">
        <v>6</v>
      </c>
      <c r="N498" s="5" t="s">
        <v>96</v>
      </c>
      <c r="O498" s="28" t="s">
        <v>136</v>
      </c>
      <c r="P498" s="12"/>
      <c r="Q498" s="4">
        <v>5.3</v>
      </c>
      <c r="R498" s="12"/>
      <c r="S498" s="13"/>
      <c r="T498" s="21">
        <v>20</v>
      </c>
      <c r="U498" s="21">
        <v>36</v>
      </c>
      <c r="V498" s="21">
        <v>44</v>
      </c>
      <c r="W498" s="4">
        <v>29</v>
      </c>
      <c r="X498" s="5" t="s">
        <v>91</v>
      </c>
      <c r="Y498" s="5" t="s">
        <v>82</v>
      </c>
      <c r="Z498" s="4">
        <v>3</v>
      </c>
      <c r="AA498" s="4">
        <v>3</v>
      </c>
      <c r="AB498" s="9">
        <v>0.0356271776431513</v>
      </c>
      <c r="AC498" s="9">
        <v>0.000969878609716592</v>
      </c>
      <c r="AD498" s="9"/>
      <c r="AE498" s="9"/>
      <c r="AF498" s="9"/>
      <c r="AG498" s="9"/>
      <c r="AH498" s="9"/>
      <c r="AI498" s="9"/>
    </row>
    <row r="499" s="4" customFormat="1" spans="1:35">
      <c r="A499" s="4">
        <v>498</v>
      </c>
      <c r="B499" s="18">
        <v>81</v>
      </c>
      <c r="C499" s="19" t="s">
        <v>311</v>
      </c>
      <c r="D499" s="5" t="s">
        <v>312</v>
      </c>
      <c r="E499" s="9">
        <v>35.275389</v>
      </c>
      <c r="F499" s="9">
        <v>107.508722</v>
      </c>
      <c r="G499" s="20">
        <v>8</v>
      </c>
      <c r="H499" s="21">
        <v>560</v>
      </c>
      <c r="I499" s="4">
        <v>1254</v>
      </c>
      <c r="J499" s="5" t="s">
        <v>95</v>
      </c>
      <c r="K499" s="5" t="s">
        <v>78</v>
      </c>
      <c r="L499" s="4">
        <v>2008</v>
      </c>
      <c r="M499" s="4">
        <v>6</v>
      </c>
      <c r="N499" s="5" t="s">
        <v>96</v>
      </c>
      <c r="O499" s="28" t="s">
        <v>136</v>
      </c>
      <c r="P499" s="12"/>
      <c r="Q499" s="4">
        <v>5.3</v>
      </c>
      <c r="R499" s="12"/>
      <c r="S499" s="13"/>
      <c r="T499" s="21">
        <v>20</v>
      </c>
      <c r="U499" s="21">
        <v>36</v>
      </c>
      <c r="V499" s="21">
        <v>44</v>
      </c>
      <c r="W499" s="4">
        <v>29</v>
      </c>
      <c r="X499" s="5" t="s">
        <v>91</v>
      </c>
      <c r="Y499" s="5" t="s">
        <v>82</v>
      </c>
      <c r="Z499" s="4">
        <v>3</v>
      </c>
      <c r="AA499" s="4">
        <v>3</v>
      </c>
      <c r="AB499" s="9">
        <v>0.117207164635574</v>
      </c>
      <c r="AC499" s="9">
        <v>0.00124173951849217</v>
      </c>
      <c r="AD499" s="9"/>
      <c r="AE499" s="9"/>
      <c r="AF499" s="9"/>
      <c r="AG499" s="9"/>
      <c r="AH499" s="9"/>
      <c r="AI499" s="9"/>
    </row>
    <row r="500" s="3" customFormat="1" spans="1:63">
      <c r="A500" s="4">
        <v>499</v>
      </c>
      <c r="B500" s="6">
        <v>82</v>
      </c>
      <c r="C500" s="24" t="s">
        <v>313</v>
      </c>
      <c r="D500" s="13" t="s">
        <v>314</v>
      </c>
      <c r="E500" s="25">
        <v>42.3</v>
      </c>
      <c r="F500" s="25">
        <v>128</v>
      </c>
      <c r="G500" s="20">
        <v>2.21249985694885</v>
      </c>
      <c r="H500" s="21">
        <v>705</v>
      </c>
      <c r="I500" s="3"/>
      <c r="J500" s="13" t="s">
        <v>181</v>
      </c>
      <c r="K500" s="5" t="s">
        <v>182</v>
      </c>
      <c r="L500" s="3"/>
      <c r="M500" s="3"/>
      <c r="N500" s="3"/>
      <c r="O500" s="36" t="s">
        <v>80</v>
      </c>
      <c r="P500" s="12"/>
      <c r="Q500" s="5"/>
      <c r="R500" s="12"/>
      <c r="S500" s="13"/>
      <c r="T500" s="21">
        <v>15</v>
      </c>
      <c r="U500" s="21">
        <v>45</v>
      </c>
      <c r="V500" s="21">
        <v>40</v>
      </c>
      <c r="W500" s="3">
        <v>50</v>
      </c>
      <c r="X500" s="13" t="s">
        <v>141</v>
      </c>
      <c r="Y500" s="13" t="s">
        <v>82</v>
      </c>
      <c r="Z500" s="3">
        <v>21</v>
      </c>
      <c r="AA500" s="3">
        <v>72</v>
      </c>
      <c r="AB500" s="9">
        <v>-0.940602835000048</v>
      </c>
      <c r="AC500" s="9">
        <v>1.70230402830845e-5</v>
      </c>
      <c r="AD500" s="25"/>
      <c r="AE500" s="25"/>
      <c r="AF500" s="9"/>
      <c r="AG500" s="9"/>
      <c r="AH500" s="25">
        <v>-0.878047165941844</v>
      </c>
      <c r="AI500" s="25">
        <v>0.000640440821615332</v>
      </c>
      <c r="AJ500" s="4">
        <v>-0.0625556690582048</v>
      </c>
      <c r="AK500" s="4">
        <v>0.000657463861898415</v>
      </c>
      <c r="AL500" s="3"/>
      <c r="AM500" s="3"/>
      <c r="AN500" s="4">
        <v>0.426763105787099</v>
      </c>
      <c r="AO500" s="4">
        <v>3.8601280088349e-5</v>
      </c>
      <c r="AP500" s="3">
        <v>-0.771551886229243</v>
      </c>
      <c r="AQ500" s="3">
        <v>0.00127521888320841</v>
      </c>
      <c r="AR500" s="4">
        <v>0.11247798342669</v>
      </c>
      <c r="AS500" s="4">
        <v>0.000584347967534086</v>
      </c>
      <c r="AT500" s="3"/>
      <c r="AU500" s="3"/>
      <c r="AV500" s="4"/>
      <c r="AW500" s="4"/>
      <c r="AX500" s="3"/>
      <c r="AY500" s="3"/>
      <c r="BJ500" s="3">
        <v>0.340706540760001</v>
      </c>
      <c r="BK500" s="3">
        <v>0.00075935724083872</v>
      </c>
    </row>
    <row r="501" s="3" customFormat="1" spans="1:63">
      <c r="A501" s="4">
        <v>500</v>
      </c>
      <c r="B501" s="6">
        <v>82</v>
      </c>
      <c r="C501" s="24" t="s">
        <v>313</v>
      </c>
      <c r="D501" s="13" t="s">
        <v>314</v>
      </c>
      <c r="E501" s="25">
        <v>42.3</v>
      </c>
      <c r="F501" s="25">
        <v>128</v>
      </c>
      <c r="G501" s="20">
        <v>2.21249985694885</v>
      </c>
      <c r="H501" s="21">
        <v>705</v>
      </c>
      <c r="I501" s="3"/>
      <c r="J501" s="13" t="s">
        <v>188</v>
      </c>
      <c r="K501" s="5" t="s">
        <v>182</v>
      </c>
      <c r="L501" s="3"/>
      <c r="M501" s="3"/>
      <c r="N501" s="3"/>
      <c r="O501" s="36" t="s">
        <v>80</v>
      </c>
      <c r="P501" s="12"/>
      <c r="Q501" s="5"/>
      <c r="R501" s="12"/>
      <c r="S501" s="13"/>
      <c r="T501" s="21">
        <v>15</v>
      </c>
      <c r="U501" s="21">
        <v>45</v>
      </c>
      <c r="V501" s="21">
        <v>40</v>
      </c>
      <c r="W501" s="3">
        <v>30</v>
      </c>
      <c r="X501" s="5" t="s">
        <v>91</v>
      </c>
      <c r="Y501" s="13" t="s">
        <v>82</v>
      </c>
      <c r="Z501" s="3">
        <v>21</v>
      </c>
      <c r="AA501" s="3">
        <v>72</v>
      </c>
      <c r="AB501" s="9">
        <v>-0.854313844807707</v>
      </c>
      <c r="AC501" s="9">
        <v>1.70230402830845e-5</v>
      </c>
      <c r="AD501" s="25"/>
      <c r="AE501" s="25"/>
      <c r="AF501" s="9"/>
      <c r="AG501" s="9"/>
      <c r="AH501" s="25">
        <v>-0.891330641654366</v>
      </c>
      <c r="AI501" s="25">
        <v>0.000640440821615332</v>
      </c>
      <c r="AJ501" s="4">
        <v>0.0370167968466607</v>
      </c>
      <c r="AK501" s="4">
        <v>0.000657463861898415</v>
      </c>
      <c r="AL501" s="3"/>
      <c r="AM501" s="3"/>
      <c r="AN501" s="4">
        <v>0.458192468317391</v>
      </c>
      <c r="AO501" s="4">
        <v>3.8601280088349e-5</v>
      </c>
      <c r="AP501" s="3">
        <v>-0.78583784347672</v>
      </c>
      <c r="AQ501" s="3">
        <v>0.00127521888320842</v>
      </c>
      <c r="AR501" s="4">
        <v>0</v>
      </c>
      <c r="AS501" s="4">
        <v>0.000584347967534086</v>
      </c>
      <c r="AT501" s="3"/>
      <c r="AU501" s="3"/>
      <c r="AV501" s="4"/>
      <c r="AW501" s="4"/>
      <c r="AX501" s="3"/>
      <c r="AY501" s="3"/>
      <c r="BJ501" s="3">
        <v>0.304860408986866</v>
      </c>
      <c r="BK501" s="3">
        <v>0.00075935724083872</v>
      </c>
    </row>
    <row r="502" s="4" customFormat="1" spans="1:61">
      <c r="A502" s="4">
        <v>501</v>
      </c>
      <c r="B502" s="18">
        <v>83</v>
      </c>
      <c r="C502" s="19" t="s">
        <v>315</v>
      </c>
      <c r="D502" s="5" t="s">
        <v>316</v>
      </c>
      <c r="E502" s="9">
        <v>39.6</v>
      </c>
      <c r="F502" s="9">
        <v>116.6</v>
      </c>
      <c r="G502" s="20">
        <v>11.9</v>
      </c>
      <c r="H502" s="21">
        <v>550</v>
      </c>
      <c r="I502" s="4">
        <v>18</v>
      </c>
      <c r="J502" s="5" t="s">
        <v>94</v>
      </c>
      <c r="K502" s="5" t="s">
        <v>78</v>
      </c>
      <c r="L502" s="4">
        <v>2013</v>
      </c>
      <c r="M502" s="4">
        <v>11</v>
      </c>
      <c r="N502" s="5" t="s">
        <v>108</v>
      </c>
      <c r="O502" s="28" t="s">
        <v>80</v>
      </c>
      <c r="P502" s="29">
        <v>8</v>
      </c>
      <c r="Q502" s="4">
        <v>6.38</v>
      </c>
      <c r="R502" s="4">
        <v>0.85</v>
      </c>
      <c r="S502" s="13">
        <v>7.50588235294118</v>
      </c>
      <c r="T502" s="21">
        <v>19</v>
      </c>
      <c r="U502" s="21">
        <v>34</v>
      </c>
      <c r="V502" s="21">
        <v>47</v>
      </c>
      <c r="W502" s="18">
        <v>14</v>
      </c>
      <c r="X502" s="5" t="s">
        <v>91</v>
      </c>
      <c r="Y502" s="5" t="s">
        <v>82</v>
      </c>
      <c r="Z502" s="4">
        <v>3</v>
      </c>
      <c r="AA502" s="4">
        <v>3</v>
      </c>
      <c r="AB502" s="9"/>
      <c r="AC502" s="9"/>
      <c r="AD502" s="9">
        <v>0.0903502626719463</v>
      </c>
      <c r="AE502" s="9">
        <v>0.00551087911953661</v>
      </c>
      <c r="AF502" s="9"/>
      <c r="AG502" s="9"/>
      <c r="AH502" s="9">
        <v>0.0931937768979473</v>
      </c>
      <c r="AI502" s="9">
        <v>0.00177025315049526</v>
      </c>
      <c r="AJ502" s="4"/>
      <c r="AK502" s="4"/>
      <c r="AL502" s="4">
        <v>-0.00284351422600122</v>
      </c>
      <c r="AM502" s="4">
        <v>0.0072811322700319</v>
      </c>
      <c r="AN502" s="4"/>
      <c r="AO502" s="4"/>
      <c r="AP502" s="4">
        <v>2.88468106015109</v>
      </c>
      <c r="AQ502" s="4">
        <v>0.00870607105528048</v>
      </c>
      <c r="AR502" s="4"/>
      <c r="AS502" s="4"/>
      <c r="AT502" s="4"/>
      <c r="AU502" s="4"/>
      <c r="AV502" s="4"/>
      <c r="AW502" s="4"/>
      <c r="AX502" s="4"/>
      <c r="AY502" s="4"/>
      <c r="BF502" s="4">
        <v>0.172018718860548</v>
      </c>
      <c r="BG502" s="4">
        <v>0.0153744336828249</v>
      </c>
      <c r="BH502" s="4">
        <v>1.2003351492623</v>
      </c>
      <c r="BI502" s="4">
        <v>0.126694990275526</v>
      </c>
    </row>
    <row r="503" s="4" customFormat="1" spans="1:61">
      <c r="A503" s="4">
        <v>502</v>
      </c>
      <c r="B503" s="18">
        <v>83</v>
      </c>
      <c r="C503" s="19" t="s">
        <v>315</v>
      </c>
      <c r="D503" s="5" t="s">
        <v>316</v>
      </c>
      <c r="E503" s="9">
        <v>39.6</v>
      </c>
      <c r="F503" s="9">
        <v>116.6</v>
      </c>
      <c r="G503" s="20">
        <v>11.9</v>
      </c>
      <c r="H503" s="21">
        <v>550</v>
      </c>
      <c r="I503" s="4">
        <v>18</v>
      </c>
      <c r="J503" s="5" t="s">
        <v>94</v>
      </c>
      <c r="K503" s="5" t="s">
        <v>78</v>
      </c>
      <c r="L503" s="4">
        <v>2013</v>
      </c>
      <c r="M503" s="4">
        <v>11</v>
      </c>
      <c r="N503" s="5" t="s">
        <v>108</v>
      </c>
      <c r="O503" s="28" t="s">
        <v>80</v>
      </c>
      <c r="P503" s="29">
        <v>8</v>
      </c>
      <c r="Q503" s="4">
        <v>6.38</v>
      </c>
      <c r="R503" s="4">
        <v>0.85</v>
      </c>
      <c r="S503" s="13">
        <v>7.50588235294118</v>
      </c>
      <c r="T503" s="21">
        <v>19</v>
      </c>
      <c r="U503" s="21">
        <v>34</v>
      </c>
      <c r="V503" s="21">
        <v>47</v>
      </c>
      <c r="W503" s="18">
        <v>14</v>
      </c>
      <c r="X503" s="5" t="s">
        <v>91</v>
      </c>
      <c r="Y503" s="5" t="s">
        <v>82</v>
      </c>
      <c r="Z503" s="4">
        <v>3</v>
      </c>
      <c r="AA503" s="4">
        <v>3</v>
      </c>
      <c r="AB503" s="9"/>
      <c r="AC503" s="9"/>
      <c r="AD503" s="9">
        <v>-0.0875589221137148</v>
      </c>
      <c r="AE503" s="9">
        <v>0.00696456826513093</v>
      </c>
      <c r="AF503" s="9"/>
      <c r="AG503" s="9"/>
      <c r="AH503" s="9">
        <v>0.0931937768979473</v>
      </c>
      <c r="AI503" s="9">
        <v>0.0021573994446636</v>
      </c>
      <c r="AJ503" s="4"/>
      <c r="AK503" s="4"/>
      <c r="AL503" s="4">
        <v>-0.180752699011661</v>
      </c>
      <c r="AM503" s="4">
        <v>0.00912196770979456</v>
      </c>
      <c r="AN503" s="4"/>
      <c r="AO503" s="4"/>
      <c r="AP503" s="4">
        <v>2.97705438028211</v>
      </c>
      <c r="AQ503" s="4">
        <v>0.0100684102820487</v>
      </c>
      <c r="AR503" s="4"/>
      <c r="AS503" s="4"/>
      <c r="AT503" s="4"/>
      <c r="AU503" s="4"/>
      <c r="AV503" s="4"/>
      <c r="AW503" s="4"/>
      <c r="AX503" s="4"/>
      <c r="AY503" s="4"/>
      <c r="BF503" s="4">
        <v>0.172547468741584</v>
      </c>
      <c r="BG503" s="4">
        <v>0.00954459678120375</v>
      </c>
      <c r="BH503" s="4">
        <v>1.71329159879566</v>
      </c>
      <c r="BI503" s="4">
        <v>0.133863599827361</v>
      </c>
    </row>
    <row r="504" s="4" customFormat="1" spans="1:61">
      <c r="A504" s="4">
        <v>503</v>
      </c>
      <c r="B504" s="18">
        <v>83</v>
      </c>
      <c r="C504" s="19" t="s">
        <v>315</v>
      </c>
      <c r="D504" s="5" t="s">
        <v>316</v>
      </c>
      <c r="E504" s="9">
        <v>39.6</v>
      </c>
      <c r="F504" s="9">
        <v>116.6</v>
      </c>
      <c r="G504" s="20">
        <v>11.9</v>
      </c>
      <c r="H504" s="21">
        <v>550</v>
      </c>
      <c r="I504" s="4">
        <v>18</v>
      </c>
      <c r="J504" s="5" t="s">
        <v>94</v>
      </c>
      <c r="K504" s="5" t="s">
        <v>78</v>
      </c>
      <c r="L504" s="4">
        <v>2013</v>
      </c>
      <c r="M504" s="4">
        <v>11</v>
      </c>
      <c r="N504" s="5" t="s">
        <v>108</v>
      </c>
      <c r="O504" s="28" t="s">
        <v>80</v>
      </c>
      <c r="P504" s="29">
        <v>8</v>
      </c>
      <c r="Q504" s="4">
        <v>6.38</v>
      </c>
      <c r="R504" s="4">
        <v>0.85</v>
      </c>
      <c r="S504" s="13">
        <v>7.50588235294118</v>
      </c>
      <c r="T504" s="21">
        <v>19</v>
      </c>
      <c r="U504" s="21">
        <v>34</v>
      </c>
      <c r="V504" s="21">
        <v>47</v>
      </c>
      <c r="W504" s="18">
        <v>14</v>
      </c>
      <c r="X504" s="5" t="s">
        <v>91</v>
      </c>
      <c r="Y504" s="5" t="s">
        <v>82</v>
      </c>
      <c r="Z504" s="4">
        <v>3</v>
      </c>
      <c r="AA504" s="4">
        <v>3</v>
      </c>
      <c r="AB504" s="9"/>
      <c r="AC504" s="9"/>
      <c r="AD504" s="9">
        <v>0.065034644990354</v>
      </c>
      <c r="AE504" s="9">
        <v>0.00627510605683971</v>
      </c>
      <c r="AF504" s="9"/>
      <c r="AG504" s="9"/>
      <c r="AH504" s="9">
        <v>0.096366703938525</v>
      </c>
      <c r="AI504" s="9">
        <v>0.0021548368728857</v>
      </c>
      <c r="AJ504" s="4"/>
      <c r="AK504" s="4"/>
      <c r="AL504" s="4">
        <v>-0.0313320589481681</v>
      </c>
      <c r="AM504" s="4">
        <v>0.00842994292972544</v>
      </c>
      <c r="AN504" s="4"/>
      <c r="AO504" s="4"/>
      <c r="AP504" s="4">
        <v>2.95725175298593</v>
      </c>
      <c r="AQ504" s="4">
        <v>0.00806548832895373</v>
      </c>
      <c r="AR504" s="4"/>
      <c r="AS504" s="4"/>
      <c r="AT504" s="4"/>
      <c r="AU504" s="4"/>
      <c r="AV504" s="4"/>
      <c r="AW504" s="4"/>
      <c r="AX504" s="4"/>
      <c r="AY504" s="4"/>
      <c r="BF504" s="4">
        <v>0.173032513798748</v>
      </c>
      <c r="BG504" s="4">
        <v>0.00557387729275466</v>
      </c>
      <c r="BH504" s="4">
        <v>1.96113374898908</v>
      </c>
      <c r="BI504" s="4">
        <v>0.110842254562219</v>
      </c>
    </row>
    <row r="505" s="4" customFormat="1" spans="1:61">
      <c r="A505" s="4">
        <v>504</v>
      </c>
      <c r="B505" s="18">
        <v>83</v>
      </c>
      <c r="C505" s="19" t="s">
        <v>315</v>
      </c>
      <c r="D505" s="5" t="s">
        <v>316</v>
      </c>
      <c r="E505" s="9">
        <v>39.6</v>
      </c>
      <c r="F505" s="9">
        <v>116.6</v>
      </c>
      <c r="G505" s="20">
        <v>11.9</v>
      </c>
      <c r="H505" s="21">
        <v>550</v>
      </c>
      <c r="I505" s="4">
        <v>18</v>
      </c>
      <c r="J505" s="5" t="s">
        <v>94</v>
      </c>
      <c r="K505" s="5" t="s">
        <v>78</v>
      </c>
      <c r="L505" s="4">
        <v>2014</v>
      </c>
      <c r="M505" s="4">
        <v>3</v>
      </c>
      <c r="N505" s="5" t="s">
        <v>113</v>
      </c>
      <c r="O505" s="28" t="s">
        <v>80</v>
      </c>
      <c r="P505" s="29">
        <v>8</v>
      </c>
      <c r="Q505" s="4">
        <v>6.38</v>
      </c>
      <c r="R505" s="4">
        <v>0.85</v>
      </c>
      <c r="S505" s="13">
        <v>7.50588235294118</v>
      </c>
      <c r="T505" s="21">
        <v>19</v>
      </c>
      <c r="U505" s="21">
        <v>34</v>
      </c>
      <c r="V505" s="21">
        <v>47</v>
      </c>
      <c r="W505" s="18">
        <v>14</v>
      </c>
      <c r="X505" s="5" t="s">
        <v>91</v>
      </c>
      <c r="Y505" s="5" t="s">
        <v>82</v>
      </c>
      <c r="Z505" s="4">
        <v>3</v>
      </c>
      <c r="AA505" s="4">
        <v>3</v>
      </c>
      <c r="AB505" s="9"/>
      <c r="AC505" s="9"/>
      <c r="AD505" s="9">
        <v>0.220929465077074</v>
      </c>
      <c r="AE505" s="9">
        <v>0.00282848035276848</v>
      </c>
      <c r="AF505" s="9"/>
      <c r="AG505" s="9"/>
      <c r="AH505" s="9"/>
      <c r="AI505" s="9"/>
      <c r="AJ505" s="4"/>
      <c r="AK505" s="4"/>
      <c r="AL505" s="4"/>
      <c r="AM505" s="4"/>
      <c r="AN505" s="4"/>
      <c r="AO505" s="4"/>
      <c r="AP505" s="4"/>
      <c r="AQ505" s="4"/>
      <c r="AR505" s="4"/>
      <c r="AS505" s="4"/>
      <c r="AT505" s="4"/>
      <c r="AU505" s="4"/>
      <c r="AV505" s="4"/>
      <c r="AW505" s="4"/>
      <c r="AX505" s="4"/>
      <c r="AY505" s="4"/>
      <c r="BF505" s="4">
        <v>0.207394420614776</v>
      </c>
      <c r="BG505" s="4">
        <v>0.00664242203159577</v>
      </c>
      <c r="BH505" s="4">
        <v>1.41348776910026</v>
      </c>
      <c r="BI505" s="4">
        <v>0.00271558683430075</v>
      </c>
    </row>
    <row r="506" s="4" customFormat="1" spans="1:61">
      <c r="A506" s="4">
        <v>505</v>
      </c>
      <c r="B506" s="18">
        <v>83</v>
      </c>
      <c r="C506" s="19" t="s">
        <v>315</v>
      </c>
      <c r="D506" s="5" t="s">
        <v>316</v>
      </c>
      <c r="E506" s="9">
        <v>39.6</v>
      </c>
      <c r="F506" s="9">
        <v>116.6</v>
      </c>
      <c r="G506" s="20">
        <v>11.9</v>
      </c>
      <c r="H506" s="21">
        <v>550</v>
      </c>
      <c r="I506" s="4">
        <v>18</v>
      </c>
      <c r="J506" s="5" t="s">
        <v>94</v>
      </c>
      <c r="K506" s="5" t="s">
        <v>78</v>
      </c>
      <c r="L506" s="4">
        <v>2014</v>
      </c>
      <c r="M506" s="4">
        <v>3</v>
      </c>
      <c r="N506" s="5" t="s">
        <v>113</v>
      </c>
      <c r="O506" s="28" t="s">
        <v>80</v>
      </c>
      <c r="P506" s="29">
        <v>8</v>
      </c>
      <c r="Q506" s="4">
        <v>6.38</v>
      </c>
      <c r="R506" s="4">
        <v>0.85</v>
      </c>
      <c r="S506" s="13">
        <v>7.50588235294118</v>
      </c>
      <c r="T506" s="21">
        <v>19</v>
      </c>
      <c r="U506" s="21">
        <v>34</v>
      </c>
      <c r="V506" s="21">
        <v>47</v>
      </c>
      <c r="W506" s="18">
        <v>14</v>
      </c>
      <c r="X506" s="5" t="s">
        <v>91</v>
      </c>
      <c r="Y506" s="5" t="s">
        <v>82</v>
      </c>
      <c r="Z506" s="4">
        <v>3</v>
      </c>
      <c r="AA506" s="4">
        <v>3</v>
      </c>
      <c r="AB506" s="9"/>
      <c r="AC506" s="9"/>
      <c r="AD506" s="9">
        <v>0.113211320735562</v>
      </c>
      <c r="AE506" s="9">
        <v>0.00208114372075453</v>
      </c>
      <c r="AF506" s="9"/>
      <c r="AG506" s="9"/>
      <c r="AH506" s="9"/>
      <c r="AI506" s="9"/>
      <c r="AJ506" s="4"/>
      <c r="AK506" s="4"/>
      <c r="AL506" s="4"/>
      <c r="AM506" s="4"/>
      <c r="AN506" s="4"/>
      <c r="AO506" s="4"/>
      <c r="AP506" s="4"/>
      <c r="AQ506" s="4"/>
      <c r="AR506" s="4"/>
      <c r="AS506" s="4"/>
      <c r="AT506" s="4"/>
      <c r="AU506" s="4"/>
      <c r="AV506" s="4"/>
      <c r="AW506" s="4"/>
      <c r="AX506" s="4">
        <v>-0.106495279712595</v>
      </c>
      <c r="AY506" s="4">
        <v>0.00191565970482376</v>
      </c>
      <c r="BF506" s="4">
        <v>0.207973985184831</v>
      </c>
      <c r="BG506" s="4">
        <v>0.00307564528529184</v>
      </c>
      <c r="BH506" s="4">
        <v>1.57860329912349</v>
      </c>
      <c r="BI506" s="4">
        <v>0.014843577797628</v>
      </c>
    </row>
    <row r="507" s="4" customFormat="1" spans="1:61">
      <c r="A507" s="4">
        <v>506</v>
      </c>
      <c r="B507" s="18">
        <v>83</v>
      </c>
      <c r="C507" s="19" t="s">
        <v>315</v>
      </c>
      <c r="D507" s="5" t="s">
        <v>316</v>
      </c>
      <c r="E507" s="9">
        <v>39.6</v>
      </c>
      <c r="F507" s="9">
        <v>116.6</v>
      </c>
      <c r="G507" s="20">
        <v>11.9</v>
      </c>
      <c r="H507" s="21">
        <v>550</v>
      </c>
      <c r="I507" s="4">
        <v>18</v>
      </c>
      <c r="J507" s="5" t="s">
        <v>94</v>
      </c>
      <c r="K507" s="5" t="s">
        <v>78</v>
      </c>
      <c r="L507" s="4">
        <v>2014</v>
      </c>
      <c r="M507" s="4">
        <v>3</v>
      </c>
      <c r="N507" s="5" t="s">
        <v>113</v>
      </c>
      <c r="O507" s="28" t="s">
        <v>80</v>
      </c>
      <c r="P507" s="29">
        <v>8</v>
      </c>
      <c r="Q507" s="4">
        <v>6.38</v>
      </c>
      <c r="R507" s="4">
        <v>0.85</v>
      </c>
      <c r="S507" s="13">
        <v>7.50588235294118</v>
      </c>
      <c r="T507" s="21">
        <v>19</v>
      </c>
      <c r="U507" s="21">
        <v>34</v>
      </c>
      <c r="V507" s="21">
        <v>47</v>
      </c>
      <c r="W507" s="18">
        <v>14</v>
      </c>
      <c r="X507" s="5" t="s">
        <v>91</v>
      </c>
      <c r="Y507" s="5" t="s">
        <v>82</v>
      </c>
      <c r="Z507" s="4">
        <v>3</v>
      </c>
      <c r="AA507" s="4">
        <v>3</v>
      </c>
      <c r="AB507" s="9"/>
      <c r="AC507" s="9"/>
      <c r="AD507" s="9">
        <v>0.325115087511767</v>
      </c>
      <c r="AE507" s="9">
        <v>0.00209374806968273</v>
      </c>
      <c r="AF507" s="9"/>
      <c r="AG507" s="9"/>
      <c r="AH507" s="9"/>
      <c r="AI507" s="9"/>
      <c r="AJ507" s="4"/>
      <c r="AK507" s="4"/>
      <c r="AL507" s="4"/>
      <c r="AM507" s="4"/>
      <c r="AN507" s="4"/>
      <c r="AO507" s="4"/>
      <c r="AP507" s="4"/>
      <c r="AQ507" s="4"/>
      <c r="AR507" s="4"/>
      <c r="AS507" s="4"/>
      <c r="AT507" s="4"/>
      <c r="AU507" s="4"/>
      <c r="AV507" s="4"/>
      <c r="AW507" s="4"/>
      <c r="AX507" s="4">
        <v>-0.10549279817764</v>
      </c>
      <c r="AY507" s="4">
        <v>0.00191565970482376</v>
      </c>
      <c r="BF507" s="4">
        <v>0.491078017420466</v>
      </c>
      <c r="BG507" s="4">
        <v>0.00578255338988751</v>
      </c>
      <c r="BH507" s="4">
        <v>1.59839923829222</v>
      </c>
      <c r="BI507" s="4">
        <v>0.00449340193759938</v>
      </c>
    </row>
    <row r="508" s="4" customFormat="1" spans="1:61">
      <c r="A508" s="4">
        <v>507</v>
      </c>
      <c r="B508" s="18">
        <v>83</v>
      </c>
      <c r="C508" s="19" t="s">
        <v>315</v>
      </c>
      <c r="D508" s="5" t="s">
        <v>316</v>
      </c>
      <c r="E508" s="9">
        <v>39.6</v>
      </c>
      <c r="F508" s="9">
        <v>116.6</v>
      </c>
      <c r="G508" s="20">
        <v>11.9</v>
      </c>
      <c r="H508" s="21">
        <v>550</v>
      </c>
      <c r="I508" s="4">
        <v>18</v>
      </c>
      <c r="J508" s="5" t="s">
        <v>94</v>
      </c>
      <c r="K508" s="5" t="s">
        <v>78</v>
      </c>
      <c r="L508" s="4">
        <v>2014</v>
      </c>
      <c r="M508" s="4">
        <v>4</v>
      </c>
      <c r="N508" s="5" t="s">
        <v>113</v>
      </c>
      <c r="O508" s="28" t="s">
        <v>80</v>
      </c>
      <c r="P508" s="29">
        <v>8</v>
      </c>
      <c r="Q508" s="4">
        <v>6.38</v>
      </c>
      <c r="R508" s="4">
        <v>0.85</v>
      </c>
      <c r="S508" s="13">
        <v>7.50588235294118</v>
      </c>
      <c r="T508" s="21">
        <v>19</v>
      </c>
      <c r="U508" s="21">
        <v>34</v>
      </c>
      <c r="V508" s="21">
        <v>47</v>
      </c>
      <c r="W508" s="18">
        <v>14</v>
      </c>
      <c r="X508" s="5" t="s">
        <v>91</v>
      </c>
      <c r="Y508" s="5" t="s">
        <v>82</v>
      </c>
      <c r="Z508" s="4">
        <v>3</v>
      </c>
      <c r="AA508" s="4">
        <v>3</v>
      </c>
      <c r="AB508" s="9"/>
      <c r="AC508" s="9"/>
      <c r="AD508" s="9">
        <v>0.0764908114680481</v>
      </c>
      <c r="AE508" s="9">
        <v>0.00384193606143702</v>
      </c>
      <c r="AF508" s="9"/>
      <c r="AG508" s="9"/>
      <c r="AH508" s="9"/>
      <c r="AI508" s="9"/>
      <c r="AJ508" s="4"/>
      <c r="AK508" s="4"/>
      <c r="AL508" s="4"/>
      <c r="AM508" s="4"/>
      <c r="AN508" s="4"/>
      <c r="AO508" s="4"/>
      <c r="AP508" s="4"/>
      <c r="AQ508" s="4"/>
      <c r="AR508" s="4"/>
      <c r="AS508" s="4"/>
      <c r="AT508" s="4"/>
      <c r="AU508" s="4"/>
      <c r="AV508" s="4"/>
      <c r="AW508" s="4"/>
      <c r="AX508" s="4">
        <v>2.97787483704904</v>
      </c>
      <c r="AY508" s="4">
        <v>0.0104763242057758</v>
      </c>
      <c r="BF508" s="4">
        <v>0.0148150186269408</v>
      </c>
      <c r="BG508" s="4">
        <v>0.00158175908208393</v>
      </c>
      <c r="BH508" s="4">
        <v>0.00328572968201995</v>
      </c>
      <c r="BI508" s="4">
        <v>0.0283728676760868</v>
      </c>
    </row>
    <row r="509" s="4" customFormat="1" spans="1:61">
      <c r="A509" s="4">
        <v>508</v>
      </c>
      <c r="B509" s="18">
        <v>83</v>
      </c>
      <c r="C509" s="19" t="s">
        <v>315</v>
      </c>
      <c r="D509" s="5" t="s">
        <v>316</v>
      </c>
      <c r="E509" s="9">
        <v>39.6</v>
      </c>
      <c r="F509" s="9">
        <v>116.6</v>
      </c>
      <c r="G509" s="20">
        <v>11.9</v>
      </c>
      <c r="H509" s="21">
        <v>550</v>
      </c>
      <c r="I509" s="4">
        <v>18</v>
      </c>
      <c r="J509" s="5" t="s">
        <v>94</v>
      </c>
      <c r="K509" s="5" t="s">
        <v>78</v>
      </c>
      <c r="L509" s="4">
        <v>2014</v>
      </c>
      <c r="M509" s="4">
        <v>4</v>
      </c>
      <c r="N509" s="5" t="s">
        <v>113</v>
      </c>
      <c r="O509" s="28" t="s">
        <v>80</v>
      </c>
      <c r="P509" s="29">
        <v>8</v>
      </c>
      <c r="Q509" s="4">
        <v>6.38</v>
      </c>
      <c r="R509" s="4">
        <v>0.85</v>
      </c>
      <c r="S509" s="13">
        <v>7.50588235294118</v>
      </c>
      <c r="T509" s="21">
        <v>19</v>
      </c>
      <c r="U509" s="21">
        <v>34</v>
      </c>
      <c r="V509" s="21">
        <v>47</v>
      </c>
      <c r="W509" s="18">
        <v>14</v>
      </c>
      <c r="X509" s="5" t="s">
        <v>91</v>
      </c>
      <c r="Y509" s="5" t="s">
        <v>82</v>
      </c>
      <c r="Z509" s="4">
        <v>3</v>
      </c>
      <c r="AA509" s="4">
        <v>3</v>
      </c>
      <c r="AB509" s="9"/>
      <c r="AC509" s="9"/>
      <c r="AD509" s="9">
        <v>0.0268038895955615</v>
      </c>
      <c r="AE509" s="9">
        <v>0.0063630096081717</v>
      </c>
      <c r="AF509" s="9"/>
      <c r="AG509" s="9"/>
      <c r="AH509" s="9"/>
      <c r="AI509" s="9"/>
      <c r="AJ509" s="4"/>
      <c r="AK509" s="4"/>
      <c r="AL509" s="4"/>
      <c r="AM509" s="4"/>
      <c r="AN509" s="4"/>
      <c r="AO509" s="4"/>
      <c r="AP509" s="4"/>
      <c r="AQ509" s="4"/>
      <c r="AR509" s="4"/>
      <c r="AS509" s="4"/>
      <c r="AT509" s="4"/>
      <c r="AU509" s="4"/>
      <c r="AV509" s="4"/>
      <c r="AW509" s="4"/>
      <c r="AX509" s="4">
        <v>3.07024815718005</v>
      </c>
      <c r="AY509" s="4">
        <v>0.0122258097267123</v>
      </c>
      <c r="BF509" s="4">
        <v>0.0553299133245599</v>
      </c>
      <c r="BG509" s="4">
        <v>0.0362832438945374</v>
      </c>
      <c r="BH509" s="4">
        <v>0.452694486515129</v>
      </c>
      <c r="BI509" s="4">
        <v>0.0232057828850085</v>
      </c>
    </row>
    <row r="510" s="4" customFormat="1" spans="1:61">
      <c r="A510" s="4">
        <v>509</v>
      </c>
      <c r="B510" s="18">
        <v>83</v>
      </c>
      <c r="C510" s="19" t="s">
        <v>315</v>
      </c>
      <c r="D510" s="5" t="s">
        <v>316</v>
      </c>
      <c r="E510" s="9">
        <v>39.6</v>
      </c>
      <c r="F510" s="9">
        <v>116.6</v>
      </c>
      <c r="G510" s="20">
        <v>11.9</v>
      </c>
      <c r="H510" s="21">
        <v>550</v>
      </c>
      <c r="I510" s="4">
        <v>18</v>
      </c>
      <c r="J510" s="5" t="s">
        <v>94</v>
      </c>
      <c r="K510" s="5" t="s">
        <v>78</v>
      </c>
      <c r="L510" s="4">
        <v>2014</v>
      </c>
      <c r="M510" s="4">
        <v>4</v>
      </c>
      <c r="N510" s="5" t="s">
        <v>113</v>
      </c>
      <c r="O510" s="28" t="s">
        <v>80</v>
      </c>
      <c r="P510" s="29">
        <v>8</v>
      </c>
      <c r="Q510" s="4">
        <v>6.38</v>
      </c>
      <c r="R510" s="4">
        <v>0.85</v>
      </c>
      <c r="S510" s="13">
        <v>7.50588235294118</v>
      </c>
      <c r="T510" s="21">
        <v>19</v>
      </c>
      <c r="U510" s="21">
        <v>34</v>
      </c>
      <c r="V510" s="21">
        <v>47</v>
      </c>
      <c r="W510" s="18">
        <v>14</v>
      </c>
      <c r="X510" s="5" t="s">
        <v>91</v>
      </c>
      <c r="Y510" s="5" t="s">
        <v>82</v>
      </c>
      <c r="Z510" s="4">
        <v>3</v>
      </c>
      <c r="AA510" s="4">
        <v>3</v>
      </c>
      <c r="AB510" s="9"/>
      <c r="AC510" s="9"/>
      <c r="AD510" s="9">
        <v>0.206676090671938</v>
      </c>
      <c r="AE510" s="9">
        <v>0.00405850847131489</v>
      </c>
      <c r="AF510" s="9"/>
      <c r="AG510" s="9"/>
      <c r="AH510" s="9"/>
      <c r="AI510" s="9"/>
      <c r="AJ510" s="4"/>
      <c r="AK510" s="4"/>
      <c r="AL510" s="4"/>
      <c r="AM510" s="4"/>
      <c r="AN510" s="4"/>
      <c r="AO510" s="4"/>
      <c r="AP510" s="4"/>
      <c r="AQ510" s="4"/>
      <c r="AR510" s="4"/>
      <c r="AS510" s="4"/>
      <c r="AT510" s="4"/>
      <c r="AU510" s="4"/>
      <c r="AV510" s="4"/>
      <c r="AW510" s="4"/>
      <c r="AX510" s="4">
        <v>3.05361845692445</v>
      </c>
      <c r="AY510" s="4">
        <v>0.0102203252018394</v>
      </c>
      <c r="BF510" s="4">
        <v>0.0819228822099693</v>
      </c>
      <c r="BG510" s="4">
        <v>0.00953378043891</v>
      </c>
      <c r="BH510" s="4">
        <v>1.07367445987813</v>
      </c>
      <c r="BI510" s="4">
        <v>0.114666136006311</v>
      </c>
    </row>
    <row r="511" s="4" customFormat="1" spans="1:61">
      <c r="A511" s="4">
        <v>510</v>
      </c>
      <c r="B511" s="18">
        <v>83</v>
      </c>
      <c r="C511" s="19" t="s">
        <v>315</v>
      </c>
      <c r="D511" s="5" t="s">
        <v>316</v>
      </c>
      <c r="E511" s="9">
        <v>39.6</v>
      </c>
      <c r="F511" s="9">
        <v>116.6</v>
      </c>
      <c r="G511" s="20">
        <v>11.9</v>
      </c>
      <c r="H511" s="21">
        <v>550</v>
      </c>
      <c r="I511" s="4">
        <v>18</v>
      </c>
      <c r="J511" s="5" t="s">
        <v>94</v>
      </c>
      <c r="K511" s="5" t="s">
        <v>78</v>
      </c>
      <c r="L511" s="4">
        <v>2014</v>
      </c>
      <c r="M511" s="4">
        <v>5</v>
      </c>
      <c r="N511" s="5" t="s">
        <v>113</v>
      </c>
      <c r="O511" s="28" t="s">
        <v>80</v>
      </c>
      <c r="P511" s="29">
        <v>8</v>
      </c>
      <c r="Q511" s="4">
        <v>6.38</v>
      </c>
      <c r="R511" s="4">
        <v>0.85</v>
      </c>
      <c r="S511" s="13">
        <v>7.50588235294118</v>
      </c>
      <c r="T511" s="21">
        <v>19</v>
      </c>
      <c r="U511" s="21">
        <v>34</v>
      </c>
      <c r="V511" s="21">
        <v>47</v>
      </c>
      <c r="W511" s="18">
        <v>14</v>
      </c>
      <c r="X511" s="5" t="s">
        <v>91</v>
      </c>
      <c r="Y511" s="5" t="s">
        <v>82</v>
      </c>
      <c r="Z511" s="4">
        <v>3</v>
      </c>
      <c r="AA511" s="4">
        <v>3</v>
      </c>
      <c r="AB511" s="9"/>
      <c r="AC511" s="9"/>
      <c r="AD511" s="9">
        <v>0.0511756379658291</v>
      </c>
      <c r="AE511" s="9">
        <v>0.00803726963322258</v>
      </c>
      <c r="AF511" s="9"/>
      <c r="AG511" s="9"/>
      <c r="AH511" s="9"/>
      <c r="AI511" s="9"/>
      <c r="AJ511" s="4"/>
      <c r="AK511" s="4"/>
      <c r="AL511" s="4"/>
      <c r="AM511" s="4"/>
      <c r="AN511" s="4"/>
      <c r="AO511" s="4"/>
      <c r="AP511" s="4"/>
      <c r="AQ511" s="4"/>
      <c r="AR511" s="4"/>
      <c r="AS511" s="4"/>
      <c r="AT511" s="4"/>
      <c r="AU511" s="4"/>
      <c r="AV511" s="4"/>
      <c r="AW511" s="4"/>
      <c r="AX511" s="4"/>
      <c r="AY511" s="4"/>
      <c r="BF511" s="4">
        <v>0.354146227863861</v>
      </c>
      <c r="BG511" s="4">
        <v>0.0277919705835626</v>
      </c>
      <c r="BH511" s="4">
        <v>0.273489832836628</v>
      </c>
      <c r="BI511" s="4">
        <v>0.062284895012472</v>
      </c>
    </row>
    <row r="512" s="4" customFormat="1" spans="1:61">
      <c r="A512" s="4">
        <v>511</v>
      </c>
      <c r="B512" s="18">
        <v>83</v>
      </c>
      <c r="C512" s="19" t="s">
        <v>315</v>
      </c>
      <c r="D512" s="5" t="s">
        <v>316</v>
      </c>
      <c r="E512" s="9">
        <v>39.6</v>
      </c>
      <c r="F512" s="9">
        <v>116.6</v>
      </c>
      <c r="G512" s="20">
        <v>11.9</v>
      </c>
      <c r="H512" s="21">
        <v>550</v>
      </c>
      <c r="I512" s="4">
        <v>18</v>
      </c>
      <c r="J512" s="5" t="s">
        <v>94</v>
      </c>
      <c r="K512" s="5" t="s">
        <v>78</v>
      </c>
      <c r="L512" s="4">
        <v>2014</v>
      </c>
      <c r="M512" s="4">
        <v>5</v>
      </c>
      <c r="N512" s="5" t="s">
        <v>113</v>
      </c>
      <c r="O512" s="28" t="s">
        <v>80</v>
      </c>
      <c r="P512" s="29">
        <v>8</v>
      </c>
      <c r="Q512" s="4">
        <v>6.38</v>
      </c>
      <c r="R512" s="4">
        <v>0.85</v>
      </c>
      <c r="S512" s="13">
        <v>7.50588235294118</v>
      </c>
      <c r="T512" s="21">
        <v>19</v>
      </c>
      <c r="U512" s="21">
        <v>34</v>
      </c>
      <c r="V512" s="21">
        <v>47</v>
      </c>
      <c r="W512" s="18">
        <v>14</v>
      </c>
      <c r="X512" s="5" t="s">
        <v>91</v>
      </c>
      <c r="Y512" s="5" t="s">
        <v>82</v>
      </c>
      <c r="Z512" s="4">
        <v>3</v>
      </c>
      <c r="AA512" s="4">
        <v>3</v>
      </c>
      <c r="AB512" s="9"/>
      <c r="AC512" s="9"/>
      <c r="AD512" s="9">
        <v>0.151691639839627</v>
      </c>
      <c r="AE512" s="9">
        <v>0.00959101621042671</v>
      </c>
      <c r="AF512" s="9"/>
      <c r="AG512" s="9"/>
      <c r="AH512" s="9"/>
      <c r="AI512" s="9"/>
      <c r="AJ512" s="4"/>
      <c r="AK512" s="4"/>
      <c r="AL512" s="4"/>
      <c r="AM512" s="4"/>
      <c r="AN512" s="4"/>
      <c r="AO512" s="4"/>
      <c r="AP512" s="4"/>
      <c r="AQ512" s="4"/>
      <c r="AR512" s="4"/>
      <c r="AS512" s="4"/>
      <c r="AT512" s="4"/>
      <c r="AU512" s="4"/>
      <c r="AV512" s="4"/>
      <c r="AW512" s="4"/>
      <c r="AX512" s="4"/>
      <c r="AY512" s="4"/>
      <c r="BF512" s="4">
        <v>0.571292940333012</v>
      </c>
      <c r="BG512" s="4">
        <v>0.0202181611104309</v>
      </c>
      <c r="BH512" s="4">
        <v>0.387670123365709</v>
      </c>
      <c r="BI512" s="4">
        <v>0.0508153818294736</v>
      </c>
    </row>
    <row r="513" s="4" customFormat="1" spans="1:61">
      <c r="A513" s="4">
        <v>512</v>
      </c>
      <c r="B513" s="18">
        <v>83</v>
      </c>
      <c r="C513" s="19" t="s">
        <v>315</v>
      </c>
      <c r="D513" s="5" t="s">
        <v>316</v>
      </c>
      <c r="E513" s="9">
        <v>39.6</v>
      </c>
      <c r="F513" s="9">
        <v>116.6</v>
      </c>
      <c r="G513" s="20">
        <v>11.9</v>
      </c>
      <c r="H513" s="21">
        <v>550</v>
      </c>
      <c r="I513" s="4">
        <v>18</v>
      </c>
      <c r="J513" s="5" t="s">
        <v>94</v>
      </c>
      <c r="K513" s="5" t="s">
        <v>78</v>
      </c>
      <c r="L513" s="4">
        <v>2014</v>
      </c>
      <c r="M513" s="4">
        <v>5</v>
      </c>
      <c r="N513" s="5" t="s">
        <v>113</v>
      </c>
      <c r="O513" s="28" t="s">
        <v>80</v>
      </c>
      <c r="P513" s="29">
        <v>8</v>
      </c>
      <c r="Q513" s="4">
        <v>6.38</v>
      </c>
      <c r="R513" s="4">
        <v>0.85</v>
      </c>
      <c r="S513" s="13">
        <v>7.50588235294118</v>
      </c>
      <c r="T513" s="21">
        <v>19</v>
      </c>
      <c r="U513" s="21">
        <v>34</v>
      </c>
      <c r="V513" s="21">
        <v>47</v>
      </c>
      <c r="W513" s="18">
        <v>14</v>
      </c>
      <c r="X513" s="5" t="s">
        <v>91</v>
      </c>
      <c r="Y513" s="5" t="s">
        <v>82</v>
      </c>
      <c r="Z513" s="4">
        <v>3</v>
      </c>
      <c r="AA513" s="4">
        <v>3</v>
      </c>
      <c r="AB513" s="9"/>
      <c r="AC513" s="9"/>
      <c r="AD513" s="9">
        <v>0.201196247896687</v>
      </c>
      <c r="AE513" s="9">
        <v>0.00179108896830125</v>
      </c>
      <c r="AF513" s="9"/>
      <c r="AG513" s="9"/>
      <c r="AH513" s="9"/>
      <c r="AI513" s="9"/>
      <c r="AJ513" s="4"/>
      <c r="AK513" s="4"/>
      <c r="AL513" s="4"/>
      <c r="AM513" s="4"/>
      <c r="AN513" s="4"/>
      <c r="AO513" s="4"/>
      <c r="AP513" s="4"/>
      <c r="AQ513" s="4"/>
      <c r="AR513" s="4"/>
      <c r="AS513" s="4"/>
      <c r="AT513" s="4"/>
      <c r="AU513" s="4"/>
      <c r="AV513" s="4"/>
      <c r="AW513" s="4"/>
      <c r="AX513" s="4"/>
      <c r="AY513" s="4"/>
      <c r="BF513" s="4">
        <v>0.57277151604423</v>
      </c>
      <c r="BG513" s="4">
        <v>0.0281716164962743</v>
      </c>
      <c r="BH513" s="4">
        <v>1.09274603055924</v>
      </c>
      <c r="BI513" s="4">
        <v>0.0231812938597179</v>
      </c>
    </row>
    <row r="514" s="4" customFormat="1" spans="1:61">
      <c r="A514" s="4">
        <v>513</v>
      </c>
      <c r="B514" s="18">
        <v>83</v>
      </c>
      <c r="C514" s="19" t="s">
        <v>315</v>
      </c>
      <c r="D514" s="5" t="s">
        <v>316</v>
      </c>
      <c r="E514" s="9">
        <v>39.6</v>
      </c>
      <c r="F514" s="9">
        <v>116.6</v>
      </c>
      <c r="G514" s="20">
        <v>11.9</v>
      </c>
      <c r="H514" s="21">
        <v>550</v>
      </c>
      <c r="I514" s="4">
        <v>18</v>
      </c>
      <c r="J514" s="5" t="s">
        <v>94</v>
      </c>
      <c r="K514" s="5" t="s">
        <v>78</v>
      </c>
      <c r="L514" s="4">
        <v>2014</v>
      </c>
      <c r="M514" s="4">
        <v>6</v>
      </c>
      <c r="N514" s="5" t="s">
        <v>96</v>
      </c>
      <c r="O514" s="28" t="s">
        <v>80</v>
      </c>
      <c r="P514" s="29">
        <v>8</v>
      </c>
      <c r="Q514" s="4">
        <v>6.38</v>
      </c>
      <c r="R514" s="4">
        <v>0.85</v>
      </c>
      <c r="S514" s="13">
        <v>7.50588235294118</v>
      </c>
      <c r="T514" s="21">
        <v>19</v>
      </c>
      <c r="U514" s="21">
        <v>34</v>
      </c>
      <c r="V514" s="21">
        <v>47</v>
      </c>
      <c r="W514" s="18">
        <v>14</v>
      </c>
      <c r="X514" s="5" t="s">
        <v>91</v>
      </c>
      <c r="Y514" s="5" t="s">
        <v>82</v>
      </c>
      <c r="Z514" s="4">
        <v>3</v>
      </c>
      <c r="AA514" s="4">
        <v>3</v>
      </c>
      <c r="AB514" s="9"/>
      <c r="AC514" s="9"/>
      <c r="AD514" s="9">
        <v>0.0151139864086209</v>
      </c>
      <c r="AE514" s="9">
        <v>0.00654511626577275</v>
      </c>
      <c r="AF514" s="9"/>
      <c r="AG514" s="9"/>
      <c r="AH514" s="9"/>
      <c r="AI514" s="9"/>
      <c r="AJ514" s="4"/>
      <c r="AK514" s="4"/>
      <c r="AL514" s="4"/>
      <c r="AM514" s="4"/>
      <c r="AN514" s="4"/>
      <c r="AO514" s="4"/>
      <c r="AP514" s="4"/>
      <c r="AQ514" s="4"/>
      <c r="AR514" s="4"/>
      <c r="AS514" s="4"/>
      <c r="AT514" s="4"/>
      <c r="AU514" s="4"/>
      <c r="AV514" s="4"/>
      <c r="AW514" s="4"/>
      <c r="AX514" s="4"/>
      <c r="AY514" s="4"/>
      <c r="BF514" s="4">
        <v>0.122156536959206</v>
      </c>
      <c r="BG514" s="4">
        <v>0.00409504585988966</v>
      </c>
      <c r="BH514" s="4">
        <v>0.023418892685128</v>
      </c>
      <c r="BI514" s="4">
        <v>0.0229167158361272</v>
      </c>
    </row>
    <row r="515" s="4" customFormat="1" spans="1:61">
      <c r="A515" s="4">
        <v>514</v>
      </c>
      <c r="B515" s="18">
        <v>83</v>
      </c>
      <c r="C515" s="19" t="s">
        <v>315</v>
      </c>
      <c r="D515" s="5" t="s">
        <v>316</v>
      </c>
      <c r="E515" s="9">
        <v>39.6</v>
      </c>
      <c r="F515" s="9">
        <v>116.6</v>
      </c>
      <c r="G515" s="20">
        <v>11.9</v>
      </c>
      <c r="H515" s="21">
        <v>550</v>
      </c>
      <c r="I515" s="4">
        <v>18</v>
      </c>
      <c r="J515" s="5" t="s">
        <v>94</v>
      </c>
      <c r="K515" s="5" t="s">
        <v>78</v>
      </c>
      <c r="L515" s="4">
        <v>2014</v>
      </c>
      <c r="M515" s="4">
        <v>6</v>
      </c>
      <c r="N515" s="5" t="s">
        <v>96</v>
      </c>
      <c r="O515" s="28" t="s">
        <v>80</v>
      </c>
      <c r="P515" s="29">
        <v>8</v>
      </c>
      <c r="Q515" s="4">
        <v>6.38</v>
      </c>
      <c r="R515" s="4">
        <v>0.85</v>
      </c>
      <c r="S515" s="13">
        <v>7.50588235294118</v>
      </c>
      <c r="T515" s="21">
        <v>19</v>
      </c>
      <c r="U515" s="21">
        <v>34</v>
      </c>
      <c r="V515" s="21">
        <v>47</v>
      </c>
      <c r="W515" s="18">
        <v>14</v>
      </c>
      <c r="X515" s="5" t="s">
        <v>91</v>
      </c>
      <c r="Y515" s="5" t="s">
        <v>82</v>
      </c>
      <c r="Z515" s="4">
        <v>3</v>
      </c>
      <c r="AA515" s="4">
        <v>3</v>
      </c>
      <c r="AB515" s="9"/>
      <c r="AC515" s="9"/>
      <c r="AD515" s="9">
        <v>0.131740233471345</v>
      </c>
      <c r="AE515" s="9">
        <v>0.00536332661623137</v>
      </c>
      <c r="AF515" s="9"/>
      <c r="AG515" s="9"/>
      <c r="AH515" s="9"/>
      <c r="AI515" s="9"/>
      <c r="AJ515" s="4"/>
      <c r="AK515" s="4"/>
      <c r="AL515" s="4"/>
      <c r="AM515" s="4"/>
      <c r="AN515" s="4"/>
      <c r="AO515" s="4"/>
      <c r="AP515" s="4"/>
      <c r="AQ515" s="4"/>
      <c r="AR515" s="4"/>
      <c r="AS515" s="4"/>
      <c r="AT515" s="4"/>
      <c r="AU515" s="4"/>
      <c r="AV515" s="4"/>
      <c r="AW515" s="4"/>
      <c r="AX515" s="4"/>
      <c r="AY515" s="4"/>
      <c r="BF515" s="4">
        <v>0.602668023029674</v>
      </c>
      <c r="BG515" s="4">
        <v>0.0058063024462628</v>
      </c>
      <c r="BH515" s="4">
        <v>0.766140395438332</v>
      </c>
      <c r="BI515" s="4">
        <v>0.0121960998207327</v>
      </c>
    </row>
    <row r="516" s="4" customFormat="1" spans="1:61">
      <c r="A516" s="4">
        <v>515</v>
      </c>
      <c r="B516" s="18">
        <v>83</v>
      </c>
      <c r="C516" s="19" t="s">
        <v>315</v>
      </c>
      <c r="D516" s="5" t="s">
        <v>316</v>
      </c>
      <c r="E516" s="9">
        <v>39.6</v>
      </c>
      <c r="F516" s="9">
        <v>116.6</v>
      </c>
      <c r="G516" s="20">
        <v>11.9</v>
      </c>
      <c r="H516" s="21">
        <v>550</v>
      </c>
      <c r="I516" s="4">
        <v>18</v>
      </c>
      <c r="J516" s="5" t="s">
        <v>94</v>
      </c>
      <c r="K516" s="5" t="s">
        <v>78</v>
      </c>
      <c r="L516" s="4">
        <v>2014</v>
      </c>
      <c r="M516" s="4">
        <v>6</v>
      </c>
      <c r="N516" s="5" t="s">
        <v>96</v>
      </c>
      <c r="O516" s="28" t="s">
        <v>80</v>
      </c>
      <c r="P516" s="29">
        <v>8</v>
      </c>
      <c r="Q516" s="4">
        <v>6.38</v>
      </c>
      <c r="R516" s="4">
        <v>0.85</v>
      </c>
      <c r="S516" s="13">
        <v>7.50588235294118</v>
      </c>
      <c r="T516" s="21">
        <v>19</v>
      </c>
      <c r="U516" s="21">
        <v>34</v>
      </c>
      <c r="V516" s="21">
        <v>47</v>
      </c>
      <c r="W516" s="18">
        <v>14</v>
      </c>
      <c r="X516" s="5" t="s">
        <v>91</v>
      </c>
      <c r="Y516" s="5" t="s">
        <v>82</v>
      </c>
      <c r="Z516" s="4">
        <v>3</v>
      </c>
      <c r="AA516" s="4">
        <v>3</v>
      </c>
      <c r="AB516" s="9"/>
      <c r="AC516" s="9"/>
      <c r="AD516" s="9">
        <v>0.195748339770934</v>
      </c>
      <c r="AE516" s="9">
        <v>0.00330513934811678</v>
      </c>
      <c r="AF516" s="9"/>
      <c r="AG516" s="9"/>
      <c r="AH516" s="9"/>
      <c r="AI516" s="9"/>
      <c r="AJ516" s="4"/>
      <c r="AK516" s="4"/>
      <c r="AL516" s="4"/>
      <c r="AM516" s="4"/>
      <c r="AN516" s="4"/>
      <c r="AO516" s="4"/>
      <c r="AP516" s="4"/>
      <c r="AQ516" s="4"/>
      <c r="AR516" s="4"/>
      <c r="AS516" s="4"/>
      <c r="AT516" s="4"/>
      <c r="AU516" s="4"/>
      <c r="AV516" s="4"/>
      <c r="AW516" s="4"/>
      <c r="AX516" s="4"/>
      <c r="AY516" s="4"/>
      <c r="BF516" s="4">
        <v>0.733819185242879</v>
      </c>
      <c r="BG516" s="4">
        <v>0.0340619752957421</v>
      </c>
      <c r="BH516" s="4">
        <v>0.726479039407269</v>
      </c>
      <c r="BI516" s="4">
        <v>0.0187322835290694</v>
      </c>
    </row>
    <row r="517" s="3" customFormat="1" spans="1:73">
      <c r="A517" s="4">
        <v>516</v>
      </c>
      <c r="B517" s="6">
        <v>84</v>
      </c>
      <c r="C517" s="24" t="s">
        <v>317</v>
      </c>
      <c r="D517" s="13" t="s">
        <v>318</v>
      </c>
      <c r="E517" s="25">
        <v>-22.2</v>
      </c>
      <c r="F517" s="25">
        <v>-44.2</v>
      </c>
      <c r="G517" s="26">
        <v>19.3</v>
      </c>
      <c r="H517" s="27">
        <v>1494</v>
      </c>
      <c r="I517" s="3"/>
      <c r="J517" s="13" t="s">
        <v>185</v>
      </c>
      <c r="K517" s="5" t="s">
        <v>182</v>
      </c>
      <c r="L517" s="3">
        <v>2013</v>
      </c>
      <c r="M517" s="3">
        <v>9</v>
      </c>
      <c r="N517" s="13" t="s">
        <v>113</v>
      </c>
      <c r="O517" s="3"/>
      <c r="P517" s="7">
        <v>4.21</v>
      </c>
      <c r="Q517" s="3">
        <v>45.42</v>
      </c>
      <c r="R517" s="12"/>
      <c r="S517" s="13"/>
      <c r="T517" s="8">
        <v>38.3</v>
      </c>
      <c r="U517" s="8">
        <v>17.6</v>
      </c>
      <c r="V517" s="8">
        <v>44.1</v>
      </c>
      <c r="W517" s="3"/>
      <c r="X517" s="3"/>
      <c r="Y517" s="13" t="s">
        <v>82</v>
      </c>
      <c r="Z517" s="3">
        <v>5</v>
      </c>
      <c r="AA517" s="3">
        <v>5</v>
      </c>
      <c r="AB517" s="9">
        <v>-0.469374236588852</v>
      </c>
      <c r="AC517" s="9">
        <v>0.000153817010394184</v>
      </c>
      <c r="AD517" s="25">
        <v>-0.336472236621213</v>
      </c>
      <c r="AE517" s="25">
        <v>0.00320069368170994</v>
      </c>
      <c r="AF517" s="9">
        <v>0.132901999967638</v>
      </c>
      <c r="AG517" s="9">
        <v>0.00335451069210412</v>
      </c>
      <c r="AH517" s="25">
        <v>-0.557087063593053</v>
      </c>
      <c r="AI517" s="25">
        <v>0.00416493127863391</v>
      </c>
      <c r="AJ517" s="4">
        <v>0.0877128270041994</v>
      </c>
      <c r="AK517" s="4">
        <v>0.00431874828902809</v>
      </c>
      <c r="AL517" s="3">
        <v>0.220614826971842</v>
      </c>
      <c r="AM517" s="3">
        <v>0.00736562496034386</v>
      </c>
      <c r="AN517" s="4">
        <v>0.185878169908802</v>
      </c>
      <c r="AO517" s="4">
        <v>0.000225730435227926</v>
      </c>
      <c r="AP517" s="3"/>
      <c r="AQ517" s="3"/>
      <c r="AR517" s="4"/>
      <c r="AS517" s="4"/>
      <c r="AT517" s="3"/>
      <c r="AU517" s="3"/>
      <c r="AV517" s="4">
        <v>-0.209537899258431</v>
      </c>
      <c r="AW517" s="4">
        <v>0.0033597039920684</v>
      </c>
      <c r="AX517" s="3"/>
      <c r="AY517" s="3"/>
      <c r="BN517" s="3">
        <v>-0.36572477945865</v>
      </c>
      <c r="BO517" s="3">
        <v>0.0041649312786339</v>
      </c>
      <c r="BT517" s="3">
        <v>-0.198670694795484</v>
      </c>
      <c r="BU517" s="3">
        <v>0.00493827160493827</v>
      </c>
    </row>
    <row r="518" s="3" customFormat="1" spans="1:73">
      <c r="A518" s="4">
        <v>517</v>
      </c>
      <c r="B518" s="6">
        <v>84</v>
      </c>
      <c r="C518" s="24" t="s">
        <v>317</v>
      </c>
      <c r="D518" s="13" t="s">
        <v>318</v>
      </c>
      <c r="E518" s="25">
        <v>-22.2</v>
      </c>
      <c r="F518" s="25">
        <v>-44.2</v>
      </c>
      <c r="G518" s="26">
        <v>19.3</v>
      </c>
      <c r="H518" s="27">
        <v>1494</v>
      </c>
      <c r="I518" s="3"/>
      <c r="J518" s="13" t="s">
        <v>188</v>
      </c>
      <c r="K518" s="5" t="s">
        <v>182</v>
      </c>
      <c r="L518" s="3">
        <v>2013</v>
      </c>
      <c r="M518" s="3">
        <v>9</v>
      </c>
      <c r="N518" s="13" t="s">
        <v>113</v>
      </c>
      <c r="O518" s="3"/>
      <c r="P518" s="7">
        <v>4.21</v>
      </c>
      <c r="Q518" s="3">
        <v>45.42</v>
      </c>
      <c r="R518" s="12"/>
      <c r="S518" s="13"/>
      <c r="T518" s="8">
        <v>38.3</v>
      </c>
      <c r="U518" s="8">
        <v>17.6</v>
      </c>
      <c r="V518" s="8">
        <v>44.1</v>
      </c>
      <c r="W518" s="3"/>
      <c r="X518" s="3"/>
      <c r="Y518" s="13" t="s">
        <v>82</v>
      </c>
      <c r="Z518" s="3">
        <v>5</v>
      </c>
      <c r="AA518" s="3">
        <v>5</v>
      </c>
      <c r="AB518" s="9">
        <v>-0.711146607736555</v>
      </c>
      <c r="AC518" s="9">
        <v>0.000153817010394183</v>
      </c>
      <c r="AD518" s="25">
        <v>-0.726271227984978</v>
      </c>
      <c r="AE518" s="25">
        <v>0.00320069368170994</v>
      </c>
      <c r="AF518" s="9">
        <v>-0.0151246202484245</v>
      </c>
      <c r="AG518" s="9">
        <v>0.00335451069210412</v>
      </c>
      <c r="AH518" s="25">
        <v>-0.642911248153011</v>
      </c>
      <c r="AI518" s="25">
        <v>0.0041649312786339</v>
      </c>
      <c r="AJ518" s="4">
        <v>-0.068235359583548</v>
      </c>
      <c r="AK518" s="4">
        <v>0.00431874828902808</v>
      </c>
      <c r="AL518" s="3">
        <v>-0.0833599798319664</v>
      </c>
      <c r="AM518" s="3">
        <v>0.00736562496034387</v>
      </c>
      <c r="AN518" s="4">
        <v>0.0464120417644645</v>
      </c>
      <c r="AO518" s="4">
        <v>0.000225730435227926</v>
      </c>
      <c r="AP518" s="3"/>
      <c r="AQ518" s="3"/>
      <c r="AR518" s="4"/>
      <c r="AS518" s="4"/>
      <c r="AT518" s="3"/>
      <c r="AU518" s="3"/>
      <c r="AV518" s="4">
        <v>-0.567178560317122</v>
      </c>
      <c r="AW518" s="4">
        <v>0.0033597039920684</v>
      </c>
      <c r="AX518" s="3"/>
      <c r="AY518" s="3"/>
      <c r="BN518" s="3">
        <v>-0.0845573880280631</v>
      </c>
      <c r="BO518" s="3">
        <v>0.00416493127863389</v>
      </c>
      <c r="BT518" s="3">
        <v>0.494476485764461</v>
      </c>
      <c r="BU518" s="3">
        <v>0.00493827160493827</v>
      </c>
    </row>
    <row r="519" s="3" customFormat="1" spans="1:73">
      <c r="A519" s="4">
        <v>518</v>
      </c>
      <c r="B519" s="6">
        <v>84</v>
      </c>
      <c r="C519" s="24" t="s">
        <v>317</v>
      </c>
      <c r="D519" s="13" t="s">
        <v>318</v>
      </c>
      <c r="E519" s="25">
        <v>-22.2</v>
      </c>
      <c r="F519" s="25">
        <v>-44.2</v>
      </c>
      <c r="G519" s="26">
        <v>19.3</v>
      </c>
      <c r="H519" s="27">
        <v>1494</v>
      </c>
      <c r="I519" s="3"/>
      <c r="J519" s="13" t="s">
        <v>185</v>
      </c>
      <c r="K519" s="5" t="s">
        <v>182</v>
      </c>
      <c r="L519" s="3">
        <v>2014</v>
      </c>
      <c r="M519" s="3">
        <v>4</v>
      </c>
      <c r="N519" s="13" t="s">
        <v>108</v>
      </c>
      <c r="O519" s="3"/>
      <c r="P519" s="7">
        <v>5.07</v>
      </c>
      <c r="Q519" s="3">
        <v>42.36</v>
      </c>
      <c r="R519" s="12"/>
      <c r="S519" s="13"/>
      <c r="T519" s="8">
        <v>38.3</v>
      </c>
      <c r="U519" s="8">
        <v>17.6</v>
      </c>
      <c r="V519" s="8">
        <v>44.1</v>
      </c>
      <c r="W519" s="3"/>
      <c r="X519" s="3"/>
      <c r="Y519" s="13" t="s">
        <v>82</v>
      </c>
      <c r="Z519" s="3">
        <v>5</v>
      </c>
      <c r="AA519" s="3">
        <v>5</v>
      </c>
      <c r="AB519" s="9">
        <v>-0.355597809013214</v>
      </c>
      <c r="AC519" s="9">
        <v>0.000153817010394183</v>
      </c>
      <c r="AD519" s="25">
        <v>-0.605525489239501</v>
      </c>
      <c r="AE519" s="25">
        <v>0.00320069368170994</v>
      </c>
      <c r="AF519" s="9">
        <v>-0.249927680226286</v>
      </c>
      <c r="AG519" s="9">
        <v>0.00335451069210412</v>
      </c>
      <c r="AH519" s="25">
        <v>-0.58072947259212</v>
      </c>
      <c r="AI519" s="25">
        <v>0.00416493127863391</v>
      </c>
      <c r="AJ519" s="4">
        <v>0.225131663578906</v>
      </c>
      <c r="AK519" s="4">
        <v>0.00431874828902809</v>
      </c>
      <c r="AL519" s="3">
        <v>-0.0247960166473807</v>
      </c>
      <c r="AM519" s="3">
        <v>0.00736562496034385</v>
      </c>
      <c r="AN519" s="4">
        <v>-0.0162228355068871</v>
      </c>
      <c r="AO519" s="4">
        <v>0.000225730435227927</v>
      </c>
      <c r="AP519" s="3"/>
      <c r="AQ519" s="3"/>
      <c r="AR519" s="4"/>
      <c r="AS519" s="4"/>
      <c r="AT519" s="3"/>
      <c r="AU519" s="3"/>
      <c r="AV519" s="4">
        <v>0.156515678958756</v>
      </c>
      <c r="AW519" s="4">
        <v>0.00335970399206839</v>
      </c>
      <c r="AX519" s="3"/>
      <c r="AY519" s="3"/>
      <c r="BN519" s="3">
        <v>-0.249941744468934</v>
      </c>
      <c r="BO519" s="3">
        <v>0.00416493127863391</v>
      </c>
      <c r="BT519" s="3">
        <v>-0.805318979048542</v>
      </c>
      <c r="BU519" s="3">
        <v>0.00493827160493826</v>
      </c>
    </row>
    <row r="520" s="3" customFormat="1" ht="14" customHeight="1" spans="1:73">
      <c r="A520" s="4">
        <v>519</v>
      </c>
      <c r="B520" s="6">
        <v>84</v>
      </c>
      <c r="C520" s="24" t="s">
        <v>317</v>
      </c>
      <c r="D520" s="13" t="s">
        <v>318</v>
      </c>
      <c r="E520" s="25">
        <v>-22.2</v>
      </c>
      <c r="F520" s="25">
        <v>-44.2</v>
      </c>
      <c r="G520" s="26">
        <v>19.3</v>
      </c>
      <c r="H520" s="27">
        <v>1494</v>
      </c>
      <c r="I520" s="3"/>
      <c r="J520" s="13" t="s">
        <v>188</v>
      </c>
      <c r="K520" s="5" t="s">
        <v>182</v>
      </c>
      <c r="L520" s="3">
        <v>2014</v>
      </c>
      <c r="M520" s="3">
        <v>4</v>
      </c>
      <c r="N520" s="13" t="s">
        <v>108</v>
      </c>
      <c r="O520" s="3"/>
      <c r="P520" s="7">
        <v>5.07</v>
      </c>
      <c r="Q520" s="3">
        <v>42.36</v>
      </c>
      <c r="R520" s="12"/>
      <c r="S520" s="13"/>
      <c r="T520" s="8">
        <v>38.3</v>
      </c>
      <c r="U520" s="8">
        <v>17.6</v>
      </c>
      <c r="V520" s="8">
        <v>44.1</v>
      </c>
      <c r="W520" s="3"/>
      <c r="X520" s="3"/>
      <c r="Y520" s="13" t="s">
        <v>82</v>
      </c>
      <c r="Z520" s="3">
        <v>5</v>
      </c>
      <c r="AA520" s="3">
        <v>5</v>
      </c>
      <c r="AB520" s="9">
        <v>-0.663417493091827</v>
      </c>
      <c r="AC520" s="9">
        <v>0.000153817010394183</v>
      </c>
      <c r="AD520" s="25">
        <v>-0.765284708726368</v>
      </c>
      <c r="AE520" s="25">
        <v>0.00320069368170995</v>
      </c>
      <c r="AF520" s="9">
        <v>-0.101867215634546</v>
      </c>
      <c r="AG520" s="9">
        <v>0.00335451069210415</v>
      </c>
      <c r="AH520" s="25">
        <v>-0.710290457546383</v>
      </c>
      <c r="AI520" s="25">
        <v>0.00416493127863391</v>
      </c>
      <c r="AJ520" s="4">
        <v>0.0468729644545554</v>
      </c>
      <c r="AK520" s="4">
        <v>0.00431874828902809</v>
      </c>
      <c r="AL520" s="3">
        <v>-0.0549942511799866</v>
      </c>
      <c r="AM520" s="3">
        <v>0.00736562496034387</v>
      </c>
      <c r="AN520" s="4">
        <v>0.0294472013263013</v>
      </c>
      <c r="AO520" s="4">
        <v>0.000225730435227927</v>
      </c>
      <c r="AP520" s="3"/>
      <c r="AQ520" s="3"/>
      <c r="AR520" s="4"/>
      <c r="AS520" s="4"/>
      <c r="AT520" s="3"/>
      <c r="AU520" s="3"/>
      <c r="AV520" s="4">
        <v>-0.135901998238859</v>
      </c>
      <c r="AW520" s="4">
        <v>0.00335970399206838</v>
      </c>
      <c r="AX520" s="3"/>
      <c r="AY520" s="3"/>
      <c r="BN520" s="3">
        <v>-0.0392207131532814</v>
      </c>
      <c r="BO520" s="3">
        <v>0.00416493127863392</v>
      </c>
      <c r="BT520" s="3">
        <v>0.278800302317</v>
      </c>
      <c r="BU520" s="3">
        <v>0.00493827160493828</v>
      </c>
    </row>
    <row r="521" s="4" customFormat="1" spans="1:43">
      <c r="A521" s="4">
        <v>520</v>
      </c>
      <c r="B521" s="18">
        <v>85</v>
      </c>
      <c r="C521" s="5" t="s">
        <v>179</v>
      </c>
      <c r="D521" s="5" t="s">
        <v>319</v>
      </c>
      <c r="E521" s="9">
        <v>-17.368</v>
      </c>
      <c r="F521" s="9">
        <v>-51.498</v>
      </c>
      <c r="G521" s="20">
        <v>22.5</v>
      </c>
      <c r="H521" s="21">
        <v>1700</v>
      </c>
      <c r="I521" s="4"/>
      <c r="J521" s="13" t="s">
        <v>193</v>
      </c>
      <c r="K521" s="5" t="s">
        <v>182</v>
      </c>
      <c r="L521" s="4">
        <v>2010</v>
      </c>
      <c r="M521" s="4">
        <v>4</v>
      </c>
      <c r="N521" s="5" t="s">
        <v>108</v>
      </c>
      <c r="O521" s="36" t="s">
        <v>80</v>
      </c>
      <c r="P521" s="29">
        <v>4.16</v>
      </c>
      <c r="Q521" s="4">
        <v>65.4</v>
      </c>
      <c r="R521" s="4">
        <v>3.45</v>
      </c>
      <c r="S521" s="13">
        <v>18.9565217391304</v>
      </c>
      <c r="T521" s="21">
        <v>48</v>
      </c>
      <c r="U521" s="21">
        <v>17</v>
      </c>
      <c r="V521" s="21">
        <v>35</v>
      </c>
      <c r="W521" s="4">
        <v>13</v>
      </c>
      <c r="X521" s="5" t="s">
        <v>91</v>
      </c>
      <c r="Y521" s="5" t="s">
        <v>82</v>
      </c>
      <c r="Z521" s="4"/>
      <c r="AA521" s="4"/>
      <c r="AB521" s="9">
        <v>-0.763405074353483</v>
      </c>
      <c r="AC521" s="9">
        <v>0.001544</v>
      </c>
      <c r="AD521" s="9"/>
      <c r="AE521" s="9"/>
      <c r="AF521" s="9"/>
      <c r="AG521" s="9"/>
      <c r="AH521" s="9">
        <v>-0.585129647442681</v>
      </c>
      <c r="AI521" s="9">
        <v>0.001554</v>
      </c>
      <c r="AJ521" s="4">
        <v>0.0877128270041994</v>
      </c>
      <c r="AK521" s="4">
        <v>0.00431874828902809</v>
      </c>
      <c r="AL521" s="4"/>
      <c r="AM521" s="4"/>
      <c r="AN521" s="4">
        <v>0.177904765835365</v>
      </c>
      <c r="AO521" s="4">
        <v>0.005872</v>
      </c>
      <c r="AP521" s="4">
        <v>-0.575686257968032</v>
      </c>
      <c r="AQ521" s="4">
        <v>0.00224</v>
      </c>
    </row>
    <row r="522" s="4" customFormat="1" spans="1:43">
      <c r="A522" s="4">
        <v>521</v>
      </c>
      <c r="B522" s="18">
        <v>85</v>
      </c>
      <c r="C522" s="5" t="s">
        <v>179</v>
      </c>
      <c r="D522" s="5" t="s">
        <v>319</v>
      </c>
      <c r="E522" s="9">
        <v>-17.368</v>
      </c>
      <c r="F522" s="9">
        <v>-51.498</v>
      </c>
      <c r="G522" s="20">
        <v>22.5</v>
      </c>
      <c r="H522" s="21">
        <v>1700</v>
      </c>
      <c r="I522" s="4"/>
      <c r="J522" s="13" t="s">
        <v>193</v>
      </c>
      <c r="K522" s="5" t="s">
        <v>182</v>
      </c>
      <c r="L522" s="4">
        <v>2010</v>
      </c>
      <c r="M522" s="4">
        <v>4</v>
      </c>
      <c r="N522" s="5" t="s">
        <v>108</v>
      </c>
      <c r="O522" s="36" t="s">
        <v>80</v>
      </c>
      <c r="P522" s="29">
        <v>4.16</v>
      </c>
      <c r="Q522" s="4">
        <v>65.4</v>
      </c>
      <c r="R522" s="4">
        <v>3.45</v>
      </c>
      <c r="S522" s="13">
        <v>18.9565217391304</v>
      </c>
      <c r="T522" s="21">
        <v>48</v>
      </c>
      <c r="U522" s="21">
        <v>17</v>
      </c>
      <c r="V522" s="21">
        <v>35</v>
      </c>
      <c r="W522" s="4">
        <v>13</v>
      </c>
      <c r="X522" s="5" t="s">
        <v>91</v>
      </c>
      <c r="Y522" s="5" t="s">
        <v>82</v>
      </c>
      <c r="Z522" s="4"/>
      <c r="AA522" s="4"/>
      <c r="AB522" s="9">
        <v>-0.795562185988015</v>
      </c>
      <c r="AC522" s="9">
        <v>0.001544</v>
      </c>
      <c r="AD522" s="9"/>
      <c r="AE522" s="9"/>
      <c r="AF522" s="9"/>
      <c r="AG522" s="9"/>
      <c r="AH522" s="9">
        <v>-0.792410116349653</v>
      </c>
      <c r="AI522" s="9">
        <v>0.001554</v>
      </c>
      <c r="AJ522" s="4">
        <v>-0.068235359583548</v>
      </c>
      <c r="AK522" s="4">
        <v>0.00431874828902808</v>
      </c>
      <c r="AL522" s="4"/>
      <c r="AM522" s="4"/>
      <c r="AN522" s="4">
        <v>0.306140470885178</v>
      </c>
      <c r="AO522" s="4">
        <v>0.005872</v>
      </c>
      <c r="AP522" s="4">
        <v>-0.713645702108286</v>
      </c>
      <c r="AQ522" s="4">
        <v>0.00224</v>
      </c>
    </row>
    <row r="523" s="4" customFormat="1" spans="1:43">
      <c r="A523" s="4">
        <v>522</v>
      </c>
      <c r="B523" s="18">
        <v>85</v>
      </c>
      <c r="C523" s="5" t="s">
        <v>179</v>
      </c>
      <c r="D523" s="5" t="s">
        <v>319</v>
      </c>
      <c r="E523" s="9">
        <v>-17.368</v>
      </c>
      <c r="F523" s="9">
        <v>-51.498</v>
      </c>
      <c r="G523" s="20">
        <v>22.5</v>
      </c>
      <c r="H523" s="21">
        <v>1700</v>
      </c>
      <c r="I523" s="4"/>
      <c r="J523" s="13" t="s">
        <v>193</v>
      </c>
      <c r="K523" s="5" t="s">
        <v>182</v>
      </c>
      <c r="L523" s="4">
        <v>2010</v>
      </c>
      <c r="M523" s="4">
        <v>4</v>
      </c>
      <c r="N523" s="5" t="s">
        <v>108</v>
      </c>
      <c r="O523" s="36" t="s">
        <v>80</v>
      </c>
      <c r="P523" s="29">
        <v>3.93</v>
      </c>
      <c r="Q523" s="4">
        <v>33.61</v>
      </c>
      <c r="R523" s="4">
        <v>1.93</v>
      </c>
      <c r="S523" s="13">
        <v>17.4145077720207</v>
      </c>
      <c r="T523" s="21">
        <v>48</v>
      </c>
      <c r="U523" s="21">
        <v>17</v>
      </c>
      <c r="V523" s="21">
        <v>35</v>
      </c>
      <c r="W523" s="4">
        <v>13</v>
      </c>
      <c r="X523" s="5" t="s">
        <v>91</v>
      </c>
      <c r="Y523" s="5" t="s">
        <v>82</v>
      </c>
      <c r="Z523" s="4"/>
      <c r="AA523" s="4"/>
      <c r="AB523" s="9">
        <v>-0.643876131553163</v>
      </c>
      <c r="AC523" s="9">
        <v>0.001544</v>
      </c>
      <c r="AD523" s="9"/>
      <c r="AE523" s="9"/>
      <c r="AF523" s="9"/>
      <c r="AG523" s="9"/>
      <c r="AH523" s="9">
        <v>-0.328471008574374</v>
      </c>
      <c r="AI523" s="9">
        <v>0.001554</v>
      </c>
      <c r="AJ523" s="4">
        <v>0.225131663578906</v>
      </c>
      <c r="AK523" s="4">
        <v>0.00431874828902809</v>
      </c>
      <c r="AL523" s="4"/>
      <c r="AM523" s="4"/>
      <c r="AN523" s="4">
        <v>0.19370687901908</v>
      </c>
      <c r="AO523" s="4">
        <v>0.005872</v>
      </c>
      <c r="AP523" s="4">
        <v>-0.442408623299849</v>
      </c>
      <c r="AQ523" s="4">
        <v>0.00224</v>
      </c>
    </row>
    <row r="524" s="4" customFormat="1" spans="1:43">
      <c r="A524" s="4">
        <v>523</v>
      </c>
      <c r="B524" s="18">
        <v>85</v>
      </c>
      <c r="C524" s="5" t="s">
        <v>179</v>
      </c>
      <c r="D524" s="5" t="s">
        <v>319</v>
      </c>
      <c r="E524" s="9">
        <v>-17.368</v>
      </c>
      <c r="F524" s="9">
        <v>-51.498</v>
      </c>
      <c r="G524" s="20">
        <v>22.5</v>
      </c>
      <c r="H524" s="21">
        <v>1700</v>
      </c>
      <c r="I524" s="4"/>
      <c r="J524" s="13" t="s">
        <v>193</v>
      </c>
      <c r="K524" s="5" t="s">
        <v>182</v>
      </c>
      <c r="L524" s="4">
        <v>2010</v>
      </c>
      <c r="M524" s="4">
        <v>4</v>
      </c>
      <c r="N524" s="5" t="s">
        <v>108</v>
      </c>
      <c r="O524" s="36" t="s">
        <v>80</v>
      </c>
      <c r="P524" s="29">
        <v>3.93</v>
      </c>
      <c r="Q524" s="4">
        <v>33.61</v>
      </c>
      <c r="R524" s="4">
        <v>1.93</v>
      </c>
      <c r="S524" s="13">
        <v>17.4145077720207</v>
      </c>
      <c r="T524" s="21">
        <v>48</v>
      </c>
      <c r="U524" s="21">
        <v>17</v>
      </c>
      <c r="V524" s="21">
        <v>35</v>
      </c>
      <c r="W524" s="4">
        <v>13</v>
      </c>
      <c r="X524" s="5" t="s">
        <v>91</v>
      </c>
      <c r="Y524" s="5" t="s">
        <v>82</v>
      </c>
      <c r="Z524" s="4"/>
      <c r="AA524" s="4"/>
      <c r="AB524" s="9">
        <v>-1.03977178864518</v>
      </c>
      <c r="AC524" s="9">
        <v>0.001544</v>
      </c>
      <c r="AD524" s="9"/>
      <c r="AE524" s="9"/>
      <c r="AF524" s="9"/>
      <c r="AG524" s="9"/>
      <c r="AH524" s="9">
        <v>-0.325582621998504</v>
      </c>
      <c r="AI524" s="9">
        <v>0.001554</v>
      </c>
      <c r="AJ524" s="4">
        <v>0.0468729644545554</v>
      </c>
      <c r="AK524" s="4">
        <v>0.00431874828902809</v>
      </c>
      <c r="AL524" s="4"/>
      <c r="AM524" s="4"/>
      <c r="AN524" s="4">
        <v>0.310324549201541</v>
      </c>
      <c r="AO524" s="4">
        <v>0.005872</v>
      </c>
      <c r="AP524" s="4">
        <v>-0.379888266318515</v>
      </c>
      <c r="AQ524" s="4">
        <v>0.00224</v>
      </c>
    </row>
    <row r="525" s="3" customFormat="1" spans="1:49">
      <c r="A525" s="4">
        <v>524</v>
      </c>
      <c r="B525" s="6">
        <v>86</v>
      </c>
      <c r="C525" s="24" t="s">
        <v>320</v>
      </c>
      <c r="D525" s="13" t="s">
        <v>321</v>
      </c>
      <c r="E525" s="25">
        <v>-38.2002778</v>
      </c>
      <c r="F525" s="25">
        <v>-71.75002</v>
      </c>
      <c r="G525" s="20">
        <v>6.65000009536743</v>
      </c>
      <c r="H525" s="27">
        <v>1800</v>
      </c>
      <c r="I525" s="3"/>
      <c r="J525" s="13" t="s">
        <v>237</v>
      </c>
      <c r="K525" s="5" t="s">
        <v>78</v>
      </c>
      <c r="L525" s="3"/>
      <c r="M525" s="3"/>
      <c r="N525" s="3"/>
      <c r="O525" s="28" t="s">
        <v>80</v>
      </c>
      <c r="P525" s="7">
        <v>5.2</v>
      </c>
      <c r="Q525" s="3">
        <v>150</v>
      </c>
      <c r="R525" s="3">
        <v>6.5</v>
      </c>
      <c r="S525" s="13">
        <v>23.0769230769231</v>
      </c>
      <c r="T525" s="21">
        <v>7</v>
      </c>
      <c r="U525" s="21">
        <v>38</v>
      </c>
      <c r="V525" s="21">
        <v>55</v>
      </c>
      <c r="W525" s="3">
        <v>4</v>
      </c>
      <c r="X525" s="5" t="s">
        <v>81</v>
      </c>
      <c r="Y525" s="13" t="s">
        <v>82</v>
      </c>
      <c r="Z525" s="3">
        <v>9</v>
      </c>
      <c r="AA525" s="3">
        <v>9</v>
      </c>
      <c r="AB525" s="9">
        <v>-0.016278808176453</v>
      </c>
      <c r="AC525" s="9">
        <v>0.00861701208642171</v>
      </c>
      <c r="AD525" s="25"/>
      <c r="AE525" s="25"/>
      <c r="AF525" s="9"/>
      <c r="AG525" s="9"/>
      <c r="AH525" s="25">
        <v>-1.30778474019816</v>
      </c>
      <c r="AI525" s="25">
        <v>0.00231385071035217</v>
      </c>
      <c r="AJ525" s="4">
        <v>1.29150593202171</v>
      </c>
      <c r="AK525" s="4">
        <v>0.0109308627967739</v>
      </c>
      <c r="AL525" s="3"/>
      <c r="AM525" s="3"/>
      <c r="AN525" s="4"/>
      <c r="AO525" s="4"/>
      <c r="AP525" s="3"/>
      <c r="AQ525" s="3"/>
      <c r="AR525" s="4"/>
      <c r="AS525" s="4"/>
      <c r="AT525" s="3"/>
      <c r="AU525" s="3"/>
      <c r="AV525" s="4"/>
      <c r="AW525" s="4"/>
    </row>
    <row r="526" s="3" customFormat="1" spans="1:49">
      <c r="A526" s="4">
        <v>525</v>
      </c>
      <c r="B526" s="6">
        <v>86</v>
      </c>
      <c r="C526" s="24" t="s">
        <v>320</v>
      </c>
      <c r="D526" s="13" t="s">
        <v>321</v>
      </c>
      <c r="E526" s="25">
        <v>-38.2002778</v>
      </c>
      <c r="F526" s="25">
        <v>-71.75002</v>
      </c>
      <c r="G526" s="20">
        <v>6.65000009536743</v>
      </c>
      <c r="H526" s="27">
        <v>1800</v>
      </c>
      <c r="I526" s="3"/>
      <c r="J526" s="13" t="s">
        <v>237</v>
      </c>
      <c r="K526" s="5" t="s">
        <v>78</v>
      </c>
      <c r="L526" s="3"/>
      <c r="M526" s="3"/>
      <c r="N526" s="3"/>
      <c r="O526" s="28" t="s">
        <v>80</v>
      </c>
      <c r="P526" s="7">
        <v>5.2</v>
      </c>
      <c r="Q526" s="3">
        <v>150</v>
      </c>
      <c r="R526" s="3">
        <v>6.5</v>
      </c>
      <c r="S526" s="13">
        <v>23.0769230769231</v>
      </c>
      <c r="T526" s="21">
        <v>7</v>
      </c>
      <c r="U526" s="21">
        <v>38</v>
      </c>
      <c r="V526" s="21">
        <v>55</v>
      </c>
      <c r="W526" s="3">
        <v>4</v>
      </c>
      <c r="X526" s="5" t="s">
        <v>81</v>
      </c>
      <c r="Y526" s="13" t="s">
        <v>82</v>
      </c>
      <c r="Z526" s="3">
        <v>9</v>
      </c>
      <c r="AA526" s="3">
        <v>9</v>
      </c>
      <c r="AB526" s="9">
        <v>-0.152767166884775</v>
      </c>
      <c r="AC526" s="9">
        <v>0.00341398454444127</v>
      </c>
      <c r="AD526" s="25"/>
      <c r="AE526" s="25"/>
      <c r="AF526" s="9"/>
      <c r="AG526" s="9"/>
      <c r="AH526" s="25">
        <v>-0.665293977115164</v>
      </c>
      <c r="AI526" s="25">
        <v>0.00231385071035217</v>
      </c>
      <c r="AJ526" s="4">
        <v>0.512526810230389</v>
      </c>
      <c r="AK526" s="4">
        <v>0.00572783525479346</v>
      </c>
      <c r="AL526" s="3"/>
      <c r="AM526" s="3"/>
      <c r="AN526" s="4"/>
      <c r="AO526" s="4"/>
      <c r="AP526" s="3"/>
      <c r="AQ526" s="3"/>
      <c r="AR526" s="4"/>
      <c r="AS526" s="4"/>
      <c r="AT526" s="3"/>
      <c r="AU526" s="3"/>
      <c r="AV526" s="4"/>
      <c r="AW526" s="4"/>
    </row>
    <row r="527" s="3" customFormat="1" spans="1:50">
      <c r="A527" s="4">
        <v>526</v>
      </c>
      <c r="B527" s="6">
        <v>86</v>
      </c>
      <c r="C527" s="24" t="s">
        <v>320</v>
      </c>
      <c r="D527" s="13" t="s">
        <v>321</v>
      </c>
      <c r="E527" s="25">
        <v>-38.2002778</v>
      </c>
      <c r="F527" s="25">
        <v>-71.75002</v>
      </c>
      <c r="G527" s="20">
        <v>6.65000009536743</v>
      </c>
      <c r="H527" s="27">
        <v>1800</v>
      </c>
      <c r="I527" s="3"/>
      <c r="J527" s="13" t="s">
        <v>237</v>
      </c>
      <c r="K527" s="5" t="s">
        <v>78</v>
      </c>
      <c r="L527" s="3"/>
      <c r="M527" s="3"/>
      <c r="N527" s="3"/>
      <c r="O527" s="28" t="s">
        <v>80</v>
      </c>
      <c r="P527" s="7">
        <v>5.2</v>
      </c>
      <c r="Q527" s="3">
        <v>150</v>
      </c>
      <c r="R527" s="3">
        <v>6.5</v>
      </c>
      <c r="S527" s="13">
        <v>23.0769230769231</v>
      </c>
      <c r="T527" s="21">
        <v>7</v>
      </c>
      <c r="U527" s="21">
        <v>38</v>
      </c>
      <c r="V527" s="21">
        <v>55</v>
      </c>
      <c r="W527" s="3">
        <v>4</v>
      </c>
      <c r="X527" s="5" t="s">
        <v>81</v>
      </c>
      <c r="Y527" s="13" t="s">
        <v>82</v>
      </c>
      <c r="Z527" s="3">
        <v>9</v>
      </c>
      <c r="AA527" s="3">
        <v>9</v>
      </c>
      <c r="AB527" s="9">
        <v>-0.273485765161616</v>
      </c>
      <c r="AC527" s="9">
        <v>0.00654417269680034</v>
      </c>
      <c r="AD527" s="25"/>
      <c r="AE527" s="25"/>
      <c r="AF527" s="9"/>
      <c r="AG527" s="9"/>
      <c r="AH527" s="25">
        <v>-0.879774536431324</v>
      </c>
      <c r="AI527" s="25">
        <v>0.00231385071035217</v>
      </c>
      <c r="AJ527" s="4">
        <v>0.606288771269708</v>
      </c>
      <c r="AK527" s="4">
        <v>0.00885802340715255</v>
      </c>
      <c r="AL527" s="3"/>
      <c r="AM527" s="3"/>
      <c r="AN527" s="4"/>
      <c r="AO527" s="4"/>
      <c r="AP527" s="3"/>
      <c r="AQ527" s="3"/>
      <c r="AR527" s="4"/>
      <c r="AS527" s="4"/>
      <c r="AT527" s="3"/>
      <c r="AU527" s="3"/>
      <c r="AV527" s="4"/>
      <c r="AW527" s="4"/>
      <c r="AX527" s="3">
        <v>-0.00944338947464823</v>
      </c>
    </row>
    <row r="528" s="3" customFormat="1" spans="1:50">
      <c r="A528" s="4">
        <v>527</v>
      </c>
      <c r="B528" s="6">
        <v>86</v>
      </c>
      <c r="C528" s="24" t="s">
        <v>320</v>
      </c>
      <c r="D528" s="13" t="s">
        <v>321</v>
      </c>
      <c r="E528" s="25">
        <v>-38.2002778</v>
      </c>
      <c r="F528" s="25">
        <v>-71.75002</v>
      </c>
      <c r="G528" s="20">
        <v>6.65000009536743</v>
      </c>
      <c r="H528" s="27">
        <v>1800</v>
      </c>
      <c r="I528" s="3"/>
      <c r="J528" s="13" t="s">
        <v>237</v>
      </c>
      <c r="K528" s="5" t="s">
        <v>78</v>
      </c>
      <c r="L528" s="3"/>
      <c r="M528" s="3"/>
      <c r="N528" s="3"/>
      <c r="O528" s="28" t="s">
        <v>80</v>
      </c>
      <c r="P528" s="7">
        <v>5.2</v>
      </c>
      <c r="Q528" s="3">
        <v>150</v>
      </c>
      <c r="R528" s="3">
        <v>6.5</v>
      </c>
      <c r="S528" s="13">
        <v>23.0769230769231</v>
      </c>
      <c r="T528" s="21">
        <v>7</v>
      </c>
      <c r="U528" s="21">
        <v>38</v>
      </c>
      <c r="V528" s="21">
        <v>55</v>
      </c>
      <c r="W528" s="3">
        <v>4</v>
      </c>
      <c r="X528" s="5" t="s">
        <v>81</v>
      </c>
      <c r="Y528" s="13" t="s">
        <v>82</v>
      </c>
      <c r="Z528" s="3">
        <v>9</v>
      </c>
      <c r="AA528" s="3">
        <v>9</v>
      </c>
      <c r="AB528" s="9">
        <v>-0.499263777505127</v>
      </c>
      <c r="AC528" s="9">
        <v>0.00200173444643798</v>
      </c>
      <c r="AD528" s="25"/>
      <c r="AE528" s="25"/>
      <c r="AF528" s="9"/>
      <c r="AG528" s="9"/>
      <c r="AH528" s="25">
        <v>-1.50379545364772</v>
      </c>
      <c r="AI528" s="25">
        <v>0.00231385071035217</v>
      </c>
      <c r="AJ528" s="4">
        <v>1.00453167614259</v>
      </c>
      <c r="AK528" s="4">
        <v>0.00431558515679015</v>
      </c>
      <c r="AL528" s="3"/>
      <c r="AM528" s="3"/>
      <c r="AN528" s="4"/>
      <c r="AO528" s="4"/>
      <c r="AP528" s="3"/>
      <c r="AQ528" s="3"/>
      <c r="AR528" s="4"/>
      <c r="AS528" s="4"/>
      <c r="AT528" s="3"/>
      <c r="AU528" s="3"/>
      <c r="AV528" s="4"/>
      <c r="AW528" s="4"/>
      <c r="AX528" s="3">
        <v>-0.078764414241365</v>
      </c>
    </row>
    <row r="529" s="3" customFormat="1" spans="1:50">
      <c r="A529" s="4">
        <v>528</v>
      </c>
      <c r="B529" s="6">
        <v>86</v>
      </c>
      <c r="C529" s="24" t="s">
        <v>320</v>
      </c>
      <c r="D529" s="13" t="s">
        <v>321</v>
      </c>
      <c r="E529" s="25">
        <v>-38.2002778</v>
      </c>
      <c r="F529" s="25">
        <v>-71.75002</v>
      </c>
      <c r="G529" s="20">
        <v>6.65000009536743</v>
      </c>
      <c r="H529" s="27">
        <v>1800</v>
      </c>
      <c r="I529" s="3"/>
      <c r="J529" s="13" t="s">
        <v>237</v>
      </c>
      <c r="K529" s="5" t="s">
        <v>78</v>
      </c>
      <c r="L529" s="3"/>
      <c r="M529" s="3"/>
      <c r="N529" s="3"/>
      <c r="O529" s="28" t="s">
        <v>80</v>
      </c>
      <c r="P529" s="7">
        <v>5.2</v>
      </c>
      <c r="Q529" s="3">
        <v>150</v>
      </c>
      <c r="R529" s="3">
        <v>6.5</v>
      </c>
      <c r="S529" s="13">
        <v>23.0769230769231</v>
      </c>
      <c r="T529" s="21">
        <v>7</v>
      </c>
      <c r="U529" s="21">
        <v>38</v>
      </c>
      <c r="V529" s="21">
        <v>55</v>
      </c>
      <c r="W529" s="3">
        <v>4</v>
      </c>
      <c r="X529" s="5" t="s">
        <v>81</v>
      </c>
      <c r="Y529" s="13" t="s">
        <v>82</v>
      </c>
      <c r="Z529" s="3">
        <v>9</v>
      </c>
      <c r="AA529" s="3">
        <v>9</v>
      </c>
      <c r="AB529" s="9">
        <v>-0.421195546188874</v>
      </c>
      <c r="AC529" s="9">
        <v>0.00244455290957065</v>
      </c>
      <c r="AD529" s="25"/>
      <c r="AE529" s="25"/>
      <c r="AF529" s="9"/>
      <c r="AG529" s="9"/>
      <c r="AH529" s="25">
        <v>-0.401181187102144</v>
      </c>
      <c r="AI529" s="25">
        <v>0.00231385071035217</v>
      </c>
      <c r="AJ529" s="4">
        <v>-0.0200143590867298</v>
      </c>
      <c r="AK529" s="4">
        <v>0.00475840361992282</v>
      </c>
      <c r="AL529" s="3"/>
      <c r="AM529" s="3"/>
      <c r="AN529" s="4"/>
      <c r="AO529" s="4"/>
      <c r="AP529" s="3"/>
      <c r="AQ529" s="3"/>
      <c r="AR529" s="4"/>
      <c r="AS529" s="4"/>
      <c r="AT529" s="3"/>
      <c r="AU529" s="3"/>
      <c r="AV529" s="4"/>
      <c r="AW529" s="4"/>
      <c r="AX529" s="3">
        <v>0.113937614725478</v>
      </c>
    </row>
    <row r="530" s="3" customFormat="1" spans="1:50">
      <c r="A530" s="4">
        <v>529</v>
      </c>
      <c r="B530" s="6">
        <v>86</v>
      </c>
      <c r="C530" s="24" t="s">
        <v>320</v>
      </c>
      <c r="D530" s="13" t="s">
        <v>321</v>
      </c>
      <c r="E530" s="25">
        <v>-38.2002778</v>
      </c>
      <c r="F530" s="25">
        <v>-71.75002</v>
      </c>
      <c r="G530" s="20">
        <v>6.65000009536743</v>
      </c>
      <c r="H530" s="27">
        <v>1800</v>
      </c>
      <c r="I530" s="3"/>
      <c r="J530" s="13" t="s">
        <v>237</v>
      </c>
      <c r="K530" s="5" t="s">
        <v>78</v>
      </c>
      <c r="L530" s="3"/>
      <c r="M530" s="3"/>
      <c r="N530" s="3"/>
      <c r="O530" s="28" t="s">
        <v>80</v>
      </c>
      <c r="P530" s="7">
        <v>5.2</v>
      </c>
      <c r="Q530" s="3">
        <v>150</v>
      </c>
      <c r="R530" s="3">
        <v>6.5</v>
      </c>
      <c r="S530" s="13">
        <v>23.0769230769231</v>
      </c>
      <c r="T530" s="21">
        <v>7</v>
      </c>
      <c r="U530" s="21">
        <v>38</v>
      </c>
      <c r="V530" s="21">
        <v>55</v>
      </c>
      <c r="W530" s="3">
        <v>4</v>
      </c>
      <c r="X530" s="5" t="s">
        <v>81</v>
      </c>
      <c r="Y530" s="13" t="s">
        <v>82</v>
      </c>
      <c r="Z530" s="3">
        <v>9</v>
      </c>
      <c r="AA530" s="3">
        <v>9</v>
      </c>
      <c r="AB530" s="9">
        <v>-0.521997433299682</v>
      </c>
      <c r="AC530" s="9">
        <v>0.00225277432504098</v>
      </c>
      <c r="AD530" s="25"/>
      <c r="AE530" s="25"/>
      <c r="AF530" s="9"/>
      <c r="AG530" s="9"/>
      <c r="AH530" s="25">
        <v>-0.511739581334285</v>
      </c>
      <c r="AI530" s="25">
        <v>0.00231385071035217</v>
      </c>
      <c r="AJ530" s="4">
        <v>-0.0102578519653951</v>
      </c>
      <c r="AK530" s="4">
        <v>0.00456662503539314</v>
      </c>
      <c r="AL530" s="3"/>
      <c r="AM530" s="3"/>
      <c r="AN530" s="4"/>
      <c r="AO530" s="4"/>
      <c r="AP530" s="3"/>
      <c r="AQ530" s="3"/>
      <c r="AR530" s="4"/>
      <c r="AS530" s="4"/>
      <c r="AT530" s="3"/>
      <c r="AU530" s="3"/>
      <c r="AV530" s="4"/>
      <c r="AW530" s="4"/>
      <c r="AX530" s="3">
        <v>0.0543056443200101</v>
      </c>
    </row>
    <row r="531" s="3" customFormat="1" spans="1:49">
      <c r="A531" s="4">
        <v>530</v>
      </c>
      <c r="B531" s="6">
        <v>86</v>
      </c>
      <c r="C531" s="24" t="s">
        <v>320</v>
      </c>
      <c r="D531" s="13" t="s">
        <v>321</v>
      </c>
      <c r="E531" s="25">
        <v>-38.2002778</v>
      </c>
      <c r="F531" s="25">
        <v>-71.75002</v>
      </c>
      <c r="G531" s="20">
        <v>6.65000009536743</v>
      </c>
      <c r="H531" s="27">
        <v>1800</v>
      </c>
      <c r="I531" s="3"/>
      <c r="J531" s="13" t="s">
        <v>237</v>
      </c>
      <c r="K531" s="5" t="s">
        <v>78</v>
      </c>
      <c r="L531" s="3"/>
      <c r="M531" s="3"/>
      <c r="N531" s="3"/>
      <c r="O531" s="28" t="s">
        <v>136</v>
      </c>
      <c r="P531" s="7">
        <v>5.2</v>
      </c>
      <c r="Q531" s="3">
        <v>150</v>
      </c>
      <c r="R531" s="3">
        <v>6.5</v>
      </c>
      <c r="S531" s="13">
        <v>23.0769230769231</v>
      </c>
      <c r="T531" s="21">
        <v>7</v>
      </c>
      <c r="U531" s="21">
        <v>38</v>
      </c>
      <c r="V531" s="21">
        <v>55</v>
      </c>
      <c r="W531" s="3">
        <v>4</v>
      </c>
      <c r="X531" s="5" t="s">
        <v>81</v>
      </c>
      <c r="Y531" s="13" t="s">
        <v>82</v>
      </c>
      <c r="Z531" s="3">
        <v>9</v>
      </c>
      <c r="AA531" s="3">
        <v>9</v>
      </c>
      <c r="AB531" s="9">
        <v>-0.46340720041492</v>
      </c>
      <c r="AC531" s="9">
        <v>0.00363869979127913</v>
      </c>
      <c r="AD531" s="25"/>
      <c r="AE531" s="25"/>
      <c r="AF531" s="9"/>
      <c r="AG531" s="9"/>
      <c r="AH531" s="25">
        <v>-1.35164152215274</v>
      </c>
      <c r="AI531" s="25">
        <v>0.00231385071035217</v>
      </c>
      <c r="AJ531" s="4">
        <v>0.88823432173782</v>
      </c>
      <c r="AK531" s="4">
        <v>0.00595255050163131</v>
      </c>
      <c r="AL531" s="3"/>
      <c r="AM531" s="3"/>
      <c r="AN531" s="4"/>
      <c r="AO531" s="4"/>
      <c r="AP531" s="3"/>
      <c r="AQ531" s="3"/>
      <c r="AR531" s="4"/>
      <c r="AS531" s="4"/>
      <c r="AT531" s="3"/>
      <c r="AU531" s="3"/>
      <c r="AV531" s="4"/>
      <c r="AW531" s="4"/>
    </row>
    <row r="532" s="3" customFormat="1" spans="1:49">
      <c r="A532" s="4">
        <v>531</v>
      </c>
      <c r="B532" s="6">
        <v>86</v>
      </c>
      <c r="C532" s="24" t="s">
        <v>320</v>
      </c>
      <c r="D532" s="13" t="s">
        <v>321</v>
      </c>
      <c r="E532" s="25">
        <v>-38.2002778</v>
      </c>
      <c r="F532" s="25">
        <v>-71.75002</v>
      </c>
      <c r="G532" s="20">
        <v>6.65000009536743</v>
      </c>
      <c r="H532" s="27">
        <v>1800</v>
      </c>
      <c r="I532" s="3"/>
      <c r="J532" s="13" t="s">
        <v>237</v>
      </c>
      <c r="K532" s="5" t="s">
        <v>78</v>
      </c>
      <c r="L532" s="3"/>
      <c r="M532" s="3"/>
      <c r="N532" s="3"/>
      <c r="O532" s="28" t="s">
        <v>136</v>
      </c>
      <c r="P532" s="7">
        <v>5.2</v>
      </c>
      <c r="Q532" s="3">
        <v>150</v>
      </c>
      <c r="R532" s="3">
        <v>6.5</v>
      </c>
      <c r="S532" s="13">
        <v>23.0769230769231</v>
      </c>
      <c r="T532" s="21">
        <v>7</v>
      </c>
      <c r="U532" s="21">
        <v>38</v>
      </c>
      <c r="V532" s="21">
        <v>55</v>
      </c>
      <c r="W532" s="3">
        <v>4</v>
      </c>
      <c r="X532" s="5" t="s">
        <v>81</v>
      </c>
      <c r="Y532" s="13" t="s">
        <v>82</v>
      </c>
      <c r="Z532" s="3">
        <v>9</v>
      </c>
      <c r="AA532" s="3">
        <v>9</v>
      </c>
      <c r="AB532" s="9">
        <v>-0.237203652443733</v>
      </c>
      <c r="AC532" s="9">
        <v>0.0023081738561087</v>
      </c>
      <c r="AD532" s="25"/>
      <c r="AE532" s="25"/>
      <c r="AF532" s="9"/>
      <c r="AG532" s="9"/>
      <c r="AH532" s="25">
        <v>-0.510183145663101</v>
      </c>
      <c r="AI532" s="25">
        <v>0.00231385071035218</v>
      </c>
      <c r="AJ532" s="4">
        <v>0.272979493219368</v>
      </c>
      <c r="AK532" s="4">
        <v>0.00462202456646088</v>
      </c>
      <c r="AL532" s="3"/>
      <c r="AM532" s="3"/>
      <c r="AN532" s="4"/>
      <c r="AO532" s="4"/>
      <c r="AP532" s="3"/>
      <c r="AQ532" s="3"/>
      <c r="AR532" s="4"/>
      <c r="AS532" s="4"/>
      <c r="AT532" s="3"/>
      <c r="AU532" s="3"/>
      <c r="AV532" s="4"/>
      <c r="AW532" s="4"/>
    </row>
    <row r="533" s="3" customFormat="1" spans="1:49">
      <c r="A533" s="4">
        <v>532</v>
      </c>
      <c r="B533" s="6">
        <v>86</v>
      </c>
      <c r="C533" s="24" t="s">
        <v>320</v>
      </c>
      <c r="D533" s="13" t="s">
        <v>321</v>
      </c>
      <c r="E533" s="25">
        <v>-38.2002778</v>
      </c>
      <c r="F533" s="25">
        <v>-71.75002</v>
      </c>
      <c r="G533" s="20">
        <v>6.65000009536743</v>
      </c>
      <c r="H533" s="27">
        <v>1800</v>
      </c>
      <c r="I533" s="3"/>
      <c r="J533" s="13" t="s">
        <v>237</v>
      </c>
      <c r="K533" s="5" t="s">
        <v>78</v>
      </c>
      <c r="L533" s="3"/>
      <c r="M533" s="3"/>
      <c r="N533" s="3"/>
      <c r="O533" s="28" t="s">
        <v>136</v>
      </c>
      <c r="P533" s="7">
        <v>5.2</v>
      </c>
      <c r="Q533" s="3">
        <v>150</v>
      </c>
      <c r="R533" s="3">
        <v>6.5</v>
      </c>
      <c r="S533" s="13">
        <v>23.0769230769231</v>
      </c>
      <c r="T533" s="21">
        <v>7</v>
      </c>
      <c r="U533" s="21">
        <v>38</v>
      </c>
      <c r="V533" s="21">
        <v>55</v>
      </c>
      <c r="W533" s="3">
        <v>4</v>
      </c>
      <c r="X533" s="5" t="s">
        <v>81</v>
      </c>
      <c r="Y533" s="13" t="s">
        <v>82</v>
      </c>
      <c r="Z533" s="3">
        <v>9</v>
      </c>
      <c r="AA533" s="3">
        <v>9</v>
      </c>
      <c r="AB533" s="9">
        <v>-0.394231210717915</v>
      </c>
      <c r="AC533" s="9">
        <v>0.00372432747696533</v>
      </c>
      <c r="AD533" s="25"/>
      <c r="AE533" s="25"/>
      <c r="AF533" s="9"/>
      <c r="AG533" s="9"/>
      <c r="AH533" s="25">
        <v>-0.183100622462094</v>
      </c>
      <c r="AI533" s="25">
        <v>0.00231385071035217</v>
      </c>
      <c r="AJ533" s="4">
        <v>-0.211130588255818</v>
      </c>
      <c r="AK533" s="4">
        <v>0.00603817818731749</v>
      </c>
      <c r="AL533" s="3"/>
      <c r="AM533" s="3"/>
      <c r="AN533" s="4"/>
      <c r="AO533" s="4"/>
      <c r="AP533" s="3"/>
      <c r="AQ533" s="3"/>
      <c r="AR533" s="4"/>
      <c r="AS533" s="4"/>
      <c r="AT533" s="3"/>
      <c r="AU533" s="3"/>
      <c r="AV533" s="4"/>
      <c r="AW533" s="4"/>
    </row>
    <row r="534" s="3" customFormat="1" spans="1:49">
      <c r="A534" s="4">
        <v>533</v>
      </c>
      <c r="B534" s="6">
        <v>86</v>
      </c>
      <c r="C534" s="24" t="s">
        <v>320</v>
      </c>
      <c r="D534" s="13" t="s">
        <v>321</v>
      </c>
      <c r="E534" s="25">
        <v>-38.2002778</v>
      </c>
      <c r="F534" s="25">
        <v>-71.75002</v>
      </c>
      <c r="G534" s="20">
        <v>6.65000009536743</v>
      </c>
      <c r="H534" s="27">
        <v>1800</v>
      </c>
      <c r="I534" s="3"/>
      <c r="J534" s="13" t="s">
        <v>237</v>
      </c>
      <c r="K534" s="5" t="s">
        <v>78</v>
      </c>
      <c r="L534" s="3"/>
      <c r="M534" s="3"/>
      <c r="N534" s="3"/>
      <c r="O534" s="28" t="s">
        <v>136</v>
      </c>
      <c r="P534" s="7">
        <v>5.2</v>
      </c>
      <c r="Q534" s="3">
        <v>150</v>
      </c>
      <c r="R534" s="3">
        <v>6.5</v>
      </c>
      <c r="S534" s="13">
        <v>23.0769230769231</v>
      </c>
      <c r="T534" s="21">
        <v>7</v>
      </c>
      <c r="U534" s="21">
        <v>38</v>
      </c>
      <c r="V534" s="21">
        <v>55</v>
      </c>
      <c r="W534" s="3">
        <v>4</v>
      </c>
      <c r="X534" s="5" t="s">
        <v>81</v>
      </c>
      <c r="Y534" s="13" t="s">
        <v>82</v>
      </c>
      <c r="Z534" s="3">
        <v>9</v>
      </c>
      <c r="AA534" s="3">
        <v>9</v>
      </c>
      <c r="AB534" s="9">
        <v>-0.298832415206406</v>
      </c>
      <c r="AC534" s="9">
        <v>0.00356669285437031</v>
      </c>
      <c r="AD534" s="25"/>
      <c r="AE534" s="25"/>
      <c r="AF534" s="9"/>
      <c r="AG534" s="9"/>
      <c r="AH534" s="25">
        <v>-1.03247947957618</v>
      </c>
      <c r="AI534" s="25">
        <v>0.00231385071035217</v>
      </c>
      <c r="AJ534" s="4">
        <v>0.733647064369776</v>
      </c>
      <c r="AK534" s="4">
        <v>0.00588054356472249</v>
      </c>
      <c r="AL534" s="3"/>
      <c r="AM534" s="3"/>
      <c r="AN534" s="4"/>
      <c r="AO534" s="4"/>
      <c r="AP534" s="3"/>
      <c r="AQ534" s="3"/>
      <c r="AR534" s="4"/>
      <c r="AS534" s="4"/>
      <c r="AT534" s="3"/>
      <c r="AU534" s="3"/>
      <c r="AV534" s="4"/>
      <c r="AW534" s="4"/>
    </row>
    <row r="535" s="3" customFormat="1" spans="1:49">
      <c r="A535" s="4">
        <v>534</v>
      </c>
      <c r="B535" s="6">
        <v>86</v>
      </c>
      <c r="C535" s="24" t="s">
        <v>320</v>
      </c>
      <c r="D535" s="13" t="s">
        <v>321</v>
      </c>
      <c r="E535" s="25">
        <v>-38.2002778</v>
      </c>
      <c r="F535" s="25">
        <v>-71.75002</v>
      </c>
      <c r="G535" s="20">
        <v>6.65000009536743</v>
      </c>
      <c r="H535" s="27">
        <v>1800</v>
      </c>
      <c r="I535" s="3"/>
      <c r="J535" s="13" t="s">
        <v>237</v>
      </c>
      <c r="K535" s="5" t="s">
        <v>78</v>
      </c>
      <c r="L535" s="3"/>
      <c r="M535" s="3"/>
      <c r="N535" s="3"/>
      <c r="O535" s="28" t="s">
        <v>136</v>
      </c>
      <c r="P535" s="7">
        <v>5.2</v>
      </c>
      <c r="Q535" s="3">
        <v>150</v>
      </c>
      <c r="R535" s="3">
        <v>6.5</v>
      </c>
      <c r="S535" s="13">
        <v>23.0769230769231</v>
      </c>
      <c r="T535" s="21">
        <v>7</v>
      </c>
      <c r="U535" s="21">
        <v>38</v>
      </c>
      <c r="V535" s="21">
        <v>55</v>
      </c>
      <c r="W535" s="3">
        <v>4</v>
      </c>
      <c r="X535" s="5" t="s">
        <v>81</v>
      </c>
      <c r="Y535" s="13" t="s">
        <v>82</v>
      </c>
      <c r="Z535" s="3">
        <v>9</v>
      </c>
      <c r="AA535" s="3">
        <v>9</v>
      </c>
      <c r="AB535" s="9">
        <v>-0.379184132442385</v>
      </c>
      <c r="AC535" s="9">
        <v>0.00876292081826044</v>
      </c>
      <c r="AD535" s="25"/>
      <c r="AE535" s="25"/>
      <c r="AF535" s="9"/>
      <c r="AG535" s="9"/>
      <c r="AH535" s="25">
        <v>-0.232782107937105</v>
      </c>
      <c r="AI535" s="25">
        <v>0.00231385071035217</v>
      </c>
      <c r="AJ535" s="4">
        <v>-0.146402024505277</v>
      </c>
      <c r="AK535" s="4">
        <v>0.0110767715286126</v>
      </c>
      <c r="AL535" s="3"/>
      <c r="AM535" s="3"/>
      <c r="AN535" s="4"/>
      <c r="AO535" s="4"/>
      <c r="AP535" s="3"/>
      <c r="AQ535" s="3"/>
      <c r="AR535" s="4"/>
      <c r="AS535" s="4"/>
      <c r="AT535" s="3"/>
      <c r="AU535" s="3"/>
      <c r="AV535" s="4"/>
      <c r="AW535" s="4"/>
    </row>
    <row r="536" s="3" customFormat="1" spans="1:49">
      <c r="A536" s="4">
        <v>535</v>
      </c>
      <c r="B536" s="6">
        <v>86</v>
      </c>
      <c r="C536" s="24" t="s">
        <v>320</v>
      </c>
      <c r="D536" s="13" t="s">
        <v>321</v>
      </c>
      <c r="E536" s="25">
        <v>-38.2002778</v>
      </c>
      <c r="F536" s="25">
        <v>-71.75002</v>
      </c>
      <c r="G536" s="20">
        <v>6.65000009536743</v>
      </c>
      <c r="H536" s="27">
        <v>1800</v>
      </c>
      <c r="I536" s="3"/>
      <c r="J536" s="13" t="s">
        <v>237</v>
      </c>
      <c r="K536" s="5" t="s">
        <v>78</v>
      </c>
      <c r="L536" s="3"/>
      <c r="M536" s="3"/>
      <c r="N536" s="3"/>
      <c r="O536" s="28" t="s">
        <v>136</v>
      </c>
      <c r="P536" s="7">
        <v>5.2</v>
      </c>
      <c r="Q536" s="3">
        <v>150</v>
      </c>
      <c r="R536" s="3">
        <v>6.5</v>
      </c>
      <c r="S536" s="13">
        <v>23.0769230769231</v>
      </c>
      <c r="T536" s="21">
        <v>7</v>
      </c>
      <c r="U536" s="21">
        <v>38</v>
      </c>
      <c r="V536" s="21">
        <v>55</v>
      </c>
      <c r="W536" s="3">
        <v>4</v>
      </c>
      <c r="X536" s="5" t="s">
        <v>81</v>
      </c>
      <c r="Y536" s="13" t="s">
        <v>82</v>
      </c>
      <c r="Z536" s="3">
        <v>9</v>
      </c>
      <c r="AA536" s="3">
        <v>9</v>
      </c>
      <c r="AB536" s="9">
        <v>-0.27278728278314</v>
      </c>
      <c r="AC536" s="9">
        <v>0.00217428791038421</v>
      </c>
      <c r="AD536" s="25"/>
      <c r="AE536" s="25"/>
      <c r="AF536" s="9"/>
      <c r="AG536" s="9"/>
      <c r="AH536" s="25">
        <v>-0.317915744924324</v>
      </c>
      <c r="AI536" s="25">
        <v>0.00231385071035217</v>
      </c>
      <c r="AJ536" s="4">
        <v>0.0451284621411852</v>
      </c>
      <c r="AK536" s="4">
        <v>0.00448813862073638</v>
      </c>
      <c r="AL536" s="3"/>
      <c r="AM536" s="3"/>
      <c r="AN536" s="4"/>
      <c r="AO536" s="4"/>
      <c r="AP536" s="3"/>
      <c r="AQ536" s="3"/>
      <c r="AR536" s="4"/>
      <c r="AS536" s="4"/>
      <c r="AT536" s="3"/>
      <c r="AU536" s="3"/>
      <c r="AV536" s="4"/>
      <c r="AW536" s="4"/>
    </row>
    <row r="537" s="4" customFormat="1" spans="1:49">
      <c r="A537" s="4">
        <v>536</v>
      </c>
      <c r="B537" s="18">
        <v>87</v>
      </c>
      <c r="C537" s="19" t="s">
        <v>322</v>
      </c>
      <c r="D537" s="5" t="s">
        <v>323</v>
      </c>
      <c r="E537" s="9">
        <v>28.7082493468763</v>
      </c>
      <c r="F537" s="9">
        <v>76.5502166748046</v>
      </c>
      <c r="G537" s="20">
        <v>25</v>
      </c>
      <c r="H537" s="21">
        <v>650</v>
      </c>
      <c r="I537" s="4"/>
      <c r="J537" s="5" t="s">
        <v>94</v>
      </c>
      <c r="K537" s="5" t="s">
        <v>78</v>
      </c>
      <c r="L537" s="4">
        <v>2006</v>
      </c>
      <c r="M537" s="4">
        <v>10</v>
      </c>
      <c r="N537" s="5" t="s">
        <v>108</v>
      </c>
      <c r="O537" s="28" t="s">
        <v>80</v>
      </c>
      <c r="P537" s="29">
        <v>7.7</v>
      </c>
      <c r="Q537" s="4">
        <v>4</v>
      </c>
      <c r="R537" s="12"/>
      <c r="S537" s="13"/>
      <c r="T537" s="34">
        <v>25</v>
      </c>
      <c r="U537" s="21">
        <v>30</v>
      </c>
      <c r="V537" s="21">
        <v>55</v>
      </c>
      <c r="W537" s="4">
        <v>5</v>
      </c>
      <c r="X537" s="5" t="s">
        <v>81</v>
      </c>
      <c r="Y537" s="5" t="s">
        <v>82</v>
      </c>
      <c r="Z537" s="4">
        <v>3</v>
      </c>
      <c r="AA537" s="4">
        <v>3</v>
      </c>
      <c r="AB537" s="9">
        <v>0.351976423157178</v>
      </c>
      <c r="AC537" s="9">
        <v>0.000256361683990306</v>
      </c>
      <c r="AD537" s="9"/>
      <c r="AE537" s="9"/>
      <c r="AF537" s="9"/>
      <c r="AG537" s="9"/>
      <c r="AH537" s="9">
        <v>0.0526437334854219</v>
      </c>
      <c r="AI537" s="9">
        <v>0.00694155213105649</v>
      </c>
      <c r="AJ537" s="4">
        <v>0.299332689671755</v>
      </c>
      <c r="AK537" s="4">
        <v>0.00719791381504683</v>
      </c>
      <c r="AL537" s="4"/>
      <c r="AM537" s="4"/>
      <c r="AN537" s="4"/>
      <c r="AO537" s="4"/>
      <c r="AP537" s="4"/>
      <c r="AQ537" s="4"/>
      <c r="AR537" s="4"/>
      <c r="AS537" s="4"/>
      <c r="AT537" s="4"/>
      <c r="AU537" s="4"/>
      <c r="AV537" s="4">
        <v>0.28312625591592</v>
      </c>
      <c r="AW537" s="4">
        <v>0.00559950665344732</v>
      </c>
    </row>
    <row r="538" s="4" customFormat="1" spans="1:49">
      <c r="A538" s="4">
        <v>537</v>
      </c>
      <c r="B538" s="18">
        <v>87</v>
      </c>
      <c r="C538" s="19" t="s">
        <v>322</v>
      </c>
      <c r="D538" s="5" t="s">
        <v>323</v>
      </c>
      <c r="E538" s="9">
        <v>28.7082493468763</v>
      </c>
      <c r="F538" s="9">
        <v>76.5502166748046</v>
      </c>
      <c r="G538" s="20">
        <v>25</v>
      </c>
      <c r="H538" s="21">
        <v>650</v>
      </c>
      <c r="I538" s="4"/>
      <c r="J538" s="5" t="s">
        <v>94</v>
      </c>
      <c r="K538" s="5" t="s">
        <v>78</v>
      </c>
      <c r="L538" s="4">
        <v>2006</v>
      </c>
      <c r="M538" s="4">
        <v>10</v>
      </c>
      <c r="N538" s="5" t="s">
        <v>108</v>
      </c>
      <c r="O538" s="28" t="s">
        <v>80</v>
      </c>
      <c r="P538" s="29">
        <v>7.7</v>
      </c>
      <c r="Q538" s="4">
        <v>4</v>
      </c>
      <c r="R538" s="12"/>
      <c r="S538" s="13"/>
      <c r="T538" s="34">
        <v>25</v>
      </c>
      <c r="U538" s="21">
        <v>30</v>
      </c>
      <c r="V538" s="21">
        <v>55</v>
      </c>
      <c r="W538" s="4">
        <v>5</v>
      </c>
      <c r="X538" s="5" t="s">
        <v>81</v>
      </c>
      <c r="Y538" s="5" t="s">
        <v>82</v>
      </c>
      <c r="Z538" s="4">
        <v>3</v>
      </c>
      <c r="AA538" s="4">
        <v>3</v>
      </c>
      <c r="AB538" s="9">
        <v>0.322083499169113</v>
      </c>
      <c r="AC538" s="9">
        <v>0.000256361683990305</v>
      </c>
      <c r="AD538" s="9"/>
      <c r="AE538" s="9"/>
      <c r="AF538" s="9"/>
      <c r="AG538" s="9"/>
      <c r="AH538" s="9">
        <v>1e-6</v>
      </c>
      <c r="AI538" s="9">
        <v>0.0069415521310565</v>
      </c>
      <c r="AJ538" s="4">
        <v>0.322083499169114</v>
      </c>
      <c r="AK538" s="4">
        <v>0.0071979138150468</v>
      </c>
      <c r="AL538" s="4"/>
      <c r="AM538" s="4"/>
      <c r="AN538" s="4"/>
      <c r="AO538" s="4"/>
      <c r="AP538" s="4"/>
      <c r="AQ538" s="4"/>
      <c r="AR538" s="4"/>
      <c r="AS538" s="4"/>
      <c r="AT538" s="4"/>
      <c r="AU538" s="4"/>
      <c r="AV538" s="4">
        <v>0.334578296661142</v>
      </c>
      <c r="AW538" s="4">
        <v>0.0055995066534473</v>
      </c>
    </row>
    <row r="539" s="3" customFormat="1" spans="1:73">
      <c r="A539" s="4">
        <v>538</v>
      </c>
      <c r="B539" s="6">
        <v>88</v>
      </c>
      <c r="C539" s="24" t="s">
        <v>215</v>
      </c>
      <c r="D539" s="13" t="s">
        <v>324</v>
      </c>
      <c r="E539" s="25">
        <v>-22.701</v>
      </c>
      <c r="F539" s="25">
        <v>-47.642</v>
      </c>
      <c r="G539" s="20">
        <v>21</v>
      </c>
      <c r="H539" s="21">
        <v>1255</v>
      </c>
      <c r="I539" s="3"/>
      <c r="J539" s="13" t="s">
        <v>188</v>
      </c>
      <c r="K539" s="5" t="s">
        <v>182</v>
      </c>
      <c r="L539" s="3"/>
      <c r="M539" s="3">
        <v>8</v>
      </c>
      <c r="N539" s="13" t="s">
        <v>79</v>
      </c>
      <c r="O539" s="36" t="s">
        <v>80</v>
      </c>
      <c r="P539" s="7">
        <v>5.16</v>
      </c>
      <c r="Q539" s="3">
        <v>39</v>
      </c>
      <c r="R539" s="3">
        <v>3.4</v>
      </c>
      <c r="S539" s="13">
        <v>11.4705882352941</v>
      </c>
      <c r="T539" s="8">
        <v>25.1</v>
      </c>
      <c r="U539" s="8">
        <v>13.7</v>
      </c>
      <c r="V539" s="8">
        <v>61.2</v>
      </c>
      <c r="W539" s="3">
        <v>20</v>
      </c>
      <c r="X539" s="5" t="s">
        <v>91</v>
      </c>
      <c r="Y539" s="13" t="s">
        <v>82</v>
      </c>
      <c r="Z539" s="3">
        <v>15</v>
      </c>
      <c r="AA539" s="3">
        <v>15</v>
      </c>
      <c r="AB539" s="9">
        <v>-0.463297674753487</v>
      </c>
      <c r="AC539" s="9">
        <v>0.000682324238808404</v>
      </c>
      <c r="AD539" s="25">
        <v>-0.205079701701196</v>
      </c>
      <c r="AE539" s="25">
        <v>0.0001646026832268</v>
      </c>
      <c r="AF539" s="9">
        <v>0.258217973052291</v>
      </c>
      <c r="AG539" s="9">
        <v>0.000846926922035204</v>
      </c>
      <c r="AH539" s="25">
        <v>-0.485507815781701</v>
      </c>
      <c r="AI539" s="25">
        <v>0.00727659982467675</v>
      </c>
      <c r="AJ539" s="4">
        <v>0.0222101410282134</v>
      </c>
      <c r="AK539" s="4">
        <v>0.0079589240634851</v>
      </c>
      <c r="AL539" s="3">
        <v>0.280428114080505</v>
      </c>
      <c r="AM539" s="3">
        <v>0.00744120250790354</v>
      </c>
      <c r="AN539" s="4">
        <v>-0.029500664396698</v>
      </c>
      <c r="AO539" s="4">
        <v>0.00145121605706579</v>
      </c>
      <c r="AP539" s="3">
        <v>-0.75377180237638</v>
      </c>
      <c r="AQ539" s="3">
        <v>0.0120900014417532</v>
      </c>
      <c r="AR539" s="4"/>
      <c r="AS539" s="4"/>
      <c r="AT539" s="3"/>
      <c r="AU539" s="3"/>
      <c r="AV539" s="4"/>
      <c r="AW539" s="4"/>
      <c r="AX539" s="3"/>
      <c r="AY539" s="3"/>
      <c r="BF539" s="3">
        <v>-0.359340427524872</v>
      </c>
      <c r="BG539" s="3">
        <v>0.0876431488231925</v>
      </c>
      <c r="BH539" s="3">
        <v>-0.642778729151027</v>
      </c>
      <c r="BI539" s="3">
        <v>0.01843312950145</v>
      </c>
      <c r="BJ539" s="3">
        <v>0.0296317976063711</v>
      </c>
      <c r="BK539" s="3">
        <v>0.00113569307864399</v>
      </c>
      <c r="BT539" s="3">
        <v>0.993901334579079</v>
      </c>
      <c r="BU539" s="3">
        <v>0.00164609053497942</v>
      </c>
    </row>
    <row r="540" s="3" customFormat="1" spans="1:73">
      <c r="A540" s="4">
        <v>539</v>
      </c>
      <c r="B540" s="6">
        <v>88</v>
      </c>
      <c r="C540" s="24" t="s">
        <v>215</v>
      </c>
      <c r="D540" s="13" t="s">
        <v>324</v>
      </c>
      <c r="E540" s="25">
        <v>-22.701</v>
      </c>
      <c r="F540" s="25">
        <v>-47.642</v>
      </c>
      <c r="G540" s="20">
        <v>21</v>
      </c>
      <c r="H540" s="21">
        <v>1255</v>
      </c>
      <c r="I540" s="3"/>
      <c r="J540" s="13" t="s">
        <v>188</v>
      </c>
      <c r="K540" s="5" t="s">
        <v>182</v>
      </c>
      <c r="L540" s="3"/>
      <c r="M540" s="3">
        <v>8</v>
      </c>
      <c r="N540" s="13" t="s">
        <v>79</v>
      </c>
      <c r="O540" s="36" t="s">
        <v>80</v>
      </c>
      <c r="P540" s="7">
        <v>5.16</v>
      </c>
      <c r="Q540" s="3">
        <v>39</v>
      </c>
      <c r="R540" s="3">
        <v>3.4</v>
      </c>
      <c r="S540" s="13">
        <v>11.4705882352941</v>
      </c>
      <c r="T540" s="8">
        <v>25.1</v>
      </c>
      <c r="U540" s="8">
        <v>13.7</v>
      </c>
      <c r="V540" s="8">
        <v>61.2</v>
      </c>
      <c r="W540" s="3">
        <v>10</v>
      </c>
      <c r="X540" s="5" t="s">
        <v>91</v>
      </c>
      <c r="Y540" s="13" t="s">
        <v>82</v>
      </c>
      <c r="Z540" s="3">
        <v>15</v>
      </c>
      <c r="AA540" s="3">
        <v>15</v>
      </c>
      <c r="AB540" s="9">
        <v>-0.60099228847596</v>
      </c>
      <c r="AC540" s="9">
        <v>0.000500988648239799</v>
      </c>
      <c r="AD540" s="25">
        <v>-0.440291010937141</v>
      </c>
      <c r="AE540" s="25">
        <v>0.000263041005400842</v>
      </c>
      <c r="AF540" s="9">
        <v>0.160701277538819</v>
      </c>
      <c r="AG540" s="9">
        <v>0.000764029653640642</v>
      </c>
      <c r="AH540" s="25">
        <v>-0.528067430200497</v>
      </c>
      <c r="AI540" s="25">
        <v>0.0071669502412559</v>
      </c>
      <c r="AJ540" s="4">
        <v>-0.0729248582754636</v>
      </c>
      <c r="AK540" s="4">
        <v>0.00766793888949566</v>
      </c>
      <c r="AL540" s="3">
        <v>0.0877764192633564</v>
      </c>
      <c r="AM540" s="3">
        <v>0.00742999124665675</v>
      </c>
      <c r="AN540" s="4">
        <v>0.0889474860164961</v>
      </c>
      <c r="AO540" s="4">
        <v>0.000934221068031913</v>
      </c>
      <c r="AP540" s="3">
        <v>-1.12846525181779</v>
      </c>
      <c r="AQ540" s="3">
        <v>0.0185616784389983</v>
      </c>
      <c r="AR540" s="4"/>
      <c r="AS540" s="4"/>
      <c r="AT540" s="3"/>
      <c r="AU540" s="3"/>
      <c r="AV540" s="4"/>
      <c r="AW540" s="4"/>
      <c r="AX540" s="3"/>
      <c r="AY540" s="3"/>
      <c r="BF540" s="3">
        <v>-0.0548957217319172</v>
      </c>
      <c r="BG540" s="3">
        <v>0.0798063625392811</v>
      </c>
      <c r="BH540" s="3">
        <v>-1.13516120719822</v>
      </c>
      <c r="BI540" s="3">
        <v>0.0241060378066902</v>
      </c>
      <c r="BJ540" s="3">
        <v>0.165896677126554</v>
      </c>
      <c r="BK540" s="3">
        <v>0.0011184486041715</v>
      </c>
      <c r="BT540" s="3">
        <v>-0.405465108108164</v>
      </c>
      <c r="BU540" s="3">
        <v>0.00164609053497942</v>
      </c>
    </row>
    <row r="541" s="3" customFormat="1" spans="1:73">
      <c r="A541" s="4">
        <v>540</v>
      </c>
      <c r="B541" s="6">
        <v>88</v>
      </c>
      <c r="C541" s="24" t="s">
        <v>215</v>
      </c>
      <c r="D541" s="13" t="s">
        <v>324</v>
      </c>
      <c r="E541" s="25">
        <v>-22.701</v>
      </c>
      <c r="F541" s="25">
        <v>-47.642</v>
      </c>
      <c r="G541" s="20">
        <v>21</v>
      </c>
      <c r="H541" s="21">
        <v>1255</v>
      </c>
      <c r="I541" s="3"/>
      <c r="J541" s="13" t="s">
        <v>188</v>
      </c>
      <c r="K541" s="5" t="s">
        <v>182</v>
      </c>
      <c r="L541" s="3"/>
      <c r="M541" s="3">
        <v>8</v>
      </c>
      <c r="N541" s="13" t="s">
        <v>79</v>
      </c>
      <c r="O541" s="36" t="s">
        <v>80</v>
      </c>
      <c r="P541" s="7">
        <v>5.16</v>
      </c>
      <c r="Q541" s="3">
        <v>39</v>
      </c>
      <c r="R541" s="3">
        <v>3.4</v>
      </c>
      <c r="S541" s="13">
        <v>11.4705882352941</v>
      </c>
      <c r="T541" s="8">
        <v>25.1</v>
      </c>
      <c r="U541" s="8">
        <v>13.7</v>
      </c>
      <c r="V541" s="8">
        <v>61.2</v>
      </c>
      <c r="W541" s="3">
        <v>5</v>
      </c>
      <c r="X541" s="5" t="s">
        <v>81</v>
      </c>
      <c r="Y541" s="13" t="s">
        <v>82</v>
      </c>
      <c r="Z541" s="3">
        <v>15</v>
      </c>
      <c r="AA541" s="3">
        <v>15</v>
      </c>
      <c r="AB541" s="9">
        <v>-0.22660638878712</v>
      </c>
      <c r="AC541" s="9">
        <v>0.000322250483199208</v>
      </c>
      <c r="AD541" s="25">
        <v>-0.286468082007068</v>
      </c>
      <c r="AE541" s="25">
        <v>0.000178466538363949</v>
      </c>
      <c r="AF541" s="9">
        <v>-0.0598616932199467</v>
      </c>
      <c r="AG541" s="9">
        <v>0.000500717021563157</v>
      </c>
      <c r="AH541" s="25">
        <v>-0.719122666963206</v>
      </c>
      <c r="AI541" s="25">
        <v>0.00485584215565038</v>
      </c>
      <c r="AJ541" s="4">
        <v>0.492516278176085</v>
      </c>
      <c r="AK541" s="4">
        <v>0.00517809263884956</v>
      </c>
      <c r="AL541" s="3">
        <v>0.432654584956139</v>
      </c>
      <c r="AM541" s="3">
        <v>0.00503430869401434</v>
      </c>
      <c r="AN541" s="4">
        <v>0.0191944472561472</v>
      </c>
      <c r="AO541" s="4">
        <v>0.000952293292937008</v>
      </c>
      <c r="AP541" s="3">
        <v>-0.818310323513951</v>
      </c>
      <c r="AQ541" s="3">
        <v>0.0109314366269384</v>
      </c>
      <c r="AR541" s="4"/>
      <c r="AS541" s="4"/>
      <c r="AT541" s="3"/>
      <c r="AU541" s="3"/>
      <c r="AV541" s="4"/>
      <c r="AW541" s="4"/>
      <c r="AX541" s="3"/>
      <c r="AY541" s="3"/>
      <c r="BF541" s="3">
        <v>-0.90088210652131</v>
      </c>
      <c r="BG541" s="3">
        <v>0.0893762441747191</v>
      </c>
      <c r="BH541" s="3">
        <v>-1.92599024409346</v>
      </c>
      <c r="BI541" s="3">
        <v>0.0437162938336091</v>
      </c>
      <c r="BJ541" s="3">
        <v>0.172245904805213</v>
      </c>
      <c r="BK541" s="3">
        <v>0.000978839721219964</v>
      </c>
      <c r="BT541" s="3">
        <v>-0.9075570519054</v>
      </c>
      <c r="BU541" s="3">
        <v>0.00164609053497943</v>
      </c>
    </row>
    <row r="542" s="3" customFormat="1" spans="1:73">
      <c r="A542" s="4">
        <v>541</v>
      </c>
      <c r="B542" s="6">
        <v>88</v>
      </c>
      <c r="C542" s="24" t="s">
        <v>215</v>
      </c>
      <c r="D542" s="13" t="s">
        <v>324</v>
      </c>
      <c r="E542" s="25">
        <v>-22.701</v>
      </c>
      <c r="F542" s="25">
        <v>-47.642</v>
      </c>
      <c r="G542" s="20">
        <v>21</v>
      </c>
      <c r="H542" s="21">
        <v>1255</v>
      </c>
      <c r="I542" s="3"/>
      <c r="J542" s="13" t="s">
        <v>188</v>
      </c>
      <c r="K542" s="5" t="s">
        <v>182</v>
      </c>
      <c r="L542" s="3"/>
      <c r="M542" s="3">
        <v>1</v>
      </c>
      <c r="N542" s="13" t="s">
        <v>96</v>
      </c>
      <c r="O542" s="36" t="s">
        <v>80</v>
      </c>
      <c r="P542" s="7">
        <v>5.16</v>
      </c>
      <c r="Q542" s="3">
        <v>42</v>
      </c>
      <c r="R542" s="3">
        <v>3.9</v>
      </c>
      <c r="S542" s="13">
        <v>10.7692307692308</v>
      </c>
      <c r="T542" s="8">
        <v>25.1</v>
      </c>
      <c r="U542" s="8">
        <v>13.7</v>
      </c>
      <c r="V542" s="8">
        <v>61.2</v>
      </c>
      <c r="W542" s="3">
        <v>20</v>
      </c>
      <c r="X542" s="5" t="s">
        <v>91</v>
      </c>
      <c r="Y542" s="13" t="s">
        <v>82</v>
      </c>
      <c r="Z542" s="3">
        <v>15</v>
      </c>
      <c r="AA542" s="3">
        <v>15</v>
      </c>
      <c r="AB542" s="9">
        <v>-0.384197915398463</v>
      </c>
      <c r="AC542" s="9">
        <v>0.000506776269179202</v>
      </c>
      <c r="AD542" s="25">
        <v>-0.368230254752286</v>
      </c>
      <c r="AE542" s="25">
        <v>0.000314841312606365</v>
      </c>
      <c r="AF542" s="9">
        <v>0.0159676606461708</v>
      </c>
      <c r="AG542" s="9">
        <v>0.000821617581785571</v>
      </c>
      <c r="AH542" s="25">
        <v>-0.441832752279039</v>
      </c>
      <c r="AI542" s="25">
        <v>0.000926009477380106</v>
      </c>
      <c r="AJ542" s="4">
        <v>0.0576348368805756</v>
      </c>
      <c r="AK542" s="4">
        <v>0.00143278574655931</v>
      </c>
      <c r="AL542" s="3">
        <v>0.0736024975267533</v>
      </c>
      <c r="AM542" s="3">
        <v>0.00124085078998647</v>
      </c>
      <c r="AN542" s="4">
        <v>-0.029500664396698</v>
      </c>
      <c r="AO542" s="4">
        <v>0.00145121605706579</v>
      </c>
      <c r="AP542" s="3">
        <v>-0.955511445027436</v>
      </c>
      <c r="AQ542" s="3">
        <v>0.0100740740740741</v>
      </c>
      <c r="AR542" s="4"/>
      <c r="AS542" s="4"/>
      <c r="AT542" s="3"/>
      <c r="AU542" s="3"/>
      <c r="AV542" s="4"/>
      <c r="AW542" s="4"/>
      <c r="AX542" s="3"/>
      <c r="AY542" s="3"/>
      <c r="BF542" s="3">
        <v>-0.900548421750923</v>
      </c>
      <c r="BG542" s="3">
        <v>0.0382243269825809</v>
      </c>
      <c r="BH542" s="3">
        <v>-0.889857474806</v>
      </c>
      <c r="BI542" s="3">
        <v>0.0671946571634325</v>
      </c>
      <c r="BJ542" s="3">
        <v>0.0296317976063711</v>
      </c>
      <c r="BK542" s="3">
        <v>0.00113569307864399</v>
      </c>
      <c r="BT542" s="3">
        <v>0.393488917061449</v>
      </c>
      <c r="BU542" s="3">
        <v>0.00164609053497942</v>
      </c>
    </row>
    <row r="543" s="3" customFormat="1" spans="1:73">
      <c r="A543" s="4">
        <v>542</v>
      </c>
      <c r="B543" s="6">
        <v>88</v>
      </c>
      <c r="C543" s="24" t="s">
        <v>215</v>
      </c>
      <c r="D543" s="13" t="s">
        <v>324</v>
      </c>
      <c r="E543" s="25">
        <v>-22.701</v>
      </c>
      <c r="F543" s="25">
        <v>-47.642</v>
      </c>
      <c r="G543" s="20">
        <v>21</v>
      </c>
      <c r="H543" s="21">
        <v>1255</v>
      </c>
      <c r="I543" s="3"/>
      <c r="J543" s="13" t="s">
        <v>188</v>
      </c>
      <c r="K543" s="5" t="s">
        <v>182</v>
      </c>
      <c r="L543" s="3"/>
      <c r="M543" s="3">
        <v>1</v>
      </c>
      <c r="N543" s="13" t="s">
        <v>96</v>
      </c>
      <c r="O543" s="36" t="s">
        <v>80</v>
      </c>
      <c r="P543" s="7">
        <v>5.16</v>
      </c>
      <c r="Q543" s="3">
        <v>42</v>
      </c>
      <c r="R543" s="3">
        <v>3.9</v>
      </c>
      <c r="S543" s="13">
        <v>10.7692307692308</v>
      </c>
      <c r="T543" s="8">
        <v>25.1</v>
      </c>
      <c r="U543" s="8">
        <v>13.7</v>
      </c>
      <c r="V543" s="8">
        <v>61.2</v>
      </c>
      <c r="W543" s="3">
        <v>10</v>
      </c>
      <c r="X543" s="5" t="s">
        <v>91</v>
      </c>
      <c r="Y543" s="13" t="s">
        <v>82</v>
      </c>
      <c r="Z543" s="3">
        <v>15</v>
      </c>
      <c r="AA543" s="3">
        <v>15</v>
      </c>
      <c r="AB543" s="9">
        <v>-0.192292667517479</v>
      </c>
      <c r="AC543" s="9">
        <v>0.000493151813880617</v>
      </c>
      <c r="AD543" s="25">
        <v>-0.451451615462234</v>
      </c>
      <c r="AE543" s="25">
        <v>0.000238713267218465</v>
      </c>
      <c r="AF543" s="9">
        <v>-0.259158947944756</v>
      </c>
      <c r="AG543" s="9">
        <v>0.000731865081099081</v>
      </c>
      <c r="AH543" s="25">
        <v>-0.441832752279039</v>
      </c>
      <c r="AI543" s="25">
        <v>0.000926009477380106</v>
      </c>
      <c r="AJ543" s="4">
        <v>0.24954008476156</v>
      </c>
      <c r="AK543" s="4">
        <v>0.00141916129126072</v>
      </c>
      <c r="AL543" s="3">
        <v>-0.00961886318319551</v>
      </c>
      <c r="AM543" s="3">
        <v>0.00116472274459857</v>
      </c>
      <c r="AN543" s="4">
        <v>0.0889474860164961</v>
      </c>
      <c r="AO543" s="4">
        <v>0.000934221068031913</v>
      </c>
      <c r="AP543" s="3">
        <v>-0.890972923889865</v>
      </c>
      <c r="AQ543" s="3">
        <v>0.0115740740740741</v>
      </c>
      <c r="AR543" s="4"/>
      <c r="AS543" s="4"/>
      <c r="AT543" s="3"/>
      <c r="AU543" s="3"/>
      <c r="AV543" s="4"/>
      <c r="AW543" s="4"/>
      <c r="AX543" s="3"/>
      <c r="AY543" s="3"/>
      <c r="BF543" s="3">
        <v>-0.447351910821569</v>
      </c>
      <c r="BG543" s="3">
        <v>0.0375011834475327</v>
      </c>
      <c r="BH543" s="3">
        <v>-0.889857474806</v>
      </c>
      <c r="BI543" s="3">
        <v>0.0976017145043273</v>
      </c>
      <c r="BJ543" s="3">
        <v>0.165896677126554</v>
      </c>
      <c r="BK543" s="3">
        <v>0.0011184486041715</v>
      </c>
      <c r="BT543" s="3">
        <v>-0.693147180559945</v>
      </c>
      <c r="BU543" s="3">
        <v>0.00164609053497942</v>
      </c>
    </row>
    <row r="544" s="3" customFormat="1" spans="1:73">
      <c r="A544" s="4">
        <v>543</v>
      </c>
      <c r="B544" s="6">
        <v>88</v>
      </c>
      <c r="C544" s="24" t="s">
        <v>215</v>
      </c>
      <c r="D544" s="13" t="s">
        <v>324</v>
      </c>
      <c r="E544" s="25">
        <v>-22.701</v>
      </c>
      <c r="F544" s="25">
        <v>-47.642</v>
      </c>
      <c r="G544" s="20">
        <v>21</v>
      </c>
      <c r="H544" s="21">
        <v>1255</v>
      </c>
      <c r="I544" s="3"/>
      <c r="J544" s="13" t="s">
        <v>188</v>
      </c>
      <c r="K544" s="5" t="s">
        <v>182</v>
      </c>
      <c r="L544" s="3"/>
      <c r="M544" s="3">
        <v>1</v>
      </c>
      <c r="N544" s="13" t="s">
        <v>96</v>
      </c>
      <c r="O544" s="36" t="s">
        <v>80</v>
      </c>
      <c r="P544" s="7">
        <v>5.16</v>
      </c>
      <c r="Q544" s="3">
        <v>42</v>
      </c>
      <c r="R544" s="3">
        <v>3.9</v>
      </c>
      <c r="S544" s="13">
        <v>10.7692307692308</v>
      </c>
      <c r="T544" s="8">
        <v>25.1</v>
      </c>
      <c r="U544" s="8">
        <v>13.7</v>
      </c>
      <c r="V544" s="8">
        <v>61.2</v>
      </c>
      <c r="W544" s="3">
        <v>5</v>
      </c>
      <c r="X544" s="5" t="s">
        <v>81</v>
      </c>
      <c r="Y544" s="13" t="s">
        <v>82</v>
      </c>
      <c r="Z544" s="3">
        <v>15</v>
      </c>
      <c r="AA544" s="3">
        <v>15</v>
      </c>
      <c r="AB544" s="9">
        <v>0.0519641580391474</v>
      </c>
      <c r="AC544" s="9">
        <v>0.000307154849437938</v>
      </c>
      <c r="AD544" s="25">
        <v>-0.378185097981147</v>
      </c>
      <c r="AE544" s="25">
        <v>0.000122739541203219</v>
      </c>
      <c r="AF544" s="9">
        <v>-0.430149256020297</v>
      </c>
      <c r="AG544" s="9">
        <v>0.000429894390641155</v>
      </c>
      <c r="AH544" s="25">
        <v>-0.602175402354219</v>
      </c>
      <c r="AI544" s="25">
        <v>0.000926009477380106</v>
      </c>
      <c r="AJ544" s="4">
        <v>0.654139560393364</v>
      </c>
      <c r="AK544" s="4">
        <v>0.00123316432681805</v>
      </c>
      <c r="AL544" s="3">
        <v>0.223990304373071</v>
      </c>
      <c r="AM544" s="3">
        <v>0.00104874901858332</v>
      </c>
      <c r="AN544" s="4">
        <v>0.0191944472561472</v>
      </c>
      <c r="AO544" s="4">
        <v>0.000952293292937008</v>
      </c>
      <c r="AP544" s="3">
        <v>-1.02450431651439</v>
      </c>
      <c r="AQ544" s="3">
        <v>0.00876795162509448</v>
      </c>
      <c r="AR544" s="4"/>
      <c r="AS544" s="4"/>
      <c r="AT544" s="3"/>
      <c r="AU544" s="3"/>
      <c r="AV544" s="4"/>
      <c r="AW544" s="4"/>
      <c r="AX544" s="3"/>
      <c r="AY544" s="3"/>
      <c r="BF544" s="3">
        <v>-0.415187136850868</v>
      </c>
      <c r="BG544" s="3">
        <v>0.0420836431372905</v>
      </c>
      <c r="BH544" s="3">
        <v>-1.13497993283898</v>
      </c>
      <c r="BI544" s="3">
        <v>0.0433447656840514</v>
      </c>
      <c r="BJ544" s="3">
        <v>0.172245904805213</v>
      </c>
      <c r="BK544" s="3">
        <v>0.000978839721219964</v>
      </c>
      <c r="BT544" s="3">
        <v>-1.19213834667893</v>
      </c>
      <c r="BU544" s="3">
        <v>0.00164609053497942</v>
      </c>
    </row>
    <row r="545" s="3" customFormat="1" spans="1:51">
      <c r="A545" s="4">
        <v>544</v>
      </c>
      <c r="B545" s="18">
        <v>65</v>
      </c>
      <c r="C545" s="19" t="s">
        <v>283</v>
      </c>
      <c r="D545" s="5" t="s">
        <v>284</v>
      </c>
      <c r="E545" s="9">
        <v>19.15</v>
      </c>
      <c r="F545" s="9">
        <v>-96.95</v>
      </c>
      <c r="G545" s="20">
        <v>17.7</v>
      </c>
      <c r="H545" s="21">
        <v>1700</v>
      </c>
      <c r="I545" s="3"/>
      <c r="J545" s="13" t="s">
        <v>185</v>
      </c>
      <c r="K545" s="5" t="s">
        <v>182</v>
      </c>
      <c r="L545" s="4"/>
      <c r="M545" s="4"/>
      <c r="N545" s="4"/>
      <c r="O545" s="36" t="s">
        <v>80</v>
      </c>
      <c r="P545" s="12"/>
      <c r="Q545" s="12"/>
      <c r="R545" s="12"/>
      <c r="S545" s="13"/>
      <c r="T545" s="21">
        <v>23</v>
      </c>
      <c r="U545" s="21">
        <v>18</v>
      </c>
      <c r="V545" s="21">
        <v>59</v>
      </c>
      <c r="W545" s="3">
        <v>7.5</v>
      </c>
      <c r="X545" s="5" t="s">
        <v>91</v>
      </c>
      <c r="Y545" s="5" t="s">
        <v>82</v>
      </c>
      <c r="Z545" s="4">
        <v>8</v>
      </c>
      <c r="AA545" s="4">
        <v>8</v>
      </c>
      <c r="AB545" s="9">
        <v>-0.0292647900558939</v>
      </c>
      <c r="AC545" s="9">
        <v>0.0152823998269266</v>
      </c>
      <c r="AD545" s="25"/>
      <c r="AE545" s="25"/>
      <c r="AF545" s="9"/>
      <c r="AG545" s="9"/>
      <c r="AH545" s="25">
        <v>-0.0575521478495912</v>
      </c>
      <c r="AI545" s="25">
        <v>0.0106343388564548</v>
      </c>
      <c r="AJ545" s="4">
        <v>0.0282873577936966</v>
      </c>
      <c r="AK545" s="4">
        <v>0.0259167386833815</v>
      </c>
      <c r="AL545" s="3"/>
      <c r="AM545" s="3"/>
      <c r="AN545" s="4"/>
      <c r="AO545" s="4"/>
      <c r="AP545" s="3"/>
      <c r="AQ545" s="3"/>
      <c r="AR545" s="4"/>
      <c r="AS545" s="4"/>
      <c r="AT545" s="3"/>
      <c r="AU545" s="3"/>
      <c r="AV545" s="4"/>
      <c r="AW545" s="4"/>
      <c r="AX545" s="3">
        <v>0.268263986594681</v>
      </c>
      <c r="AY545" s="3">
        <v>0.01936660126643</v>
      </c>
    </row>
    <row r="546" s="3" customFormat="1" spans="1:51">
      <c r="A546" s="4">
        <v>545</v>
      </c>
      <c r="B546" s="18">
        <v>65</v>
      </c>
      <c r="C546" s="19" t="s">
        <v>283</v>
      </c>
      <c r="D546" s="5" t="s">
        <v>285</v>
      </c>
      <c r="E546" s="9">
        <v>19.15</v>
      </c>
      <c r="F546" s="9">
        <v>-96.95</v>
      </c>
      <c r="G546" s="20">
        <v>17.7</v>
      </c>
      <c r="H546" s="21">
        <v>1700</v>
      </c>
      <c r="I546" s="3"/>
      <c r="J546" s="13" t="s">
        <v>181</v>
      </c>
      <c r="K546" s="5" t="s">
        <v>182</v>
      </c>
      <c r="L546" s="4"/>
      <c r="M546" s="4"/>
      <c r="N546" s="4"/>
      <c r="O546" s="36" t="s">
        <v>80</v>
      </c>
      <c r="P546" s="12"/>
      <c r="Q546" s="12"/>
      <c r="R546" s="12"/>
      <c r="S546" s="13"/>
      <c r="T546" s="21">
        <v>23</v>
      </c>
      <c r="U546" s="21">
        <v>18</v>
      </c>
      <c r="V546" s="21">
        <v>59</v>
      </c>
      <c r="W546" s="3">
        <v>7.5</v>
      </c>
      <c r="X546" s="5" t="s">
        <v>91</v>
      </c>
      <c r="Y546" s="5" t="s">
        <v>82</v>
      </c>
      <c r="Z546" s="4">
        <v>8</v>
      </c>
      <c r="AA546" s="4">
        <v>8</v>
      </c>
      <c r="AB546" s="9">
        <v>-0.684505201666696</v>
      </c>
      <c r="AC546" s="9">
        <v>0.0101826402755927</v>
      </c>
      <c r="AD546" s="25"/>
      <c r="AE546" s="25"/>
      <c r="AF546" s="9"/>
      <c r="AG546" s="9"/>
      <c r="AH546" s="25">
        <v>-0.437275487224615</v>
      </c>
      <c r="AI546" s="25">
        <v>0.00851971047680357</v>
      </c>
      <c r="AJ546" s="4">
        <v>-0.247229714442082</v>
      </c>
      <c r="AK546" s="4">
        <v>0.0187023507523963</v>
      </c>
      <c r="AL546" s="3"/>
      <c r="AM546" s="3"/>
      <c r="AN546" s="4"/>
      <c r="AO546" s="4"/>
      <c r="AP546" s="3"/>
      <c r="AQ546" s="3"/>
      <c r="AR546" s="4"/>
      <c r="AS546" s="4"/>
      <c r="AT546" s="3"/>
      <c r="AU546" s="3"/>
      <c r="AV546" s="4"/>
      <c r="AW546" s="4"/>
      <c r="AX546" s="3">
        <v>0.600397821617295</v>
      </c>
      <c r="AY546" s="3">
        <v>0.0257286286802543</v>
      </c>
    </row>
    <row r="547" s="4" customFormat="1" spans="1:75">
      <c r="A547" s="4">
        <v>546</v>
      </c>
      <c r="B547" s="18">
        <v>89</v>
      </c>
      <c r="C547" s="5" t="s">
        <v>179</v>
      </c>
      <c r="D547" s="5" t="s">
        <v>325</v>
      </c>
      <c r="E547" s="9">
        <v>-22.59</v>
      </c>
      <c r="F547" s="9">
        <v>-44</v>
      </c>
      <c r="G547" s="20">
        <v>22.14</v>
      </c>
      <c r="H547" s="21">
        <v>57.5</v>
      </c>
      <c r="I547" s="4"/>
      <c r="J547" s="13" t="s">
        <v>185</v>
      </c>
      <c r="K547" s="5" t="s">
        <v>182</v>
      </c>
      <c r="L547" s="4">
        <v>2009</v>
      </c>
      <c r="M547" s="4">
        <v>6</v>
      </c>
      <c r="N547" s="5" t="s">
        <v>79</v>
      </c>
      <c r="O547" s="36" t="s">
        <v>80</v>
      </c>
      <c r="P547" s="20"/>
      <c r="Q547" s="5"/>
      <c r="R547" s="5"/>
      <c r="S547" s="13">
        <v>0</v>
      </c>
      <c r="T547" s="21">
        <v>36</v>
      </c>
      <c r="U547" s="21">
        <v>23</v>
      </c>
      <c r="V547" s="21">
        <v>41</v>
      </c>
      <c r="W547" s="4"/>
      <c r="X547" s="4"/>
      <c r="Y547" s="5" t="s">
        <v>82</v>
      </c>
      <c r="Z547" s="4">
        <v>3</v>
      </c>
      <c r="AA547" s="4">
        <v>3</v>
      </c>
      <c r="AB547" s="9">
        <v>0.25808160267549</v>
      </c>
      <c r="AC547" s="9">
        <v>0.000256361683990304</v>
      </c>
      <c r="AD547" s="9">
        <v>-0.0345523815066597</v>
      </c>
      <c r="AE547" s="9">
        <v>0.00533448946951657</v>
      </c>
      <c r="AF547" s="9">
        <v>-0.292633984182149</v>
      </c>
      <c r="AG547" s="9">
        <v>0.00559085115350686</v>
      </c>
      <c r="AH547" s="9"/>
      <c r="AI547" s="9"/>
      <c r="AJ547" s="4"/>
      <c r="AK547" s="4"/>
      <c r="AL547" s="4"/>
      <c r="AM547" s="4"/>
      <c r="AN547" s="4"/>
      <c r="AO547" s="4"/>
      <c r="AP547" s="4"/>
      <c r="AQ547" s="4"/>
      <c r="AR547" s="4"/>
      <c r="AS547" s="4"/>
      <c r="AT547" s="4"/>
      <c r="AU547" s="4"/>
      <c r="AV547" s="4"/>
      <c r="AW547" s="4"/>
      <c r="AX547" s="4">
        <v>0.0991876565507494</v>
      </c>
      <c r="AY547" s="4">
        <v>0.0157872787825888</v>
      </c>
      <c r="BT547" s="4">
        <v>1.18478998490916</v>
      </c>
      <c r="BU547" s="4">
        <v>0.00823045267489714</v>
      </c>
      <c r="BV547" s="4">
        <v>-0.845163387858571</v>
      </c>
      <c r="BW547" s="4">
        <v>0.00823045267489711</v>
      </c>
    </row>
    <row r="548" s="4" customFormat="1" spans="1:75">
      <c r="A548" s="4">
        <v>547</v>
      </c>
      <c r="B548" s="18">
        <v>89</v>
      </c>
      <c r="C548" s="5" t="s">
        <v>179</v>
      </c>
      <c r="D548" s="5" t="s">
        <v>325</v>
      </c>
      <c r="E548" s="9">
        <v>-22.59</v>
      </c>
      <c r="F548" s="9">
        <v>-44</v>
      </c>
      <c r="G548" s="20">
        <v>22.14</v>
      </c>
      <c r="H548" s="21">
        <v>57.5</v>
      </c>
      <c r="I548" s="4"/>
      <c r="J548" s="13" t="s">
        <v>181</v>
      </c>
      <c r="K548" s="5" t="s">
        <v>182</v>
      </c>
      <c r="L548" s="4">
        <v>2009</v>
      </c>
      <c r="M548" s="4">
        <v>6</v>
      </c>
      <c r="N548" s="5" t="s">
        <v>79</v>
      </c>
      <c r="O548" s="36" t="s">
        <v>80</v>
      </c>
      <c r="P548" s="20"/>
      <c r="Q548" s="5"/>
      <c r="R548" s="5"/>
      <c r="S548" s="13">
        <v>0</v>
      </c>
      <c r="T548" s="21">
        <v>36</v>
      </c>
      <c r="U548" s="21">
        <v>23</v>
      </c>
      <c r="V548" s="21">
        <v>41</v>
      </c>
      <c r="W548" s="4"/>
      <c r="X548" s="4"/>
      <c r="Y548" s="5" t="s">
        <v>82</v>
      </c>
      <c r="Z548" s="4">
        <v>3</v>
      </c>
      <c r="AA548" s="4">
        <v>3</v>
      </c>
      <c r="AB548" s="9">
        <v>-0.405465108108164</v>
      </c>
      <c r="AC548" s="9">
        <v>0.000256361683990305</v>
      </c>
      <c r="AD548" s="9">
        <v>-0.616885195726315</v>
      </c>
      <c r="AE548" s="9">
        <v>0.0053344894695166</v>
      </c>
      <c r="AF548" s="9">
        <v>-0.211420087618151</v>
      </c>
      <c r="AG548" s="9">
        <v>0.0055908511535069</v>
      </c>
      <c r="AH548" s="9"/>
      <c r="AI548" s="9"/>
      <c r="AJ548" s="4"/>
      <c r="AK548" s="4"/>
      <c r="AL548" s="4"/>
      <c r="AM548" s="4"/>
      <c r="AN548" s="4"/>
      <c r="AO548" s="4"/>
      <c r="AP548" s="4"/>
      <c r="AQ548" s="4"/>
      <c r="AR548" s="4"/>
      <c r="AS548" s="4"/>
      <c r="AT548" s="4"/>
      <c r="AU548" s="4"/>
      <c r="AV548" s="4"/>
      <c r="AW548" s="4"/>
      <c r="AX548" s="4">
        <v>0.513678692748394</v>
      </c>
      <c r="AY548" s="4">
        <v>0.0110000835514541</v>
      </c>
      <c r="BT548" s="4">
        <v>0.527092596229863</v>
      </c>
      <c r="BU548" s="4">
        <v>0.00823045267489712</v>
      </c>
      <c r="BV548" s="4">
        <v>0.137529798591218</v>
      </c>
      <c r="BW548" s="4">
        <v>0.00823045267489711</v>
      </c>
    </row>
    <row r="549" s="4" customFormat="1" spans="1:75">
      <c r="A549" s="4">
        <v>548</v>
      </c>
      <c r="B549" s="18">
        <v>89</v>
      </c>
      <c r="C549" s="5" t="s">
        <v>179</v>
      </c>
      <c r="D549" s="5" t="s">
        <v>325</v>
      </c>
      <c r="E549" s="9">
        <v>-22.59</v>
      </c>
      <c r="F549" s="9">
        <v>-44</v>
      </c>
      <c r="G549" s="20">
        <v>22.14</v>
      </c>
      <c r="H549" s="21">
        <v>57.5</v>
      </c>
      <c r="I549" s="4"/>
      <c r="J549" s="13" t="s">
        <v>181</v>
      </c>
      <c r="K549" s="5" t="s">
        <v>182</v>
      </c>
      <c r="L549" s="4">
        <v>2009</v>
      </c>
      <c r="M549" s="4">
        <v>6</v>
      </c>
      <c r="N549" s="5" t="s">
        <v>79</v>
      </c>
      <c r="O549" s="36" t="s">
        <v>80</v>
      </c>
      <c r="P549" s="20"/>
      <c r="Q549" s="5"/>
      <c r="R549" s="5"/>
      <c r="S549" s="13">
        <v>0</v>
      </c>
      <c r="T549" s="21">
        <v>36</v>
      </c>
      <c r="U549" s="21">
        <v>23</v>
      </c>
      <c r="V549" s="21">
        <v>41</v>
      </c>
      <c r="W549" s="4"/>
      <c r="X549" s="4"/>
      <c r="Y549" s="5" t="s">
        <v>82</v>
      </c>
      <c r="Z549" s="4">
        <v>3</v>
      </c>
      <c r="AA549" s="4">
        <v>3</v>
      </c>
      <c r="AB549" s="9">
        <v>-0.280301965154158</v>
      </c>
      <c r="AC549" s="9">
        <v>0.000256361683990305</v>
      </c>
      <c r="AD549" s="9">
        <v>-0.826139634879858</v>
      </c>
      <c r="AE549" s="9">
        <v>0.00533448946951657</v>
      </c>
      <c r="AF549" s="9">
        <v>-0.545837669725699</v>
      </c>
      <c r="AG549" s="9">
        <v>0.00559085115350687</v>
      </c>
      <c r="AH549" s="9"/>
      <c r="AI549" s="9"/>
      <c r="AJ549" s="4"/>
      <c r="AK549" s="4"/>
      <c r="AL549" s="4"/>
      <c r="AM549" s="4"/>
      <c r="AN549" s="4"/>
      <c r="AO549" s="4"/>
      <c r="AP549" s="4"/>
      <c r="AQ549" s="4"/>
      <c r="AR549" s="4"/>
      <c r="AS549" s="4"/>
      <c r="AT549" s="4"/>
      <c r="AU549" s="4"/>
      <c r="AV549" s="4"/>
      <c r="AW549" s="4"/>
      <c r="AX549" s="4">
        <v>0.449140171610823</v>
      </c>
      <c r="AY549" s="4">
        <v>0.0125000835514541</v>
      </c>
      <c r="BT549" s="4">
        <v>-0.397496938458987</v>
      </c>
      <c r="BU549" s="4">
        <v>0.00823045267489712</v>
      </c>
      <c r="BV549" s="4">
        <v>0.0377403279828471</v>
      </c>
      <c r="BW549" s="4">
        <v>0.0082304526748971</v>
      </c>
    </row>
    <row r="550" s="4" customFormat="1" spans="1:75">
      <c r="A550" s="4">
        <v>549</v>
      </c>
      <c r="B550" s="18">
        <v>89</v>
      </c>
      <c r="C550" s="5" t="s">
        <v>179</v>
      </c>
      <c r="D550" s="5" t="s">
        <v>325</v>
      </c>
      <c r="E550" s="9">
        <v>-22.59</v>
      </c>
      <c r="F550" s="9">
        <v>-44</v>
      </c>
      <c r="G550" s="20">
        <v>22.14</v>
      </c>
      <c r="H550" s="21">
        <v>57.5</v>
      </c>
      <c r="I550" s="4"/>
      <c r="J550" s="13" t="s">
        <v>185</v>
      </c>
      <c r="K550" s="5" t="s">
        <v>182</v>
      </c>
      <c r="L550" s="4">
        <v>2010</v>
      </c>
      <c r="M550" s="4">
        <v>6</v>
      </c>
      <c r="N550" s="5" t="s">
        <v>79</v>
      </c>
      <c r="O550" s="36" t="s">
        <v>80</v>
      </c>
      <c r="P550" s="20"/>
      <c r="Q550" s="5"/>
      <c r="R550" s="5"/>
      <c r="S550" s="13">
        <v>0</v>
      </c>
      <c r="T550" s="21">
        <v>36</v>
      </c>
      <c r="U550" s="21">
        <v>23</v>
      </c>
      <c r="V550" s="21">
        <v>41</v>
      </c>
      <c r="W550" s="4"/>
      <c r="X550" s="4"/>
      <c r="Y550" s="5" t="s">
        <v>82</v>
      </c>
      <c r="Z550" s="4">
        <v>3</v>
      </c>
      <c r="AA550" s="4">
        <v>3</v>
      </c>
      <c r="AB550" s="9">
        <v>0.65756724812732</v>
      </c>
      <c r="AC550" s="9">
        <v>0.000256361683990306</v>
      </c>
      <c r="AD550" s="9">
        <v>-0.812335697825064</v>
      </c>
      <c r="AE550" s="9">
        <v>0.00533448946951657</v>
      </c>
      <c r="AF550" s="9">
        <v>-1.46990294595238</v>
      </c>
      <c r="AG550" s="9">
        <v>0.00559085115350686</v>
      </c>
      <c r="AH550" s="9"/>
      <c r="AI550" s="9"/>
      <c r="AJ550" s="4"/>
      <c r="AK550" s="4"/>
      <c r="AL550" s="4"/>
      <c r="AM550" s="4"/>
      <c r="AN550" s="4"/>
      <c r="AO550" s="4"/>
      <c r="AP550" s="4"/>
      <c r="AQ550" s="4"/>
      <c r="AR550" s="4"/>
      <c r="AS550" s="4"/>
      <c r="AT550" s="4"/>
      <c r="AU550" s="4"/>
      <c r="AV550" s="4"/>
      <c r="AW550" s="4"/>
      <c r="AX550" s="4">
        <v>0.422328914160165</v>
      </c>
      <c r="AY550" s="4">
        <v>0.00969396110247455</v>
      </c>
      <c r="BT550" s="4">
        <v>0.879099703548075</v>
      </c>
      <c r="BU550" s="4">
        <v>0.00823045267489711</v>
      </c>
      <c r="BV550" s="4">
        <v>-0.826678573184468</v>
      </c>
      <c r="BW550" s="4">
        <v>0.0082304526748971</v>
      </c>
    </row>
    <row r="551" s="4" customFormat="1" spans="1:75">
      <c r="A551" s="4">
        <v>550</v>
      </c>
      <c r="B551" s="18">
        <v>89</v>
      </c>
      <c r="C551" s="5" t="s">
        <v>179</v>
      </c>
      <c r="D551" s="5" t="s">
        <v>325</v>
      </c>
      <c r="E551" s="9">
        <v>-22.59</v>
      </c>
      <c r="F551" s="9">
        <v>-44</v>
      </c>
      <c r="G551" s="20">
        <v>22.14</v>
      </c>
      <c r="H551" s="21">
        <v>57.5</v>
      </c>
      <c r="I551" s="4"/>
      <c r="J551" s="13" t="s">
        <v>181</v>
      </c>
      <c r="K551" s="5" t="s">
        <v>182</v>
      </c>
      <c r="L551" s="4">
        <v>2010</v>
      </c>
      <c r="M551" s="4">
        <v>6</v>
      </c>
      <c r="N551" s="5" t="s">
        <v>79</v>
      </c>
      <c r="O551" s="36" t="s">
        <v>80</v>
      </c>
      <c r="P551" s="20"/>
      <c r="Q551" s="5"/>
      <c r="R551" s="5"/>
      <c r="S551" s="13">
        <v>0</v>
      </c>
      <c r="T551" s="21">
        <v>36</v>
      </c>
      <c r="U551" s="21">
        <v>23</v>
      </c>
      <c r="V551" s="21">
        <v>41</v>
      </c>
      <c r="W551" s="4"/>
      <c r="X551" s="4"/>
      <c r="Y551" s="5" t="s">
        <v>82</v>
      </c>
      <c r="Z551" s="4">
        <v>3</v>
      </c>
      <c r="AA551" s="4">
        <v>3</v>
      </c>
      <c r="AB551" s="9">
        <v>-0.274596832903126</v>
      </c>
      <c r="AC551" s="9">
        <v>0.000256361683990305</v>
      </c>
      <c r="AD551" s="9">
        <v>-0.693147180559945</v>
      </c>
      <c r="AE551" s="9">
        <v>0.00533448946951656</v>
      </c>
      <c r="AF551" s="9">
        <v>-0.41855034765682</v>
      </c>
      <c r="AG551" s="9">
        <v>0.00559085115350686</v>
      </c>
      <c r="AH551" s="9"/>
      <c r="AI551" s="9"/>
      <c r="AJ551" s="4"/>
      <c r="AK551" s="4"/>
      <c r="AL551" s="4"/>
      <c r="AM551" s="4"/>
      <c r="AN551" s="4"/>
      <c r="AO551" s="4"/>
      <c r="AP551" s="4"/>
      <c r="AQ551" s="4"/>
      <c r="AR551" s="4"/>
      <c r="AS551" s="4"/>
      <c r="AT551" s="4"/>
      <c r="AU551" s="4"/>
      <c r="AV551" s="4"/>
      <c r="AW551" s="4"/>
      <c r="AX551" s="4"/>
      <c r="AY551" s="4"/>
      <c r="BT551" s="4">
        <v>0.474457979595116</v>
      </c>
      <c r="BU551" s="4">
        <v>0.00823045267489712</v>
      </c>
      <c r="BV551" s="4">
        <v>-0.543207033269031</v>
      </c>
      <c r="BW551" s="4">
        <v>0.00823045267489713</v>
      </c>
    </row>
    <row r="552" s="4" customFormat="1" spans="1:75">
      <c r="A552" s="4">
        <v>551</v>
      </c>
      <c r="B552" s="18">
        <v>89</v>
      </c>
      <c r="C552" s="5" t="s">
        <v>179</v>
      </c>
      <c r="D552" s="5" t="s">
        <v>325</v>
      </c>
      <c r="E552" s="9">
        <v>-22.59</v>
      </c>
      <c r="F552" s="9">
        <v>-44</v>
      </c>
      <c r="G552" s="20">
        <v>22.14</v>
      </c>
      <c r="H552" s="21">
        <v>57.5</v>
      </c>
      <c r="I552" s="4"/>
      <c r="J552" s="13" t="s">
        <v>181</v>
      </c>
      <c r="K552" s="5" t="s">
        <v>182</v>
      </c>
      <c r="L552" s="4">
        <v>2010</v>
      </c>
      <c r="M552" s="4">
        <v>6</v>
      </c>
      <c r="N552" s="5" t="s">
        <v>79</v>
      </c>
      <c r="O552" s="36" t="s">
        <v>80</v>
      </c>
      <c r="P552" s="20"/>
      <c r="Q552" s="5"/>
      <c r="R552" s="5"/>
      <c r="S552" s="13">
        <v>0</v>
      </c>
      <c r="T552" s="21">
        <v>36</v>
      </c>
      <c r="U552" s="21">
        <v>23</v>
      </c>
      <c r="V552" s="21">
        <v>41</v>
      </c>
      <c r="W552" s="4"/>
      <c r="X552" s="4"/>
      <c r="Y552" s="5" t="s">
        <v>82</v>
      </c>
      <c r="Z552" s="4">
        <v>3</v>
      </c>
      <c r="AA552" s="4">
        <v>3</v>
      </c>
      <c r="AB552" s="9">
        <v>-0.0823249452560028</v>
      </c>
      <c r="AC552" s="9">
        <v>0.000256361683990305</v>
      </c>
      <c r="AD552" s="9">
        <v>-0.812335697825064</v>
      </c>
      <c r="AE552" s="9">
        <v>0.00533448946951657</v>
      </c>
      <c r="AF552" s="9">
        <v>-0.73001075256906</v>
      </c>
      <c r="AG552" s="9">
        <v>0.00559085115350687</v>
      </c>
      <c r="AH552" s="9"/>
      <c r="AI552" s="9"/>
      <c r="AJ552" s="4"/>
      <c r="AK552" s="4"/>
      <c r="AL552" s="4"/>
      <c r="AM552" s="4"/>
      <c r="AN552" s="4"/>
      <c r="AO552" s="4"/>
      <c r="AP552" s="4"/>
      <c r="AQ552" s="4"/>
      <c r="AR552" s="4"/>
      <c r="AS552" s="4"/>
      <c r="AT552" s="4"/>
      <c r="AU552" s="4"/>
      <c r="AV552" s="4"/>
      <c r="AW552" s="4"/>
      <c r="AX552" s="4"/>
      <c r="AY552" s="4"/>
      <c r="BT552" s="4">
        <v>-0.616774201775371</v>
      </c>
      <c r="BU552" s="4">
        <v>0.00823045267489711</v>
      </c>
      <c r="BV552" s="4">
        <v>0.0289875368732522</v>
      </c>
      <c r="BW552" s="4">
        <v>0.00823045267489711</v>
      </c>
    </row>
    <row r="553" s="4" customFormat="1" spans="1:75">
      <c r="A553" s="4">
        <v>552</v>
      </c>
      <c r="B553" s="18">
        <v>89</v>
      </c>
      <c r="C553" s="5" t="s">
        <v>179</v>
      </c>
      <c r="D553" s="5" t="s">
        <v>325</v>
      </c>
      <c r="E553" s="9">
        <v>-22.59</v>
      </c>
      <c r="F553" s="9">
        <v>-44</v>
      </c>
      <c r="G553" s="20">
        <v>22.14</v>
      </c>
      <c r="H553" s="21">
        <v>57.5</v>
      </c>
      <c r="I553" s="4"/>
      <c r="J553" s="13" t="s">
        <v>185</v>
      </c>
      <c r="K553" s="5" t="s">
        <v>182</v>
      </c>
      <c r="L553" s="4">
        <v>2009</v>
      </c>
      <c r="M553" s="4">
        <v>6</v>
      </c>
      <c r="N553" s="5" t="s">
        <v>79</v>
      </c>
      <c r="O553" s="36" t="s">
        <v>80</v>
      </c>
      <c r="P553" s="20"/>
      <c r="Q553" s="5"/>
      <c r="R553" s="5"/>
      <c r="S553" s="13">
        <v>0</v>
      </c>
      <c r="T553" s="21">
        <v>36</v>
      </c>
      <c r="U553" s="21">
        <v>23</v>
      </c>
      <c r="V553" s="21">
        <v>41</v>
      </c>
      <c r="W553" s="4"/>
      <c r="X553" s="4"/>
      <c r="Y553" s="5" t="s">
        <v>82</v>
      </c>
      <c r="Z553" s="4">
        <v>3</v>
      </c>
      <c r="AA553" s="4">
        <v>3</v>
      </c>
      <c r="AB553" s="9">
        <v>-0.145529936783351</v>
      </c>
      <c r="AC553" s="9">
        <v>0.000256361683990304</v>
      </c>
      <c r="AD553" s="9">
        <v>-0.309894477722865</v>
      </c>
      <c r="AE553" s="9">
        <v>0.00533448946951657</v>
      </c>
      <c r="AF553" s="9">
        <v>-0.164364540939513</v>
      </c>
      <c r="AG553" s="9">
        <v>0.00559085115350686</v>
      </c>
      <c r="AH553" s="9"/>
      <c r="AI553" s="9"/>
      <c r="AJ553" s="4"/>
      <c r="AK553" s="4"/>
      <c r="AL553" s="4"/>
      <c r="AM553" s="4"/>
      <c r="AN553" s="4"/>
      <c r="AO553" s="4"/>
      <c r="AP553" s="4"/>
      <c r="AQ553" s="4"/>
      <c r="AR553" s="4"/>
      <c r="AS553" s="4"/>
      <c r="AT553" s="4"/>
      <c r="AU553" s="4"/>
      <c r="AV553" s="4"/>
      <c r="AW553" s="4"/>
      <c r="AX553" s="4"/>
      <c r="AY553" s="4"/>
      <c r="BT553" s="4">
        <v>0.5077721862791</v>
      </c>
      <c r="BU553" s="4">
        <v>0.00823045267489711</v>
      </c>
      <c r="BV553" s="4">
        <v>-0.751134438210295</v>
      </c>
      <c r="BW553" s="4">
        <v>0.00823045267489713</v>
      </c>
    </row>
    <row r="554" s="4" customFormat="1" spans="1:75">
      <c r="A554" s="4">
        <v>553</v>
      </c>
      <c r="B554" s="18">
        <v>89</v>
      </c>
      <c r="C554" s="5" t="s">
        <v>179</v>
      </c>
      <c r="D554" s="5" t="s">
        <v>325</v>
      </c>
      <c r="E554" s="9">
        <v>-22.59</v>
      </c>
      <c r="F554" s="9">
        <v>-44</v>
      </c>
      <c r="G554" s="20">
        <v>22.14</v>
      </c>
      <c r="H554" s="21">
        <v>57.5</v>
      </c>
      <c r="I554" s="4"/>
      <c r="J554" s="13" t="s">
        <v>181</v>
      </c>
      <c r="K554" s="5" t="s">
        <v>182</v>
      </c>
      <c r="L554" s="4">
        <v>2009</v>
      </c>
      <c r="M554" s="4">
        <v>6</v>
      </c>
      <c r="N554" s="5" t="s">
        <v>79</v>
      </c>
      <c r="O554" s="36" t="s">
        <v>80</v>
      </c>
      <c r="P554" s="20"/>
      <c r="Q554" s="5"/>
      <c r="R554" s="5"/>
      <c r="S554" s="13">
        <v>0</v>
      </c>
      <c r="T554" s="21">
        <v>36</v>
      </c>
      <c r="U554" s="21">
        <v>23</v>
      </c>
      <c r="V554" s="21">
        <v>41</v>
      </c>
      <c r="W554" s="4"/>
      <c r="X554" s="4"/>
      <c r="Y554" s="5" t="s">
        <v>82</v>
      </c>
      <c r="Z554" s="4">
        <v>3</v>
      </c>
      <c r="AA554" s="4">
        <v>3</v>
      </c>
      <c r="AB554" s="9">
        <v>-0.809076647567006</v>
      </c>
      <c r="AC554" s="9">
        <v>0.000256361683990305</v>
      </c>
      <c r="AD554" s="9">
        <v>-0.89222729194252</v>
      </c>
      <c r="AE554" s="9">
        <v>0.00533448946951659</v>
      </c>
      <c r="AF554" s="9">
        <v>-0.0831506443755145</v>
      </c>
      <c r="AG554" s="9">
        <v>0.0055908511535069</v>
      </c>
      <c r="AH554" s="9"/>
      <c r="AI554" s="9"/>
      <c r="AJ554" s="4"/>
      <c r="AK554" s="4"/>
      <c r="AL554" s="4"/>
      <c r="AM554" s="4"/>
      <c r="AN554" s="4"/>
      <c r="AO554" s="4"/>
      <c r="AP554" s="4"/>
      <c r="AQ554" s="4"/>
      <c r="AR554" s="4"/>
      <c r="AS554" s="4"/>
      <c r="AT554" s="4"/>
      <c r="AU554" s="4"/>
      <c r="AV554" s="4"/>
      <c r="AW554" s="4"/>
      <c r="AX554" s="4"/>
      <c r="AY554" s="4"/>
      <c r="BT554" s="4">
        <v>-0.149925202400199</v>
      </c>
      <c r="BU554" s="4">
        <v>0.00823045267489709</v>
      </c>
      <c r="BV554" s="4">
        <v>0.231558748239494</v>
      </c>
      <c r="BW554" s="4">
        <v>0.00823045267489713</v>
      </c>
    </row>
    <row r="555" s="4" customFormat="1" spans="1:75">
      <c r="A555" s="4">
        <v>554</v>
      </c>
      <c r="B555" s="18">
        <v>89</v>
      </c>
      <c r="C555" s="5" t="s">
        <v>179</v>
      </c>
      <c r="D555" s="5" t="s">
        <v>325</v>
      </c>
      <c r="E555" s="9">
        <v>-22.59</v>
      </c>
      <c r="F555" s="9">
        <v>-44</v>
      </c>
      <c r="G555" s="20">
        <v>22.14</v>
      </c>
      <c r="H555" s="21">
        <v>57.5</v>
      </c>
      <c r="I555" s="4"/>
      <c r="J555" s="13" t="s">
        <v>181</v>
      </c>
      <c r="K555" s="5" t="s">
        <v>182</v>
      </c>
      <c r="L555" s="4">
        <v>2009</v>
      </c>
      <c r="M555" s="4">
        <v>6</v>
      </c>
      <c r="N555" s="5" t="s">
        <v>79</v>
      </c>
      <c r="O555" s="36" t="s">
        <v>80</v>
      </c>
      <c r="P555" s="20"/>
      <c r="Q555" s="5"/>
      <c r="R555" s="5"/>
      <c r="S555" s="13">
        <v>0</v>
      </c>
      <c r="T555" s="21">
        <v>36</v>
      </c>
      <c r="U555" s="21">
        <v>23</v>
      </c>
      <c r="V555" s="21">
        <v>41</v>
      </c>
      <c r="W555" s="4"/>
      <c r="X555" s="4"/>
      <c r="Y555" s="5" t="s">
        <v>82</v>
      </c>
      <c r="Z555" s="4">
        <v>3</v>
      </c>
      <c r="AA555" s="4">
        <v>3</v>
      </c>
      <c r="AB555" s="9">
        <v>-0.683913504613</v>
      </c>
      <c r="AC555" s="9">
        <v>0.000256361683990305</v>
      </c>
      <c r="AD555" s="9">
        <v>-1.10148173109606</v>
      </c>
      <c r="AE555" s="9">
        <v>0.00533448946951657</v>
      </c>
      <c r="AF555" s="9">
        <v>-0.417568226483063</v>
      </c>
      <c r="AG555" s="9">
        <v>0.00559085115350687</v>
      </c>
      <c r="AH555" s="9"/>
      <c r="AI555" s="9"/>
      <c r="AJ555" s="4"/>
      <c r="AK555" s="4"/>
      <c r="AL555" s="4"/>
      <c r="AM555" s="4"/>
      <c r="AN555" s="4"/>
      <c r="AO555" s="4"/>
      <c r="AP555" s="4"/>
      <c r="AQ555" s="4"/>
      <c r="AR555" s="4"/>
      <c r="AS555" s="4"/>
      <c r="AT555" s="4"/>
      <c r="AU555" s="4"/>
      <c r="AV555" s="4"/>
      <c r="AW555" s="4"/>
      <c r="AX555" s="4"/>
      <c r="AY555" s="4"/>
      <c r="BT555" s="4">
        <v>-1.07451473708905</v>
      </c>
      <c r="BU555" s="4">
        <v>0.00823045267489709</v>
      </c>
      <c r="BV555" s="4">
        <v>0.131769277631123</v>
      </c>
      <c r="BW555" s="4">
        <v>0.00823045267489713</v>
      </c>
    </row>
    <row r="556" s="4" customFormat="1" spans="1:75">
      <c r="A556" s="4">
        <v>555</v>
      </c>
      <c r="B556" s="18">
        <v>89</v>
      </c>
      <c r="C556" s="5" t="s">
        <v>179</v>
      </c>
      <c r="D556" s="5" t="s">
        <v>325</v>
      </c>
      <c r="E556" s="9">
        <v>-22.59</v>
      </c>
      <c r="F556" s="9">
        <v>-44</v>
      </c>
      <c r="G556" s="20">
        <v>22.14</v>
      </c>
      <c r="H556" s="21">
        <v>57.5</v>
      </c>
      <c r="I556" s="4"/>
      <c r="J556" s="13" t="s">
        <v>185</v>
      </c>
      <c r="K556" s="5" t="s">
        <v>182</v>
      </c>
      <c r="L556" s="4">
        <v>2010</v>
      </c>
      <c r="M556" s="4">
        <v>6</v>
      </c>
      <c r="N556" s="5" t="s">
        <v>79</v>
      </c>
      <c r="O556" s="36" t="s">
        <v>80</v>
      </c>
      <c r="P556" s="20"/>
      <c r="Q556" s="5"/>
      <c r="R556" s="5"/>
      <c r="S556" s="13">
        <v>0</v>
      </c>
      <c r="T556" s="21">
        <v>36</v>
      </c>
      <c r="U556" s="21">
        <v>23</v>
      </c>
      <c r="V556" s="21">
        <v>41</v>
      </c>
      <c r="W556" s="4"/>
      <c r="X556" s="4"/>
      <c r="Y556" s="5" t="s">
        <v>82</v>
      </c>
      <c r="Z556" s="4">
        <v>3</v>
      </c>
      <c r="AA556" s="4">
        <v>3</v>
      </c>
      <c r="AB556" s="9">
        <v>0.344377416128326</v>
      </c>
      <c r="AC556" s="9">
        <v>0.000256361683990306</v>
      </c>
      <c r="AD556" s="9">
        <v>-0.641187441629234</v>
      </c>
      <c r="AE556" s="9">
        <v>0.00533448946951657</v>
      </c>
      <c r="AF556" s="9">
        <v>-0.985564857757557</v>
      </c>
      <c r="AG556" s="9">
        <v>0.00559085115350686</v>
      </c>
      <c r="AH556" s="9"/>
      <c r="AI556" s="9"/>
      <c r="AJ556" s="4"/>
      <c r="AK556" s="4"/>
      <c r="AL556" s="4"/>
      <c r="AM556" s="4"/>
      <c r="AN556" s="4"/>
      <c r="AO556" s="4"/>
      <c r="AP556" s="4"/>
      <c r="AQ556" s="4"/>
      <c r="AR556" s="4"/>
      <c r="AS556" s="4"/>
      <c r="AT556" s="4"/>
      <c r="AU556" s="4"/>
      <c r="AV556" s="4"/>
      <c r="AW556" s="4"/>
      <c r="AX556" s="4"/>
      <c r="AY556" s="4"/>
      <c r="BT556" s="4">
        <v>-0.187251722901813</v>
      </c>
      <c r="BU556" s="4">
        <v>0.00823045267489711</v>
      </c>
      <c r="BV556" s="4">
        <v>0.384674338439091</v>
      </c>
      <c r="BW556" s="4">
        <v>0.0082304526748971</v>
      </c>
    </row>
    <row r="557" s="4" customFormat="1" spans="1:75">
      <c r="A557" s="4">
        <v>556</v>
      </c>
      <c r="B557" s="18">
        <v>89</v>
      </c>
      <c r="C557" s="5" t="s">
        <v>179</v>
      </c>
      <c r="D557" s="5" t="s">
        <v>325</v>
      </c>
      <c r="E557" s="9">
        <v>-22.59</v>
      </c>
      <c r="F557" s="9">
        <v>-44</v>
      </c>
      <c r="G557" s="20">
        <v>22.14</v>
      </c>
      <c r="H557" s="21">
        <v>57.5</v>
      </c>
      <c r="I557" s="4"/>
      <c r="J557" s="13" t="s">
        <v>181</v>
      </c>
      <c r="K557" s="5" t="s">
        <v>182</v>
      </c>
      <c r="L557" s="4">
        <v>2010</v>
      </c>
      <c r="M557" s="4">
        <v>6</v>
      </c>
      <c r="N557" s="5" t="s">
        <v>79</v>
      </c>
      <c r="O557" s="36" t="s">
        <v>80</v>
      </c>
      <c r="P557" s="20"/>
      <c r="Q557" s="5"/>
      <c r="R557" s="5"/>
      <c r="S557" s="13">
        <v>0</v>
      </c>
      <c r="T557" s="21">
        <v>36</v>
      </c>
      <c r="U557" s="21">
        <v>23</v>
      </c>
      <c r="V557" s="21">
        <v>41</v>
      </c>
      <c r="W557" s="4"/>
      <c r="X557" s="4"/>
      <c r="Y557" s="5" t="s">
        <v>82</v>
      </c>
      <c r="Z557" s="4">
        <v>3</v>
      </c>
      <c r="AA557" s="4">
        <v>3</v>
      </c>
      <c r="AB557" s="9">
        <v>-0.587786664902119</v>
      </c>
      <c r="AC557" s="9">
        <v>0.000256361683990305</v>
      </c>
      <c r="AD557" s="9">
        <v>-0.521998924364116</v>
      </c>
      <c r="AE557" s="9">
        <v>0.00533448946951657</v>
      </c>
      <c r="AF557" s="9">
        <v>0.0657877405380042</v>
      </c>
      <c r="AG557" s="9">
        <v>0.00559085115350687</v>
      </c>
      <c r="AH557" s="9"/>
      <c r="AI557" s="9"/>
      <c r="AJ557" s="4"/>
      <c r="AK557" s="4"/>
      <c r="AL557" s="4"/>
      <c r="AM557" s="4"/>
      <c r="AN557" s="4"/>
      <c r="AO557" s="4"/>
      <c r="AP557" s="4"/>
      <c r="AQ557" s="4"/>
      <c r="AR557" s="4"/>
      <c r="AS557" s="4"/>
      <c r="AT557" s="4"/>
      <c r="AU557" s="4"/>
      <c r="AV557" s="4"/>
      <c r="AW557" s="4"/>
      <c r="AX557" s="4"/>
      <c r="AY557" s="4"/>
      <c r="BT557" s="4">
        <v>-0.591893446854772</v>
      </c>
      <c r="BU557" s="4">
        <v>0.00823045267489712</v>
      </c>
      <c r="BV557" s="4">
        <v>0.668145878354528</v>
      </c>
      <c r="BW557" s="4">
        <v>0.00823045267489714</v>
      </c>
    </row>
    <row r="558" s="4" customFormat="1" spans="1:75">
      <c r="A558" s="4">
        <v>557</v>
      </c>
      <c r="B558" s="18">
        <v>89</v>
      </c>
      <c r="C558" s="5" t="s">
        <v>179</v>
      </c>
      <c r="D558" s="5" t="s">
        <v>325</v>
      </c>
      <c r="E558" s="9">
        <v>-22.59</v>
      </c>
      <c r="F558" s="9">
        <v>-44</v>
      </c>
      <c r="G558" s="20">
        <v>22.14</v>
      </c>
      <c r="H558" s="21">
        <v>57.5</v>
      </c>
      <c r="I558" s="4"/>
      <c r="J558" s="13" t="s">
        <v>181</v>
      </c>
      <c r="K558" s="5" t="s">
        <v>182</v>
      </c>
      <c r="L558" s="4">
        <v>2010</v>
      </c>
      <c r="M558" s="4">
        <v>6</v>
      </c>
      <c r="N558" s="5" t="s">
        <v>79</v>
      </c>
      <c r="O558" s="36" t="s">
        <v>80</v>
      </c>
      <c r="P558" s="20"/>
      <c r="Q558" s="5"/>
      <c r="R558" s="5"/>
      <c r="S558" s="13">
        <v>0</v>
      </c>
      <c r="T558" s="21">
        <v>36</v>
      </c>
      <c r="U558" s="21">
        <v>23</v>
      </c>
      <c r="V558" s="21">
        <v>41</v>
      </c>
      <c r="W558" s="4"/>
      <c r="X558" s="4"/>
      <c r="Y558" s="5" t="s">
        <v>82</v>
      </c>
      <c r="Z558" s="4">
        <v>3</v>
      </c>
      <c r="AA558" s="4">
        <v>3</v>
      </c>
      <c r="AB558" s="9">
        <v>-0.395514777254996</v>
      </c>
      <c r="AC558" s="9">
        <v>0.000256361683990305</v>
      </c>
      <c r="AD558" s="9">
        <v>-0.641187441629234</v>
      </c>
      <c r="AE558" s="9">
        <v>0.00533448946951657</v>
      </c>
      <c r="AF558" s="9">
        <v>-0.245672664374236</v>
      </c>
      <c r="AG558" s="9">
        <v>0.00559085115350687</v>
      </c>
      <c r="AH558" s="9"/>
      <c r="AI558" s="9"/>
      <c r="AJ558" s="4"/>
      <c r="AK558" s="4"/>
      <c r="AL558" s="4"/>
      <c r="AM558" s="4"/>
      <c r="AN558" s="4"/>
      <c r="AO558" s="4"/>
      <c r="AP558" s="4"/>
      <c r="AQ558" s="4"/>
      <c r="AR558" s="4"/>
      <c r="AS558" s="4"/>
      <c r="AT558" s="4"/>
      <c r="AU558" s="4"/>
      <c r="AV558" s="4"/>
      <c r="AW558" s="4"/>
      <c r="AX558" s="4"/>
      <c r="AY558" s="4"/>
      <c r="BT558" s="4">
        <v>-1.68312562822526</v>
      </c>
      <c r="BU558" s="4">
        <v>0.00823045267489711</v>
      </c>
      <c r="BV558" s="4">
        <v>1.24034044849681</v>
      </c>
      <c r="BW558" s="4">
        <v>0.00823045267489712</v>
      </c>
    </row>
    <row r="559" s="4" customFormat="1" spans="1:75">
      <c r="A559" s="4">
        <v>558</v>
      </c>
      <c r="B559" s="18">
        <v>89</v>
      </c>
      <c r="C559" s="5" t="s">
        <v>179</v>
      </c>
      <c r="D559" s="5" t="s">
        <v>325</v>
      </c>
      <c r="E559" s="9">
        <v>-22.59</v>
      </c>
      <c r="F559" s="9">
        <v>-44</v>
      </c>
      <c r="G559" s="20">
        <v>22.14</v>
      </c>
      <c r="H559" s="21">
        <v>57.5</v>
      </c>
      <c r="I559" s="4"/>
      <c r="J559" s="13" t="s">
        <v>185</v>
      </c>
      <c r="K559" s="5" t="s">
        <v>182</v>
      </c>
      <c r="L559" s="4">
        <v>2009</v>
      </c>
      <c r="M559" s="4">
        <v>6</v>
      </c>
      <c r="N559" s="5" t="s">
        <v>79</v>
      </c>
      <c r="O559" s="36" t="s">
        <v>80</v>
      </c>
      <c r="P559" s="20"/>
      <c r="Q559" s="5"/>
      <c r="R559" s="5"/>
      <c r="S559" s="13">
        <v>0</v>
      </c>
      <c r="T559" s="21">
        <v>36</v>
      </c>
      <c r="U559" s="21">
        <v>23</v>
      </c>
      <c r="V559" s="21">
        <v>41</v>
      </c>
      <c r="W559" s="4"/>
      <c r="X559" s="4"/>
      <c r="Y559" s="5" t="s">
        <v>82</v>
      </c>
      <c r="Z559" s="4">
        <v>3</v>
      </c>
      <c r="AA559" s="4">
        <v>3</v>
      </c>
      <c r="AB559" s="9">
        <v>0.125592419629411</v>
      </c>
      <c r="AC559" s="9">
        <v>0.000256361683990304</v>
      </c>
      <c r="AD559" s="9">
        <v>0.277319285416234</v>
      </c>
      <c r="AE559" s="9">
        <v>0.00533448946951656</v>
      </c>
      <c r="AF559" s="9">
        <v>0.151726865786823</v>
      </c>
      <c r="AG559" s="9">
        <v>0.00559085115350685</v>
      </c>
      <c r="AH559" s="9"/>
      <c r="AI559" s="9"/>
      <c r="AJ559" s="4"/>
      <c r="AK559" s="4"/>
      <c r="AL559" s="4"/>
      <c r="AM559" s="4"/>
      <c r="AN559" s="4"/>
      <c r="AO559" s="4"/>
      <c r="AP559" s="4"/>
      <c r="AQ559" s="4"/>
      <c r="AR559" s="4"/>
      <c r="AS559" s="4"/>
      <c r="AT559" s="4"/>
      <c r="AU559" s="4"/>
      <c r="AV559" s="4"/>
      <c r="AW559" s="4"/>
      <c r="AX559" s="4"/>
      <c r="AY559" s="4"/>
      <c r="BT559" s="4">
        <v>0.529344671533228</v>
      </c>
      <c r="BU559" s="4">
        <v>0.00823045267489713</v>
      </c>
      <c r="BV559" s="4">
        <v>-0.623621117911335</v>
      </c>
      <c r="BW559" s="4">
        <v>0.00823045267489713</v>
      </c>
    </row>
    <row r="560" s="4" customFormat="1" spans="1:75">
      <c r="A560" s="4">
        <v>559</v>
      </c>
      <c r="B560" s="18">
        <v>89</v>
      </c>
      <c r="C560" s="5" t="s">
        <v>179</v>
      </c>
      <c r="D560" s="5" t="s">
        <v>325</v>
      </c>
      <c r="E560" s="9">
        <v>-22.59</v>
      </c>
      <c r="F560" s="9">
        <v>-44</v>
      </c>
      <c r="G560" s="20">
        <v>22.14</v>
      </c>
      <c r="H560" s="21">
        <v>57.5</v>
      </c>
      <c r="I560" s="4"/>
      <c r="J560" s="13" t="s">
        <v>181</v>
      </c>
      <c r="K560" s="5" t="s">
        <v>182</v>
      </c>
      <c r="L560" s="4">
        <v>2009</v>
      </c>
      <c r="M560" s="4">
        <v>6</v>
      </c>
      <c r="N560" s="5" t="s">
        <v>79</v>
      </c>
      <c r="O560" s="36" t="s">
        <v>80</v>
      </c>
      <c r="P560" s="20"/>
      <c r="Q560" s="5"/>
      <c r="R560" s="5"/>
      <c r="S560" s="13">
        <v>0</v>
      </c>
      <c r="T560" s="21">
        <v>36</v>
      </c>
      <c r="U560" s="21">
        <v>23</v>
      </c>
      <c r="V560" s="21">
        <v>41</v>
      </c>
      <c r="W560" s="4"/>
      <c r="X560" s="4"/>
      <c r="Y560" s="5" t="s">
        <v>82</v>
      </c>
      <c r="Z560" s="4">
        <v>3</v>
      </c>
      <c r="AA560" s="4">
        <v>3</v>
      </c>
      <c r="AB560" s="9">
        <v>-0.537954291154243</v>
      </c>
      <c r="AC560" s="9">
        <v>0.000256361683990305</v>
      </c>
      <c r="AD560" s="9">
        <v>-0.305013528803421</v>
      </c>
      <c r="AE560" s="9">
        <v>0.00533448946951659</v>
      </c>
      <c r="AF560" s="9">
        <v>0.232940762350821</v>
      </c>
      <c r="AG560" s="9">
        <v>0.00559085115350689</v>
      </c>
      <c r="AH560" s="9"/>
      <c r="AI560" s="9"/>
      <c r="AJ560" s="4"/>
      <c r="AK560" s="4"/>
      <c r="AL560" s="4"/>
      <c r="AM560" s="4"/>
      <c r="AN560" s="4"/>
      <c r="AO560" s="4"/>
      <c r="AP560" s="4"/>
      <c r="AQ560" s="4"/>
      <c r="AR560" s="4"/>
      <c r="AS560" s="4"/>
      <c r="AT560" s="4"/>
      <c r="AU560" s="4"/>
      <c r="AV560" s="4"/>
      <c r="AW560" s="4"/>
      <c r="AX560" s="4"/>
      <c r="AY560" s="4"/>
      <c r="BT560" s="4">
        <v>-0.128352717146071</v>
      </c>
      <c r="BU560" s="4">
        <v>0.00823045267489712</v>
      </c>
      <c r="BV560" s="4">
        <v>0.359072068538454</v>
      </c>
      <c r="BW560" s="4">
        <v>0.00823045267489713</v>
      </c>
    </row>
    <row r="561" s="4" customFormat="1" spans="1:75">
      <c r="A561" s="4">
        <v>560</v>
      </c>
      <c r="B561" s="18">
        <v>89</v>
      </c>
      <c r="C561" s="5" t="s">
        <v>179</v>
      </c>
      <c r="D561" s="5" t="s">
        <v>325</v>
      </c>
      <c r="E561" s="9">
        <v>-22.59</v>
      </c>
      <c r="F561" s="9">
        <v>-44</v>
      </c>
      <c r="G561" s="20">
        <v>22.14</v>
      </c>
      <c r="H561" s="21">
        <v>57.5</v>
      </c>
      <c r="I561" s="4"/>
      <c r="J561" s="13" t="s">
        <v>181</v>
      </c>
      <c r="K561" s="5" t="s">
        <v>182</v>
      </c>
      <c r="L561" s="4">
        <v>2009</v>
      </c>
      <c r="M561" s="4">
        <v>6</v>
      </c>
      <c r="N561" s="5" t="s">
        <v>79</v>
      </c>
      <c r="O561" s="36" t="s">
        <v>80</v>
      </c>
      <c r="P561" s="20"/>
      <c r="Q561" s="5"/>
      <c r="R561" s="5"/>
      <c r="S561" s="13">
        <v>0</v>
      </c>
      <c r="T561" s="21">
        <v>36</v>
      </c>
      <c r="U561" s="21">
        <v>23</v>
      </c>
      <c r="V561" s="21">
        <v>41</v>
      </c>
      <c r="W561" s="4"/>
      <c r="X561" s="4"/>
      <c r="Y561" s="5" t="s">
        <v>82</v>
      </c>
      <c r="Z561" s="4">
        <v>3</v>
      </c>
      <c r="AA561" s="4">
        <v>3</v>
      </c>
      <c r="AB561" s="9">
        <v>-0.412791148200237</v>
      </c>
      <c r="AC561" s="9">
        <v>0.000256361683990305</v>
      </c>
      <c r="AD561" s="9">
        <v>-0.514267967956964</v>
      </c>
      <c r="AE561" s="9">
        <v>0.00533448946951657</v>
      </c>
      <c r="AF561" s="9">
        <v>-0.101476819756727</v>
      </c>
      <c r="AG561" s="9">
        <v>0.00559085115350686</v>
      </c>
      <c r="AH561" s="9"/>
      <c r="AI561" s="9"/>
      <c r="AJ561" s="4"/>
      <c r="AK561" s="4"/>
      <c r="AL561" s="4"/>
      <c r="AM561" s="4"/>
      <c r="AN561" s="4"/>
      <c r="AO561" s="4"/>
      <c r="AP561" s="4"/>
      <c r="AQ561" s="4"/>
      <c r="AR561" s="4"/>
      <c r="AS561" s="4"/>
      <c r="AT561" s="4"/>
      <c r="AU561" s="4"/>
      <c r="AV561" s="4"/>
      <c r="AW561" s="4"/>
      <c r="AX561" s="4"/>
      <c r="AY561" s="4"/>
      <c r="BT561" s="4">
        <v>-1.05294225183492</v>
      </c>
      <c r="BU561" s="4">
        <v>0.00823045267489711</v>
      </c>
      <c r="BV561" s="4">
        <v>0.259282597930083</v>
      </c>
      <c r="BW561" s="4">
        <v>0.00823045267489713</v>
      </c>
    </row>
    <row r="562" s="4" customFormat="1" spans="1:75">
      <c r="A562" s="4">
        <v>561</v>
      </c>
      <c r="B562" s="18">
        <v>89</v>
      </c>
      <c r="C562" s="5" t="s">
        <v>179</v>
      </c>
      <c r="D562" s="5" t="s">
        <v>325</v>
      </c>
      <c r="E562" s="9">
        <v>-22.59</v>
      </c>
      <c r="F562" s="9">
        <v>-44</v>
      </c>
      <c r="G562" s="20">
        <v>22.14</v>
      </c>
      <c r="H562" s="21">
        <v>57.5</v>
      </c>
      <c r="I562" s="4"/>
      <c r="J562" s="13" t="s">
        <v>185</v>
      </c>
      <c r="K562" s="5" t="s">
        <v>182</v>
      </c>
      <c r="L562" s="4">
        <v>2010</v>
      </c>
      <c r="M562" s="4">
        <v>6</v>
      </c>
      <c r="N562" s="5" t="s">
        <v>79</v>
      </c>
      <c r="O562" s="36" t="s">
        <v>80</v>
      </c>
      <c r="P562" s="20"/>
      <c r="Q562" s="5"/>
      <c r="R562" s="5"/>
      <c r="S562" s="13">
        <v>0</v>
      </c>
      <c r="T562" s="21">
        <v>36</v>
      </c>
      <c r="U562" s="21">
        <v>23</v>
      </c>
      <c r="V562" s="21">
        <v>41</v>
      </c>
      <c r="W562" s="4"/>
      <c r="X562" s="4"/>
      <c r="Y562" s="5" t="s">
        <v>82</v>
      </c>
      <c r="Z562" s="4">
        <v>3</v>
      </c>
      <c r="AA562" s="4">
        <v>3</v>
      </c>
      <c r="AB562" s="9">
        <v>0.630579103409673</v>
      </c>
      <c r="AC562" s="9">
        <v>0.000256361683990306</v>
      </c>
      <c r="AD562" s="9">
        <v>-0.225671997667568</v>
      </c>
      <c r="AE562" s="9">
        <v>0.00533448946951658</v>
      </c>
      <c r="AF562" s="9">
        <v>-0.856251101077239</v>
      </c>
      <c r="AG562" s="9">
        <v>0.00559085115350686</v>
      </c>
      <c r="AH562" s="9"/>
      <c r="AI562" s="9"/>
      <c r="AJ562" s="4"/>
      <c r="AK562" s="4"/>
      <c r="AL562" s="4"/>
      <c r="AM562" s="4"/>
      <c r="AN562" s="4"/>
      <c r="AO562" s="4"/>
      <c r="AP562" s="4"/>
      <c r="AQ562" s="4"/>
      <c r="AR562" s="4"/>
      <c r="AS562" s="4"/>
      <c r="AT562" s="4"/>
      <c r="AU562" s="4"/>
      <c r="AV562" s="4"/>
      <c r="AW562" s="4"/>
      <c r="AX562" s="4"/>
      <c r="AY562" s="4"/>
      <c r="BT562" s="4">
        <v>-0.138256619701026</v>
      </c>
      <c r="BU562" s="4">
        <v>0.00823045267489711</v>
      </c>
      <c r="BV562" s="4">
        <v>0.225246601510988</v>
      </c>
      <c r="BW562" s="4">
        <v>0.00823045267489714</v>
      </c>
    </row>
    <row r="563" s="4" customFormat="1" spans="1:75">
      <c r="A563" s="4">
        <v>562</v>
      </c>
      <c r="B563" s="18">
        <v>89</v>
      </c>
      <c r="C563" s="5" t="s">
        <v>179</v>
      </c>
      <c r="D563" s="5" t="s">
        <v>325</v>
      </c>
      <c r="E563" s="9">
        <v>-22.59</v>
      </c>
      <c r="F563" s="9">
        <v>-44</v>
      </c>
      <c r="G563" s="20">
        <v>22.14</v>
      </c>
      <c r="H563" s="21">
        <v>57.5</v>
      </c>
      <c r="I563" s="4"/>
      <c r="J563" s="13" t="s">
        <v>181</v>
      </c>
      <c r="K563" s="5" t="s">
        <v>182</v>
      </c>
      <c r="L563" s="4">
        <v>2010</v>
      </c>
      <c r="M563" s="4">
        <v>6</v>
      </c>
      <c r="N563" s="5" t="s">
        <v>79</v>
      </c>
      <c r="O563" s="36" t="s">
        <v>80</v>
      </c>
      <c r="P563" s="20"/>
      <c r="Q563" s="5"/>
      <c r="R563" s="5"/>
      <c r="S563" s="13">
        <v>0</v>
      </c>
      <c r="T563" s="21">
        <v>36</v>
      </c>
      <c r="U563" s="21">
        <v>23</v>
      </c>
      <c r="V563" s="21">
        <v>41</v>
      </c>
      <c r="W563" s="4"/>
      <c r="X563" s="4"/>
      <c r="Y563" s="5" t="s">
        <v>82</v>
      </c>
      <c r="Z563" s="4">
        <v>3</v>
      </c>
      <c r="AA563" s="4">
        <v>3</v>
      </c>
      <c r="AB563" s="9">
        <v>-0.301584977620772</v>
      </c>
      <c r="AC563" s="9">
        <v>0.000256361683990305</v>
      </c>
      <c r="AD563" s="9">
        <v>-0.10648348040245</v>
      </c>
      <c r="AE563" s="9">
        <v>0.00533448946951658</v>
      </c>
      <c r="AF563" s="9">
        <v>0.195101497218321</v>
      </c>
      <c r="AG563" s="9">
        <v>0.00559085115350687</v>
      </c>
      <c r="AH563" s="9"/>
      <c r="AI563" s="9"/>
      <c r="AJ563" s="4"/>
      <c r="AK563" s="4"/>
      <c r="AL563" s="4"/>
      <c r="AM563" s="4"/>
      <c r="AN563" s="4"/>
      <c r="AO563" s="4"/>
      <c r="AP563" s="4"/>
      <c r="AQ563" s="4"/>
      <c r="AR563" s="4"/>
      <c r="AS563" s="4"/>
      <c r="AT563" s="4"/>
      <c r="AU563" s="4"/>
      <c r="AV563" s="4"/>
      <c r="AW563" s="4"/>
      <c r="AX563" s="4"/>
      <c r="AY563" s="4"/>
      <c r="BT563" s="4">
        <v>-0.542898343653985</v>
      </c>
      <c r="BU563" s="4">
        <v>0.00823045267489711</v>
      </c>
      <c r="BV563" s="4">
        <v>0.508718141426426</v>
      </c>
      <c r="BW563" s="4">
        <v>0.00823045267489717</v>
      </c>
    </row>
    <row r="564" s="4" customFormat="1" spans="1:75">
      <c r="A564" s="4">
        <v>563</v>
      </c>
      <c r="B564" s="18">
        <v>89</v>
      </c>
      <c r="C564" s="5" t="s">
        <v>179</v>
      </c>
      <c r="D564" s="5" t="s">
        <v>325</v>
      </c>
      <c r="E564" s="9">
        <v>-22.59</v>
      </c>
      <c r="F564" s="9">
        <v>-44</v>
      </c>
      <c r="G564" s="20">
        <v>22.14</v>
      </c>
      <c r="H564" s="21">
        <v>57.5</v>
      </c>
      <c r="I564" s="4"/>
      <c r="J564" s="13" t="s">
        <v>181</v>
      </c>
      <c r="K564" s="5" t="s">
        <v>182</v>
      </c>
      <c r="L564" s="4">
        <v>2010</v>
      </c>
      <c r="M564" s="4">
        <v>6</v>
      </c>
      <c r="N564" s="5" t="s">
        <v>79</v>
      </c>
      <c r="O564" s="36" t="s">
        <v>80</v>
      </c>
      <c r="P564" s="20"/>
      <c r="Q564" s="5"/>
      <c r="R564" s="5"/>
      <c r="S564" s="13">
        <v>0</v>
      </c>
      <c r="T564" s="21">
        <v>36</v>
      </c>
      <c r="U564" s="21">
        <v>23</v>
      </c>
      <c r="V564" s="21">
        <v>41</v>
      </c>
      <c r="W564" s="4"/>
      <c r="X564" s="4"/>
      <c r="Y564" s="5" t="s">
        <v>82</v>
      </c>
      <c r="Z564" s="4">
        <v>3</v>
      </c>
      <c r="AA564" s="4">
        <v>3</v>
      </c>
      <c r="AB564" s="9">
        <v>-0.10931308997365</v>
      </c>
      <c r="AC564" s="9">
        <v>0.000256361683990305</v>
      </c>
      <c r="AD564" s="9">
        <v>-0.225671997667568</v>
      </c>
      <c r="AE564" s="9">
        <v>0.00533448946951658</v>
      </c>
      <c r="AF564" s="9">
        <v>-0.116358907693919</v>
      </c>
      <c r="AG564" s="9">
        <v>0.00559085115350687</v>
      </c>
      <c r="AH564" s="9"/>
      <c r="AI564" s="9"/>
      <c r="AJ564" s="4"/>
      <c r="AK564" s="4"/>
      <c r="AL564" s="4"/>
      <c r="AM564" s="4"/>
      <c r="AN564" s="4"/>
      <c r="AO564" s="4"/>
      <c r="AP564" s="4"/>
      <c r="AQ564" s="4"/>
      <c r="AR564" s="4"/>
      <c r="AS564" s="4"/>
      <c r="AT564" s="4"/>
      <c r="AU564" s="4"/>
      <c r="AV564" s="4"/>
      <c r="AW564" s="4"/>
      <c r="AX564" s="4"/>
      <c r="AY564" s="4"/>
      <c r="BT564" s="4">
        <v>-1.63413052502447</v>
      </c>
      <c r="BU564" s="4">
        <v>0.00823045267489711</v>
      </c>
      <c r="BV564" s="4">
        <v>1.08091271156871</v>
      </c>
      <c r="BW564" s="4">
        <v>0.00823045267489715</v>
      </c>
    </row>
    <row r="565" s="3" customFormat="1" spans="1:73">
      <c r="A565" s="4">
        <v>564</v>
      </c>
      <c r="B565" s="6">
        <v>90</v>
      </c>
      <c r="C565" s="24" t="s">
        <v>326</v>
      </c>
      <c r="D565" s="13" t="s">
        <v>327</v>
      </c>
      <c r="E565" s="25">
        <v>-28.4668273925781</v>
      </c>
      <c r="F565" s="25">
        <v>-65.7726669311523</v>
      </c>
      <c r="G565" s="20">
        <v>20.2999992370605</v>
      </c>
      <c r="H565" s="21">
        <v>558</v>
      </c>
      <c r="I565" s="3"/>
      <c r="J565" s="13" t="s">
        <v>193</v>
      </c>
      <c r="K565" s="5" t="s">
        <v>182</v>
      </c>
      <c r="L565" s="3"/>
      <c r="M565" s="3"/>
      <c r="N565" s="3"/>
      <c r="O565" s="36" t="s">
        <v>80</v>
      </c>
      <c r="P565" s="7"/>
      <c r="Q565" s="3"/>
      <c r="R565" s="3"/>
      <c r="S565" s="13"/>
      <c r="T565" s="21"/>
      <c r="U565" s="8"/>
      <c r="V565" s="8"/>
      <c r="W565" s="3"/>
      <c r="X565" s="3"/>
      <c r="Y565" s="13" t="s">
        <v>82</v>
      </c>
      <c r="Z565" s="3">
        <v>4</v>
      </c>
      <c r="AA565" s="3">
        <v>4</v>
      </c>
      <c r="AB565" s="9">
        <v>-0.714245009524581</v>
      </c>
      <c r="AC565" s="9">
        <v>0.00019227126299273</v>
      </c>
      <c r="AD565" s="25"/>
      <c r="AE565" s="25"/>
      <c r="AF565" s="9"/>
      <c r="AG565" s="9"/>
      <c r="AH565" s="25">
        <v>-0.125163142954006</v>
      </c>
      <c r="AI565" s="25">
        <v>0.00520616409829236</v>
      </c>
      <c r="AJ565" s="4">
        <v>-0.589081866570578</v>
      </c>
      <c r="AK565" s="4">
        <v>0.0053984353612851</v>
      </c>
      <c r="AL565" s="3"/>
      <c r="AM565" s="3"/>
      <c r="AN565" s="4">
        <v>-0.0312525435041044</v>
      </c>
      <c r="AO565" s="4">
        <v>0.000282163044034908</v>
      </c>
      <c r="AP565" s="3"/>
      <c r="AQ565" s="3"/>
      <c r="AR565" s="4"/>
      <c r="AS565" s="4"/>
      <c r="AT565" s="3"/>
      <c r="AU565" s="3"/>
      <c r="AV565" s="4"/>
      <c r="AW565" s="4"/>
      <c r="AX565" s="3"/>
      <c r="AY565" s="3"/>
      <c r="BN565" s="3">
        <v>0.714245009524581</v>
      </c>
      <c r="BO565" s="3">
        <v>0.00520616409829237</v>
      </c>
      <c r="BP565" s="3">
        <v>1.12318354939862</v>
      </c>
      <c r="BT565" s="3">
        <v>-0.22621575035118</v>
      </c>
      <c r="BU565" s="3">
        <v>0.00617283950617282</v>
      </c>
    </row>
    <row r="566" s="3" customFormat="1" spans="1:73">
      <c r="A566" s="4">
        <v>565</v>
      </c>
      <c r="B566" s="6">
        <v>90</v>
      </c>
      <c r="C566" s="24" t="s">
        <v>326</v>
      </c>
      <c r="D566" s="13" t="s">
        <v>328</v>
      </c>
      <c r="E566" s="25">
        <v>-34.801740600585</v>
      </c>
      <c r="F566" s="25">
        <v>-58.2488869991108</v>
      </c>
      <c r="G566" s="20">
        <v>16.9541664123535</v>
      </c>
      <c r="H566" s="21">
        <v>1072</v>
      </c>
      <c r="I566" s="3"/>
      <c r="J566" s="13" t="s">
        <v>193</v>
      </c>
      <c r="K566" s="5" t="s">
        <v>182</v>
      </c>
      <c r="L566" s="3"/>
      <c r="M566" s="3"/>
      <c r="N566" s="3"/>
      <c r="O566" s="36" t="s">
        <v>80</v>
      </c>
      <c r="P566" s="7"/>
      <c r="Q566" s="3"/>
      <c r="R566" s="3"/>
      <c r="S566" s="13"/>
      <c r="T566" s="21"/>
      <c r="U566" s="8"/>
      <c r="V566" s="8"/>
      <c r="W566" s="3"/>
      <c r="X566" s="3"/>
      <c r="Y566" s="13" t="s">
        <v>82</v>
      </c>
      <c r="Z566" s="3">
        <v>4</v>
      </c>
      <c r="AA566" s="3">
        <v>4</v>
      </c>
      <c r="AB566" s="9">
        <v>-0.323104902294265</v>
      </c>
      <c r="AC566" s="9">
        <v>0.000192271262992728</v>
      </c>
      <c r="AD566" s="25"/>
      <c r="AE566" s="25"/>
      <c r="AF566" s="9"/>
      <c r="AG566" s="9"/>
      <c r="AH566" s="25">
        <v>-0.25489224962879</v>
      </c>
      <c r="AI566" s="25">
        <v>0.00520616409829238</v>
      </c>
      <c r="AJ566" s="4">
        <v>-0.0682126526654759</v>
      </c>
      <c r="AK566" s="4">
        <v>0.00539843536128511</v>
      </c>
      <c r="AL566" s="3"/>
      <c r="AM566" s="3"/>
      <c r="AN566" s="4">
        <v>0.0160003413464411</v>
      </c>
      <c r="AO566" s="4">
        <v>0.000282163044034907</v>
      </c>
      <c r="AP566" s="3"/>
      <c r="AQ566" s="3"/>
      <c r="AR566" s="4"/>
      <c r="AS566" s="4"/>
      <c r="AT566" s="3"/>
      <c r="AU566" s="3"/>
      <c r="AV566" s="4"/>
      <c r="AW566" s="4"/>
      <c r="AX566" s="3"/>
      <c r="AY566" s="3"/>
      <c r="BN566" s="3">
        <v>0.323104902294265</v>
      </c>
      <c r="BO566" s="3">
        <v>0.00520616409829238</v>
      </c>
      <c r="BP566" s="3">
        <v>0.863895751796242</v>
      </c>
      <c r="BT566" s="3">
        <v>-1.15552042093999</v>
      </c>
      <c r="BU566" s="3">
        <v>0.00617283950617286</v>
      </c>
    </row>
    <row r="567" s="3" customFormat="1" spans="1:73">
      <c r="A567" s="4">
        <v>566</v>
      </c>
      <c r="B567" s="6">
        <v>90</v>
      </c>
      <c r="C567" s="24" t="s">
        <v>326</v>
      </c>
      <c r="D567" s="13" t="s">
        <v>329</v>
      </c>
      <c r="E567" s="25">
        <v>-35.9654426574707</v>
      </c>
      <c r="F567" s="25">
        <v>-62.7334785461425</v>
      </c>
      <c r="G567" s="20">
        <v>15.9624996185303</v>
      </c>
      <c r="H567" s="21">
        <v>719</v>
      </c>
      <c r="I567" s="3"/>
      <c r="J567" s="13" t="s">
        <v>193</v>
      </c>
      <c r="K567" s="5" t="s">
        <v>182</v>
      </c>
      <c r="L567" s="3"/>
      <c r="M567" s="3"/>
      <c r="N567" s="3"/>
      <c r="O567" s="36" t="s">
        <v>80</v>
      </c>
      <c r="P567" s="7"/>
      <c r="Q567" s="3"/>
      <c r="R567" s="3"/>
      <c r="S567" s="13"/>
      <c r="T567" s="21"/>
      <c r="U567" s="8"/>
      <c r="V567" s="8"/>
      <c r="W567" s="3"/>
      <c r="X567" s="3"/>
      <c r="Y567" s="13" t="s">
        <v>82</v>
      </c>
      <c r="Z567" s="3">
        <v>4</v>
      </c>
      <c r="AA567" s="3">
        <v>4</v>
      </c>
      <c r="AB567" s="9">
        <v>-0.394350632769623</v>
      </c>
      <c r="AC567" s="9">
        <v>0.000192271262992729</v>
      </c>
      <c r="AD567" s="25"/>
      <c r="AE567" s="25"/>
      <c r="AF567" s="9"/>
      <c r="AG567" s="9"/>
      <c r="AH567" s="25">
        <v>-0.693147180559945</v>
      </c>
      <c r="AI567" s="25">
        <v>0.00520616409829239</v>
      </c>
      <c r="AJ567" s="4">
        <v>0.298796547790323</v>
      </c>
      <c r="AK567" s="4">
        <v>0.00539843536128511</v>
      </c>
      <c r="AL567" s="3"/>
      <c r="AM567" s="3"/>
      <c r="AN567" s="4">
        <v>-0.0307716586667535</v>
      </c>
      <c r="AO567" s="4">
        <v>0.000282163044034908</v>
      </c>
      <c r="AP567" s="3"/>
      <c r="AQ567" s="3"/>
      <c r="AR567" s="4"/>
      <c r="AS567" s="4"/>
      <c r="AT567" s="3"/>
      <c r="AU567" s="3"/>
      <c r="AV567" s="4"/>
      <c r="AW567" s="4"/>
      <c r="AX567" s="3"/>
      <c r="AY567" s="3"/>
      <c r="BN567" s="3">
        <v>0.394350632769623</v>
      </c>
      <c r="BO567" s="3">
        <v>0.00520616409829238</v>
      </c>
      <c r="BP567" s="3">
        <v>-1.09164361935202</v>
      </c>
      <c r="BT567" s="3">
        <v>0.405465108108164</v>
      </c>
      <c r="BU567" s="3">
        <v>0.00617283950617282</v>
      </c>
    </row>
    <row r="568" s="3" customFormat="1" spans="1:73">
      <c r="A568" s="4">
        <v>567</v>
      </c>
      <c r="B568" s="6">
        <v>90</v>
      </c>
      <c r="C568" s="24" t="s">
        <v>326</v>
      </c>
      <c r="D568" s="13" t="s">
        <v>330</v>
      </c>
      <c r="E568" s="25">
        <v>-32.959243774414</v>
      </c>
      <c r="F568" s="25">
        <v>-60.6834754943847</v>
      </c>
      <c r="G568" s="20">
        <v>17.4541664123535</v>
      </c>
      <c r="H568" s="21">
        <v>1017</v>
      </c>
      <c r="I568" s="3"/>
      <c r="J568" s="13" t="s">
        <v>193</v>
      </c>
      <c r="K568" s="5" t="s">
        <v>182</v>
      </c>
      <c r="L568" s="3"/>
      <c r="M568" s="3"/>
      <c r="N568" s="3"/>
      <c r="O568" s="36" t="s">
        <v>80</v>
      </c>
      <c r="P568" s="7"/>
      <c r="Q568" s="3"/>
      <c r="R568" s="3"/>
      <c r="S568" s="13"/>
      <c r="T568" s="21"/>
      <c r="U568" s="8"/>
      <c r="V568" s="8"/>
      <c r="W568" s="3"/>
      <c r="X568" s="3"/>
      <c r="Y568" s="13" t="s">
        <v>82</v>
      </c>
      <c r="Z568" s="3">
        <v>4</v>
      </c>
      <c r="AA568" s="3">
        <v>4</v>
      </c>
      <c r="AB568" s="9">
        <v>0.227630511256809</v>
      </c>
      <c r="AC568" s="9">
        <v>0.000192271262992729</v>
      </c>
      <c r="AD568" s="25"/>
      <c r="AE568" s="25"/>
      <c r="AF568" s="9"/>
      <c r="AG568" s="9"/>
      <c r="AH568" s="25">
        <v>-0.112117298120706</v>
      </c>
      <c r="AI568" s="25">
        <v>0.00520616409829238</v>
      </c>
      <c r="AJ568" s="4">
        <v>0.339747809377513</v>
      </c>
      <c r="AK568" s="4">
        <v>0.0053984353612851</v>
      </c>
      <c r="AL568" s="3"/>
      <c r="AM568" s="3"/>
      <c r="AN568" s="4">
        <v>-0.203598955241239</v>
      </c>
      <c r="AO568" s="4">
        <v>0.00028216304403491</v>
      </c>
      <c r="AP568" s="3"/>
      <c r="AQ568" s="3"/>
      <c r="AR568" s="4"/>
      <c r="AS568" s="4"/>
      <c r="AT568" s="3"/>
      <c r="AU568" s="3"/>
      <c r="AV568" s="4"/>
      <c r="AW568" s="4"/>
      <c r="AX568" s="3"/>
      <c r="AY568" s="3"/>
      <c r="BN568" s="3">
        <v>-0.227630511256809</v>
      </c>
      <c r="BO568" s="3">
        <v>0.00520616409829238</v>
      </c>
      <c r="BP568" s="3">
        <v>-0.702466912508748</v>
      </c>
      <c r="BT568" s="3">
        <v>-1.05701839136927</v>
      </c>
      <c r="BU568" s="3">
        <v>0.00617283950617284</v>
      </c>
    </row>
    <row r="569" s="3" customFormat="1" spans="1:73">
      <c r="A569" s="4">
        <v>568</v>
      </c>
      <c r="B569" s="6">
        <v>90</v>
      </c>
      <c r="C569" s="24" t="s">
        <v>326</v>
      </c>
      <c r="D569" s="13" t="s">
        <v>331</v>
      </c>
      <c r="E569" s="25">
        <v>-34.700799550137</v>
      </c>
      <c r="F569" s="25">
        <v>-58.3596267502991</v>
      </c>
      <c r="G569" s="20">
        <v>17.2875003814697</v>
      </c>
      <c r="H569" s="21">
        <v>1072</v>
      </c>
      <c r="I569" s="3"/>
      <c r="J569" s="13" t="s">
        <v>193</v>
      </c>
      <c r="K569" s="5" t="s">
        <v>182</v>
      </c>
      <c r="L569" s="3"/>
      <c r="M569" s="3"/>
      <c r="N569" s="3"/>
      <c r="O569" s="36" t="s">
        <v>80</v>
      </c>
      <c r="P569" s="7"/>
      <c r="Q569" s="3"/>
      <c r="R569" s="3"/>
      <c r="S569" s="13"/>
      <c r="T569" s="21"/>
      <c r="U569" s="8"/>
      <c r="V569" s="8"/>
      <c r="W569" s="3"/>
      <c r="X569" s="3"/>
      <c r="Y569" s="13" t="s">
        <v>82</v>
      </c>
      <c r="Z569" s="3">
        <v>4</v>
      </c>
      <c r="AA569" s="3">
        <v>4</v>
      </c>
      <c r="AB569" s="9">
        <v>0.0729883601688802</v>
      </c>
      <c r="AC569" s="9">
        <v>0.000192271262992729</v>
      </c>
      <c r="AD569" s="25"/>
      <c r="AE569" s="25"/>
      <c r="AF569" s="9"/>
      <c r="AG569" s="9"/>
      <c r="AH569" s="25">
        <v>0.0451204352804696</v>
      </c>
      <c r="AI569" s="25">
        <v>0.00520616409829238</v>
      </c>
      <c r="AJ569" s="4">
        <v>0.0278679248884117</v>
      </c>
      <c r="AK569" s="4">
        <v>0.0053984353612851</v>
      </c>
      <c r="AL569" s="3"/>
      <c r="AM569" s="3"/>
      <c r="AN569" s="4">
        <v>-0.108633841002796</v>
      </c>
      <c r="AO569" s="4">
        <v>0.00028216304403491</v>
      </c>
      <c r="AP569" s="3"/>
      <c r="AQ569" s="3"/>
      <c r="AR569" s="4"/>
      <c r="AS569" s="4"/>
      <c r="AT569" s="3"/>
      <c r="AU569" s="3"/>
      <c r="AV569" s="4"/>
      <c r="AW569" s="4"/>
      <c r="AX569" s="3"/>
      <c r="AY569" s="3"/>
      <c r="BN569" s="3">
        <v>-0.0729883601688804</v>
      </c>
      <c r="BO569" s="3">
        <v>0.00520616409829237</v>
      </c>
      <c r="BP569" s="3">
        <v>0.800505698880445</v>
      </c>
      <c r="BT569" s="3">
        <v>-1.17912680573941</v>
      </c>
      <c r="BU569" s="3">
        <v>0.00617283950617284</v>
      </c>
    </row>
    <row r="570" s="3" customFormat="1" spans="1:73">
      <c r="A570" s="4">
        <v>569</v>
      </c>
      <c r="B570" s="6">
        <v>90</v>
      </c>
      <c r="C570" s="24" t="s">
        <v>326</v>
      </c>
      <c r="D570" s="13" t="s">
        <v>332</v>
      </c>
      <c r="E570" s="25">
        <v>-34.6368134506472</v>
      </c>
      <c r="F570" s="25">
        <v>-58.491372852948</v>
      </c>
      <c r="G570" s="20">
        <v>17.3708324432373</v>
      </c>
      <c r="H570" s="21">
        <v>1099</v>
      </c>
      <c r="I570" s="3"/>
      <c r="J570" s="13" t="s">
        <v>193</v>
      </c>
      <c r="K570" s="5" t="s">
        <v>182</v>
      </c>
      <c r="L570" s="3"/>
      <c r="M570" s="3"/>
      <c r="N570" s="3"/>
      <c r="O570" s="36" t="s">
        <v>80</v>
      </c>
      <c r="P570" s="7"/>
      <c r="Q570" s="3"/>
      <c r="R570" s="3"/>
      <c r="S570" s="13"/>
      <c r="T570" s="21"/>
      <c r="U570" s="8"/>
      <c r="V570" s="8"/>
      <c r="W570" s="3"/>
      <c r="X570" s="3"/>
      <c r="Y570" s="13" t="s">
        <v>82</v>
      </c>
      <c r="Z570" s="3">
        <v>4</v>
      </c>
      <c r="AA570" s="3">
        <v>4</v>
      </c>
      <c r="AB570" s="9">
        <v>0.261752362964537</v>
      </c>
      <c r="AC570" s="9">
        <v>0.000192271262992729</v>
      </c>
      <c r="AD570" s="25"/>
      <c r="AE570" s="25"/>
      <c r="AF570" s="9"/>
      <c r="AG570" s="9"/>
      <c r="AH570" s="25">
        <v>0.0165293019512105</v>
      </c>
      <c r="AI570" s="25">
        <v>0.00520616409829238</v>
      </c>
      <c r="AJ570" s="4">
        <v>0.245223061013327</v>
      </c>
      <c r="AK570" s="4">
        <v>0.0053984353612851</v>
      </c>
      <c r="AL570" s="3"/>
      <c r="AM570" s="3"/>
      <c r="AN570" s="4">
        <v>-0.0333364202675917</v>
      </c>
      <c r="AO570" s="4">
        <v>0.000282163044034908</v>
      </c>
      <c r="AP570" s="3"/>
      <c r="AQ570" s="3"/>
      <c r="AR570" s="4"/>
      <c r="AS570" s="4"/>
      <c r="AT570" s="3"/>
      <c r="AU570" s="3"/>
      <c r="AV570" s="4"/>
      <c r="AW570" s="4"/>
      <c r="AX570" s="3"/>
      <c r="AY570" s="3"/>
      <c r="BN570" s="3">
        <v>-0.261752362964537</v>
      </c>
      <c r="BO570" s="3">
        <v>0.00520616409829237</v>
      </c>
      <c r="BP570" s="3">
        <v>-0.119611428486498</v>
      </c>
      <c r="BT570" s="3">
        <v>-1.03407376753054</v>
      </c>
      <c r="BU570" s="3">
        <v>0.00617283950617285</v>
      </c>
    </row>
    <row r="571" s="3" customFormat="1" spans="1:73">
      <c r="A571" s="4">
        <v>570</v>
      </c>
      <c r="B571" s="6">
        <v>90</v>
      </c>
      <c r="C571" s="24" t="s">
        <v>326</v>
      </c>
      <c r="D571" s="13" t="s">
        <v>333</v>
      </c>
      <c r="E571" s="25">
        <v>-34.803703001074</v>
      </c>
      <c r="F571" s="25">
        <v>-58.2915945483972</v>
      </c>
      <c r="G571" s="20">
        <v>17.0041675567627</v>
      </c>
      <c r="H571" s="21">
        <v>1072</v>
      </c>
      <c r="I571" s="3"/>
      <c r="J571" s="13" t="s">
        <v>193</v>
      </c>
      <c r="K571" s="5" t="s">
        <v>182</v>
      </c>
      <c r="L571" s="3"/>
      <c r="M571" s="3"/>
      <c r="N571" s="3"/>
      <c r="O571" s="36" t="s">
        <v>80</v>
      </c>
      <c r="P571" s="7"/>
      <c r="Q571" s="3"/>
      <c r="R571" s="3"/>
      <c r="S571" s="13"/>
      <c r="T571" s="21"/>
      <c r="U571" s="8"/>
      <c r="V571" s="8"/>
      <c r="W571" s="3"/>
      <c r="X571" s="3"/>
      <c r="Y571" s="13" t="s">
        <v>82</v>
      </c>
      <c r="Z571" s="3">
        <v>4</v>
      </c>
      <c r="AA571" s="3">
        <v>4</v>
      </c>
      <c r="AB571" s="9">
        <v>-0.176648401713559</v>
      </c>
      <c r="AC571" s="9">
        <v>0.000192271262992729</v>
      </c>
      <c r="AD571" s="25"/>
      <c r="AE571" s="25"/>
      <c r="AF571" s="9"/>
      <c r="AG571" s="9"/>
      <c r="AH571" s="25">
        <v>-0.109199291964992</v>
      </c>
      <c r="AI571" s="25">
        <v>0.00520616409829236</v>
      </c>
      <c r="AJ571" s="4">
        <v>-0.0674491097485673</v>
      </c>
      <c r="AK571" s="4">
        <v>0.00539843536128507</v>
      </c>
      <c r="AL571" s="3"/>
      <c r="AM571" s="3"/>
      <c r="AN571" s="4">
        <v>-0.239950669630591</v>
      </c>
      <c r="AO571" s="4">
        <v>0.000282163044034909</v>
      </c>
      <c r="AP571" s="3"/>
      <c r="AQ571" s="3"/>
      <c r="AR571" s="4"/>
      <c r="AS571" s="4"/>
      <c r="AT571" s="3"/>
      <c r="AU571" s="3"/>
      <c r="AV571" s="4"/>
      <c r="AW571" s="4"/>
      <c r="AX571" s="3"/>
      <c r="AY571" s="3"/>
      <c r="BN571" s="3">
        <v>0.176648401713559</v>
      </c>
      <c r="BO571" s="3">
        <v>0.00520616409829238</v>
      </c>
      <c r="BP571" s="3">
        <v>-0.10146946016486</v>
      </c>
      <c r="BT571" s="3">
        <v>-0.0967078040709629</v>
      </c>
      <c r="BU571" s="3">
        <v>0.00617283950617284</v>
      </c>
    </row>
    <row r="572" s="4" customFormat="1" spans="1:35">
      <c r="A572" s="4">
        <v>571</v>
      </c>
      <c r="B572" s="18">
        <v>91</v>
      </c>
      <c r="C572" s="19" t="s">
        <v>334</v>
      </c>
      <c r="D572" s="5" t="s">
        <v>335</v>
      </c>
      <c r="E572" s="9">
        <v>-3.742</v>
      </c>
      <c r="F572" s="9">
        <v>-38.5775</v>
      </c>
      <c r="G572" s="20">
        <v>26</v>
      </c>
      <c r="H572" s="21">
        <v>1600</v>
      </c>
      <c r="I572" s="4"/>
      <c r="J572" s="13" t="s">
        <v>181</v>
      </c>
      <c r="K572" s="5" t="s">
        <v>182</v>
      </c>
      <c r="L572" s="4">
        <v>2010</v>
      </c>
      <c r="M572" s="4">
        <v>2</v>
      </c>
      <c r="N572" s="5" t="s">
        <v>96</v>
      </c>
      <c r="O572" s="36" t="s">
        <v>80</v>
      </c>
      <c r="P572" s="29">
        <v>6.3075</v>
      </c>
      <c r="Q572" s="4">
        <v>11.082</v>
      </c>
      <c r="R572" s="12"/>
      <c r="S572" s="13"/>
      <c r="T572" s="34">
        <v>2.013</v>
      </c>
      <c r="U572" s="34">
        <v>6.513</v>
      </c>
      <c r="V572" s="34">
        <v>91.523</v>
      </c>
      <c r="W572" s="4">
        <v>28</v>
      </c>
      <c r="X572" s="5" t="s">
        <v>91</v>
      </c>
      <c r="Y572" s="5" t="s">
        <v>82</v>
      </c>
      <c r="Z572" s="4">
        <v>4</v>
      </c>
      <c r="AA572" s="4">
        <v>4</v>
      </c>
      <c r="AB572" s="9">
        <v>0.0585773577138217</v>
      </c>
      <c r="AC572" s="9">
        <v>0.00716187449088954</v>
      </c>
      <c r="AD572" s="9"/>
      <c r="AE572" s="9"/>
      <c r="AF572" s="9"/>
      <c r="AG572" s="9"/>
      <c r="AH572" s="9"/>
      <c r="AI572" s="9"/>
    </row>
    <row r="573" s="4" customFormat="1" spans="1:35">
      <c r="A573" s="4">
        <v>572</v>
      </c>
      <c r="B573" s="18">
        <v>91</v>
      </c>
      <c r="C573" s="19" t="s">
        <v>334</v>
      </c>
      <c r="D573" s="5" t="s">
        <v>335</v>
      </c>
      <c r="E573" s="9">
        <v>-3.742</v>
      </c>
      <c r="F573" s="9">
        <v>-38.5775</v>
      </c>
      <c r="G573" s="20">
        <v>26</v>
      </c>
      <c r="H573" s="21">
        <v>1600</v>
      </c>
      <c r="I573" s="4"/>
      <c r="J573" s="13" t="s">
        <v>181</v>
      </c>
      <c r="K573" s="5" t="s">
        <v>182</v>
      </c>
      <c r="L573" s="4">
        <v>2010</v>
      </c>
      <c r="M573" s="4">
        <v>2</v>
      </c>
      <c r="N573" s="5" t="s">
        <v>96</v>
      </c>
      <c r="O573" s="36" t="s">
        <v>80</v>
      </c>
      <c r="P573" s="29">
        <v>6.3075</v>
      </c>
      <c r="Q573" s="4">
        <v>11.082</v>
      </c>
      <c r="R573" s="12"/>
      <c r="S573" s="13"/>
      <c r="T573" s="34">
        <v>2.013</v>
      </c>
      <c r="U573" s="34">
        <v>6.513</v>
      </c>
      <c r="V573" s="34">
        <v>91.523</v>
      </c>
      <c r="W573" s="4">
        <v>28</v>
      </c>
      <c r="X573" s="5" t="s">
        <v>91</v>
      </c>
      <c r="Y573" s="5" t="s">
        <v>82</v>
      </c>
      <c r="Z573" s="4">
        <v>4</v>
      </c>
      <c r="AA573" s="4">
        <v>4</v>
      </c>
      <c r="AB573" s="9">
        <v>0.162467216759561</v>
      </c>
      <c r="AC573" s="9">
        <v>0.010384344170494</v>
      </c>
      <c r="AD573" s="9"/>
      <c r="AE573" s="9"/>
      <c r="AF573" s="9"/>
      <c r="AG573" s="9"/>
      <c r="AH573" s="9"/>
      <c r="AI573" s="9"/>
    </row>
    <row r="574" s="4" customFormat="1" spans="1:35">
      <c r="A574" s="4">
        <v>573</v>
      </c>
      <c r="B574" s="18">
        <v>91</v>
      </c>
      <c r="C574" s="19" t="s">
        <v>334</v>
      </c>
      <c r="D574" s="5" t="s">
        <v>335</v>
      </c>
      <c r="E574" s="9">
        <v>-3.742</v>
      </c>
      <c r="F574" s="9">
        <v>-38.5775</v>
      </c>
      <c r="G574" s="20">
        <v>26</v>
      </c>
      <c r="H574" s="21">
        <v>1600</v>
      </c>
      <c r="I574" s="4"/>
      <c r="J574" s="13" t="s">
        <v>181</v>
      </c>
      <c r="K574" s="5" t="s">
        <v>182</v>
      </c>
      <c r="L574" s="4">
        <v>2010</v>
      </c>
      <c r="M574" s="4">
        <v>2</v>
      </c>
      <c r="N574" s="5" t="s">
        <v>96</v>
      </c>
      <c r="O574" s="36" t="s">
        <v>80</v>
      </c>
      <c r="P574" s="29">
        <v>6.3075</v>
      </c>
      <c r="Q574" s="4">
        <v>11.082</v>
      </c>
      <c r="R574" s="12"/>
      <c r="S574" s="13"/>
      <c r="T574" s="34">
        <v>2.013</v>
      </c>
      <c r="U574" s="34">
        <v>6.513</v>
      </c>
      <c r="V574" s="34">
        <v>91.523</v>
      </c>
      <c r="W574" s="4">
        <v>28</v>
      </c>
      <c r="X574" s="5" t="s">
        <v>91</v>
      </c>
      <c r="Y574" s="5" t="s">
        <v>82</v>
      </c>
      <c r="Z574" s="4">
        <v>4</v>
      </c>
      <c r="AA574" s="4">
        <v>4</v>
      </c>
      <c r="AB574" s="9">
        <v>0.342294887903099</v>
      </c>
      <c r="AC574" s="9">
        <v>0.0375087918973033</v>
      </c>
      <c r="AD574" s="9"/>
      <c r="AE574" s="9"/>
      <c r="AF574" s="9"/>
      <c r="AG574" s="9"/>
      <c r="AH574" s="9"/>
      <c r="AI574" s="9"/>
    </row>
    <row r="575" s="4" customFormat="1" spans="1:35">
      <c r="A575" s="4">
        <v>574</v>
      </c>
      <c r="B575" s="18">
        <v>91</v>
      </c>
      <c r="C575" s="19" t="s">
        <v>334</v>
      </c>
      <c r="D575" s="5" t="s">
        <v>335</v>
      </c>
      <c r="E575" s="9">
        <v>-3.742</v>
      </c>
      <c r="F575" s="9">
        <v>-38.5775</v>
      </c>
      <c r="G575" s="20">
        <v>26</v>
      </c>
      <c r="H575" s="21">
        <v>1600</v>
      </c>
      <c r="I575" s="4"/>
      <c r="J575" s="13" t="s">
        <v>181</v>
      </c>
      <c r="K575" s="5" t="s">
        <v>182</v>
      </c>
      <c r="L575" s="4">
        <v>2010</v>
      </c>
      <c r="M575" s="4">
        <v>2</v>
      </c>
      <c r="N575" s="5" t="s">
        <v>96</v>
      </c>
      <c r="O575" s="36" t="s">
        <v>80</v>
      </c>
      <c r="P575" s="29">
        <v>6.3075</v>
      </c>
      <c r="Q575" s="4">
        <v>11.082</v>
      </c>
      <c r="R575" s="12"/>
      <c r="S575" s="13"/>
      <c r="T575" s="34">
        <v>2.013</v>
      </c>
      <c r="U575" s="34">
        <v>6.513</v>
      </c>
      <c r="V575" s="34">
        <v>91.523</v>
      </c>
      <c r="W575" s="4">
        <v>28</v>
      </c>
      <c r="X575" s="5" t="s">
        <v>91</v>
      </c>
      <c r="Y575" s="5" t="s">
        <v>82</v>
      </c>
      <c r="Z575" s="4">
        <v>4</v>
      </c>
      <c r="AA575" s="4">
        <v>4</v>
      </c>
      <c r="AB575" s="9">
        <v>0.270585703596747</v>
      </c>
      <c r="AC575" s="9">
        <v>0.073296955458499</v>
      </c>
      <c r="AD575" s="9"/>
      <c r="AE575" s="9"/>
      <c r="AF575" s="9"/>
      <c r="AG575" s="9"/>
      <c r="AH575" s="9"/>
      <c r="AI575" s="9"/>
    </row>
    <row r="576" s="4" customFormat="1" spans="1:35">
      <c r="A576" s="4">
        <v>575</v>
      </c>
      <c r="B576" s="18">
        <v>91</v>
      </c>
      <c r="C576" s="19" t="s">
        <v>334</v>
      </c>
      <c r="D576" s="5" t="s">
        <v>335</v>
      </c>
      <c r="E576" s="9">
        <v>-3.742</v>
      </c>
      <c r="F576" s="9">
        <v>-38.5775</v>
      </c>
      <c r="G576" s="20">
        <v>26</v>
      </c>
      <c r="H576" s="21">
        <v>1600</v>
      </c>
      <c r="I576" s="4"/>
      <c r="J576" s="13" t="s">
        <v>181</v>
      </c>
      <c r="K576" s="5" t="s">
        <v>182</v>
      </c>
      <c r="L576" s="4">
        <v>2010</v>
      </c>
      <c r="M576" s="4">
        <v>2</v>
      </c>
      <c r="N576" s="5" t="s">
        <v>96</v>
      </c>
      <c r="O576" s="36" t="s">
        <v>80</v>
      </c>
      <c r="P576" s="29">
        <v>6.3075</v>
      </c>
      <c r="Q576" s="4">
        <v>11.082</v>
      </c>
      <c r="R576" s="12"/>
      <c r="S576" s="13"/>
      <c r="T576" s="34">
        <v>2.013</v>
      </c>
      <c r="U576" s="34">
        <v>6.513</v>
      </c>
      <c r="V576" s="34">
        <v>91.523</v>
      </c>
      <c r="W576" s="4">
        <v>28</v>
      </c>
      <c r="X576" s="5" t="s">
        <v>91</v>
      </c>
      <c r="Y576" s="5" t="s">
        <v>82</v>
      </c>
      <c r="Z576" s="4">
        <v>4</v>
      </c>
      <c r="AA576" s="4">
        <v>4</v>
      </c>
      <c r="AB576" s="9">
        <v>0.233188289726861</v>
      </c>
      <c r="AC576" s="9">
        <v>0.0341842077388665</v>
      </c>
      <c r="AD576" s="9"/>
      <c r="AE576" s="9"/>
      <c r="AF576" s="9"/>
      <c r="AG576" s="9"/>
      <c r="AH576" s="9"/>
      <c r="AI576" s="9"/>
    </row>
    <row r="577" s="4" customFormat="1" spans="1:35">
      <c r="A577" s="4">
        <v>576</v>
      </c>
      <c r="B577" s="18">
        <v>91</v>
      </c>
      <c r="C577" s="19" t="s">
        <v>334</v>
      </c>
      <c r="D577" s="5" t="s">
        <v>335</v>
      </c>
      <c r="E577" s="9">
        <v>-3.742</v>
      </c>
      <c r="F577" s="9">
        <v>-38.5775</v>
      </c>
      <c r="G577" s="20">
        <v>26</v>
      </c>
      <c r="H577" s="21">
        <v>1600</v>
      </c>
      <c r="I577" s="4"/>
      <c r="J577" s="13" t="s">
        <v>181</v>
      </c>
      <c r="K577" s="5" t="s">
        <v>182</v>
      </c>
      <c r="L577" s="4">
        <v>2010</v>
      </c>
      <c r="M577" s="4">
        <v>2</v>
      </c>
      <c r="N577" s="5" t="s">
        <v>96</v>
      </c>
      <c r="O577" s="36" t="s">
        <v>80</v>
      </c>
      <c r="P577" s="29">
        <v>6.3075</v>
      </c>
      <c r="Q577" s="4">
        <v>11.082</v>
      </c>
      <c r="R577" s="12"/>
      <c r="S577" s="13"/>
      <c r="T577" s="34">
        <v>2.013</v>
      </c>
      <c r="U577" s="34">
        <v>6.513</v>
      </c>
      <c r="V577" s="34">
        <v>91.523</v>
      </c>
      <c r="W577" s="4">
        <v>28</v>
      </c>
      <c r="X577" s="5" t="s">
        <v>91</v>
      </c>
      <c r="Y577" s="5" t="s">
        <v>82</v>
      </c>
      <c r="Z577" s="4">
        <v>4</v>
      </c>
      <c r="AA577" s="4">
        <v>4</v>
      </c>
      <c r="AB577" s="9">
        <v>0.441140225178386</v>
      </c>
      <c r="AC577" s="9">
        <v>0.0183751763435547</v>
      </c>
      <c r="AD577" s="9"/>
      <c r="AE577" s="9"/>
      <c r="AF577" s="9"/>
      <c r="AG577" s="9"/>
      <c r="AH577" s="9"/>
      <c r="AI577" s="9"/>
    </row>
    <row r="578" s="3" customFormat="1" spans="1:49">
      <c r="A578" s="4">
        <v>577</v>
      </c>
      <c r="B578" s="6">
        <v>92</v>
      </c>
      <c r="C578" s="24" t="s">
        <v>336</v>
      </c>
      <c r="D578" s="13" t="s">
        <v>337</v>
      </c>
      <c r="E578" s="25">
        <v>-18.182</v>
      </c>
      <c r="F578" s="25">
        <v>-45.227</v>
      </c>
      <c r="G578" s="20">
        <v>22.9249992370605</v>
      </c>
      <c r="H578" s="21">
        <v>1097</v>
      </c>
      <c r="I578" s="3">
        <v>539</v>
      </c>
      <c r="J578" s="13" t="s">
        <v>181</v>
      </c>
      <c r="K578" s="5" t="s">
        <v>182</v>
      </c>
      <c r="L578" s="3">
        <v>2009</v>
      </c>
      <c r="M578" s="3">
        <v>2</v>
      </c>
      <c r="N578" s="13" t="s">
        <v>96</v>
      </c>
      <c r="O578" s="36" t="s">
        <v>80</v>
      </c>
      <c r="P578" s="7">
        <v>5.5</v>
      </c>
      <c r="Q578" s="3">
        <v>3.6</v>
      </c>
      <c r="R578" s="12"/>
      <c r="S578" s="13"/>
      <c r="T578" s="21">
        <v>20</v>
      </c>
      <c r="U578" s="21">
        <v>25</v>
      </c>
      <c r="V578" s="21">
        <v>55</v>
      </c>
      <c r="W578" s="3"/>
      <c r="X578" s="3"/>
      <c r="Y578" s="13" t="s">
        <v>82</v>
      </c>
      <c r="Z578" s="3">
        <v>5</v>
      </c>
      <c r="AA578" s="3">
        <v>5</v>
      </c>
      <c r="AB578" s="9">
        <v>-0.533589870038055</v>
      </c>
      <c r="AC578" s="9">
        <v>0.000153817010394183</v>
      </c>
      <c r="AD578" s="25">
        <v>-0.514997806208555</v>
      </c>
      <c r="AE578" s="25">
        <v>0.00320069368170995</v>
      </c>
      <c r="AF578" s="9">
        <v>0.0185920638295008</v>
      </c>
      <c r="AG578" s="9">
        <v>0.00335451069210413</v>
      </c>
      <c r="AH578" s="25">
        <v>0.441832752279039</v>
      </c>
      <c r="AI578" s="25">
        <v>0.0041649312786339</v>
      </c>
      <c r="AJ578" s="4">
        <v>-0.975422622317095</v>
      </c>
      <c r="AK578" s="4">
        <v>0.00431874828902808</v>
      </c>
      <c r="AL578" s="3">
        <v>-0.956830558487594</v>
      </c>
      <c r="AM578" s="3">
        <v>0.00736562496034385</v>
      </c>
      <c r="AN578" s="4">
        <v>0.0357180826020792</v>
      </c>
      <c r="AO578" s="4">
        <v>0.000225730435227927</v>
      </c>
      <c r="AP578" s="3"/>
      <c r="AQ578" s="3"/>
      <c r="AR578" s="4"/>
      <c r="AS578" s="4"/>
      <c r="AT578" s="3"/>
      <c r="AU578" s="3"/>
      <c r="AV578" s="4"/>
      <c r="AW578" s="4"/>
    </row>
    <row r="579" s="3" customFormat="1" spans="1:75">
      <c r="A579" s="4">
        <v>578</v>
      </c>
      <c r="B579" s="6">
        <v>94</v>
      </c>
      <c r="C579" s="24" t="s">
        <v>338</v>
      </c>
      <c r="D579" s="13" t="s">
        <v>339</v>
      </c>
      <c r="E579" s="3">
        <v>38.25</v>
      </c>
      <c r="F579" s="3">
        <v>107.45</v>
      </c>
      <c r="G579" s="26">
        <v>8.1</v>
      </c>
      <c r="H579" s="27">
        <v>282.5</v>
      </c>
      <c r="I579" s="3"/>
      <c r="J579" s="13" t="s">
        <v>94</v>
      </c>
      <c r="K579" s="5" t="s">
        <v>78</v>
      </c>
      <c r="L579" s="3">
        <v>2021</v>
      </c>
      <c r="M579" s="3">
        <v>8</v>
      </c>
      <c r="N579" s="13" t="s">
        <v>96</v>
      </c>
      <c r="O579" s="28" t="s">
        <v>80</v>
      </c>
      <c r="P579" s="7">
        <v>8.36</v>
      </c>
      <c r="Q579" s="3"/>
      <c r="R579" s="12"/>
      <c r="S579" s="13"/>
      <c r="T579" s="21">
        <v>19</v>
      </c>
      <c r="U579" s="21">
        <v>26</v>
      </c>
      <c r="V579" s="21">
        <v>55</v>
      </c>
      <c r="W579" s="3">
        <v>3</v>
      </c>
      <c r="X579" s="5" t="s">
        <v>81</v>
      </c>
      <c r="Y579" s="13" t="s">
        <v>82</v>
      </c>
      <c r="Z579" s="3">
        <v>5</v>
      </c>
      <c r="AA579" s="3">
        <v>5</v>
      </c>
      <c r="AB579" s="9">
        <v>0.093601903718193</v>
      </c>
      <c r="AC579" s="9">
        <v>0.0249301376484351</v>
      </c>
      <c r="AD579" s="25">
        <v>-0.134771535095393</v>
      </c>
      <c r="AE579" s="25">
        <v>0.0208086177688585</v>
      </c>
      <c r="AF579" s="9">
        <v>-0.228373438813585</v>
      </c>
      <c r="AG579" s="9">
        <v>0.0457387554172934</v>
      </c>
      <c r="AH579" s="25">
        <v>0.00397795337046677</v>
      </c>
      <c r="AI579" s="25">
        <v>0.00277802843214033</v>
      </c>
      <c r="AJ579" s="4">
        <v>0.0896239503477263</v>
      </c>
      <c r="AK579" s="4">
        <v>0.0277081660805755</v>
      </c>
      <c r="AL579" s="3">
        <v>-0.138749488465859</v>
      </c>
      <c r="AM579" s="3">
        <v>0.0235866462009988</v>
      </c>
      <c r="AN579" s="4"/>
      <c r="AO579" s="4"/>
      <c r="AP579" s="3"/>
      <c r="AQ579" s="3"/>
      <c r="AR579" s="4"/>
      <c r="AS579" s="4"/>
      <c r="AT579" s="3"/>
      <c r="AU579" s="3"/>
      <c r="AV579" s="4"/>
      <c r="AW579" s="4"/>
      <c r="AX579" s="3"/>
      <c r="AY579" s="3"/>
      <c r="BP579" s="3">
        <v>-0.0106475969254781</v>
      </c>
      <c r="BQ579" s="3">
        <v>0.000353164060751334</v>
      </c>
      <c r="BV579" s="3">
        <v>-0.0180192415195538</v>
      </c>
      <c r="BW579" s="3">
        <v>0.00375675923781392</v>
      </c>
    </row>
    <row r="580" s="3" customFormat="1" spans="1:75">
      <c r="A580" s="4">
        <v>579</v>
      </c>
      <c r="B580" s="6">
        <v>94</v>
      </c>
      <c r="C580" s="24" t="s">
        <v>338</v>
      </c>
      <c r="D580" s="13" t="s">
        <v>339</v>
      </c>
      <c r="E580" s="3">
        <v>38.25</v>
      </c>
      <c r="F580" s="3">
        <v>107.45</v>
      </c>
      <c r="G580" s="26">
        <v>8.1</v>
      </c>
      <c r="H580" s="27">
        <v>282.5</v>
      </c>
      <c r="I580" s="3"/>
      <c r="J580" s="13" t="s">
        <v>123</v>
      </c>
      <c r="K580" s="5" t="s">
        <v>78</v>
      </c>
      <c r="L580" s="3">
        <v>2021</v>
      </c>
      <c r="M580" s="3">
        <v>8</v>
      </c>
      <c r="N580" s="13" t="s">
        <v>96</v>
      </c>
      <c r="O580" s="28" t="s">
        <v>80</v>
      </c>
      <c r="P580" s="7">
        <v>8.36</v>
      </c>
      <c r="Q580" s="3"/>
      <c r="R580" s="12"/>
      <c r="S580" s="13"/>
      <c r="T580" s="21">
        <v>19</v>
      </c>
      <c r="U580" s="21">
        <v>26</v>
      </c>
      <c r="V580" s="21">
        <v>55</v>
      </c>
      <c r="W580" s="3">
        <v>3</v>
      </c>
      <c r="X580" s="5" t="s">
        <v>81</v>
      </c>
      <c r="Y580" s="13" t="s">
        <v>82</v>
      </c>
      <c r="Z580" s="3">
        <v>5</v>
      </c>
      <c r="AA580" s="3">
        <v>5</v>
      </c>
      <c r="AB580" s="9">
        <v>0.000629771013180756</v>
      </c>
      <c r="AC580" s="9">
        <v>0.00736183906628585</v>
      </c>
      <c r="AD580" s="25">
        <v>-0.214921156510267</v>
      </c>
      <c r="AE580" s="25">
        <v>0.0158911746958759</v>
      </c>
      <c r="AF580" s="9">
        <v>-0.215550927523449</v>
      </c>
      <c r="AG580" s="9">
        <v>0.0232530137621617</v>
      </c>
      <c r="AH580" s="25">
        <v>0.00274384867637386</v>
      </c>
      <c r="AI580" s="25">
        <v>0.00277802843214032</v>
      </c>
      <c r="AJ580" s="4">
        <v>-0.00211407766319444</v>
      </c>
      <c r="AK580" s="4">
        <v>0.0101398674984262</v>
      </c>
      <c r="AL580" s="3">
        <v>-0.21766500518664</v>
      </c>
      <c r="AM580" s="3">
        <v>0.0186692031280163</v>
      </c>
      <c r="AN580" s="4"/>
      <c r="AO580" s="4"/>
      <c r="AP580" s="3"/>
      <c r="AQ580" s="3"/>
      <c r="AR580" s="4"/>
      <c r="AS580" s="4"/>
      <c r="AT580" s="3"/>
      <c r="AU580" s="3"/>
      <c r="AV580" s="4"/>
      <c r="AW580" s="4"/>
      <c r="AX580" s="3"/>
      <c r="AY580" s="3"/>
      <c r="BP580" s="3">
        <v>-0.134266960578057</v>
      </c>
      <c r="BQ580" s="3">
        <v>0.000673204688936119</v>
      </c>
      <c r="BV580" s="3">
        <v>-0.374097979045576</v>
      </c>
      <c r="BW580" s="3">
        <v>0.0032902539216565</v>
      </c>
    </row>
    <row r="581" s="3" customFormat="1" spans="1:75">
      <c r="A581" s="4">
        <v>580</v>
      </c>
      <c r="B581" s="6">
        <v>94</v>
      </c>
      <c r="C581" s="24" t="s">
        <v>338</v>
      </c>
      <c r="D581" s="13" t="s">
        <v>339</v>
      </c>
      <c r="E581" s="3">
        <v>38.25</v>
      </c>
      <c r="F581" s="3">
        <v>107.45</v>
      </c>
      <c r="G581" s="26">
        <v>8.1</v>
      </c>
      <c r="H581" s="27">
        <v>282.5</v>
      </c>
      <c r="I581" s="3"/>
      <c r="J581" s="13" t="s">
        <v>95</v>
      </c>
      <c r="K581" s="5" t="s">
        <v>78</v>
      </c>
      <c r="L581" s="3">
        <v>2021</v>
      </c>
      <c r="M581" s="3">
        <v>8</v>
      </c>
      <c r="N581" s="13" t="s">
        <v>96</v>
      </c>
      <c r="O581" s="28" t="s">
        <v>80</v>
      </c>
      <c r="P581" s="7">
        <v>8.36</v>
      </c>
      <c r="Q581" s="3"/>
      <c r="R581" s="12"/>
      <c r="S581" s="13"/>
      <c r="T581" s="21">
        <v>19</v>
      </c>
      <c r="U581" s="21">
        <v>26</v>
      </c>
      <c r="V581" s="21">
        <v>55</v>
      </c>
      <c r="W581" s="3">
        <v>3</v>
      </c>
      <c r="X581" s="5" t="s">
        <v>81</v>
      </c>
      <c r="Y581" s="13" t="s">
        <v>82</v>
      </c>
      <c r="Z581" s="3">
        <v>5</v>
      </c>
      <c r="AA581" s="3">
        <v>5</v>
      </c>
      <c r="AB581" s="9">
        <v>-0.00896462841845336</v>
      </c>
      <c r="AC581" s="9">
        <v>0.01325756951725</v>
      </c>
      <c r="AD581" s="25">
        <v>-0.301479931153062</v>
      </c>
      <c r="AE581" s="25">
        <v>0.0153529878588182</v>
      </c>
      <c r="AF581" s="9">
        <v>-0.29251530273461</v>
      </c>
      <c r="AG581" s="9">
        <v>0.0286105573760682</v>
      </c>
      <c r="AH581" s="25">
        <v>-0.00535835618137511</v>
      </c>
      <c r="AI581" s="25">
        <v>0.00277802843214033</v>
      </c>
      <c r="AJ581" s="4">
        <v>-0.00360627223707756</v>
      </c>
      <c r="AK581" s="4">
        <v>0.0160355979493904</v>
      </c>
      <c r="AL581" s="3">
        <v>-0.296121574971684</v>
      </c>
      <c r="AM581" s="3">
        <v>0.0181310162909585</v>
      </c>
      <c r="AN581" s="4"/>
      <c r="AO581" s="4"/>
      <c r="AP581" s="3"/>
      <c r="AQ581" s="3"/>
      <c r="AR581" s="4"/>
      <c r="AS581" s="4"/>
      <c r="AT581" s="3"/>
      <c r="AU581" s="3"/>
      <c r="AV581" s="4"/>
      <c r="AW581" s="4"/>
      <c r="AX581" s="3"/>
      <c r="AY581" s="3"/>
      <c r="BP581" s="3">
        <v>-0.242729979042836</v>
      </c>
      <c r="BQ581" s="3">
        <v>0.000790930216053743</v>
      </c>
      <c r="BV581" s="3">
        <v>-0.549224873320687</v>
      </c>
      <c r="BW581" s="3">
        <v>0.00638824209422205</v>
      </c>
    </row>
    <row r="582" s="4" customFormat="1" spans="1:53">
      <c r="A582" s="4">
        <v>581</v>
      </c>
      <c r="B582" s="18">
        <v>95</v>
      </c>
      <c r="C582" s="19" t="s">
        <v>340</v>
      </c>
      <c r="D582" s="5" t="s">
        <v>341</v>
      </c>
      <c r="E582" s="4">
        <v>48.083333</v>
      </c>
      <c r="F582" s="4">
        <v>129.083333</v>
      </c>
      <c r="G582" s="20">
        <v>-0.5</v>
      </c>
      <c r="H582" s="21">
        <v>638</v>
      </c>
      <c r="I582" s="4"/>
      <c r="J582" s="13" t="s">
        <v>181</v>
      </c>
      <c r="K582" s="5" t="s">
        <v>182</v>
      </c>
      <c r="L582" s="4">
        <v>2020</v>
      </c>
      <c r="M582" s="4">
        <v>8</v>
      </c>
      <c r="N582" s="5" t="s">
        <v>96</v>
      </c>
      <c r="O582" s="36" t="s">
        <v>80</v>
      </c>
      <c r="P582" s="29">
        <v>6.1</v>
      </c>
      <c r="Q582" s="4">
        <v>101.861</v>
      </c>
      <c r="R582" s="4">
        <v>5.99</v>
      </c>
      <c r="S582" s="13">
        <v>17.0051752921536</v>
      </c>
      <c r="T582" s="21">
        <v>19</v>
      </c>
      <c r="U582" s="21">
        <v>50</v>
      </c>
      <c r="V582" s="21">
        <v>31</v>
      </c>
      <c r="W582" s="4"/>
      <c r="X582" s="4"/>
      <c r="Y582" s="5" t="s">
        <v>82</v>
      </c>
      <c r="Z582" s="4">
        <v>3</v>
      </c>
      <c r="AA582" s="4">
        <v>3</v>
      </c>
      <c r="AB582" s="9">
        <v>0.00576553245978177</v>
      </c>
      <c r="AC582" s="9">
        <v>0.000257270452565561</v>
      </c>
      <c r="AD582" s="9">
        <v>-0.0202269926006834</v>
      </c>
      <c r="AE582" s="9">
        <v>0.000677626518971603</v>
      </c>
      <c r="AF582" s="9">
        <v>-0.0259925250604632</v>
      </c>
      <c r="AG582" s="9">
        <v>0.000934896971537165</v>
      </c>
      <c r="AH582" s="9">
        <v>-0.140214573242683</v>
      </c>
      <c r="AI582" s="9">
        <v>0.00249414746297902</v>
      </c>
      <c r="AJ582" s="4">
        <v>0.145980105702466</v>
      </c>
      <c r="AK582" s="4">
        <v>0.00275141791554458</v>
      </c>
      <c r="AL582" s="4">
        <v>0.119987580641995</v>
      </c>
      <c r="AM582" s="4">
        <v>0.00317177398195063</v>
      </c>
      <c r="AN582" s="4">
        <v>-0.10354067894084</v>
      </c>
      <c r="AO582" s="4">
        <v>0.000872444757363281</v>
      </c>
      <c r="AP582" s="4">
        <v>-0.0117549632314437</v>
      </c>
      <c r="AQ582" s="4">
        <v>5.64042035360654e-6</v>
      </c>
      <c r="AR582" s="4">
        <v>-0.0612436252407187</v>
      </c>
      <c r="AS582" s="4">
        <v>0.236654005188238</v>
      </c>
      <c r="AT582" s="4"/>
      <c r="AU582" s="4"/>
      <c r="AV582" s="4">
        <v>-0.297557623146894</v>
      </c>
      <c r="AW582" s="4">
        <v>0.0110472221865937</v>
      </c>
      <c r="AX582" s="4"/>
      <c r="AY582" s="4"/>
      <c r="AZ582" s="4">
        <v>-0.18904920807512</v>
      </c>
      <c r="BA582" s="4">
        <v>0.00476375355682355</v>
      </c>
    </row>
    <row r="583" s="4" customFormat="1" spans="1:53">
      <c r="A583" s="4">
        <v>582</v>
      </c>
      <c r="B583" s="18">
        <v>95</v>
      </c>
      <c r="C583" s="19" t="s">
        <v>340</v>
      </c>
      <c r="D583" s="5" t="s">
        <v>341</v>
      </c>
      <c r="E583" s="4">
        <v>48.083333</v>
      </c>
      <c r="F583" s="4">
        <v>129.083333</v>
      </c>
      <c r="G583" s="20">
        <v>-0.5</v>
      </c>
      <c r="H583" s="21">
        <v>638</v>
      </c>
      <c r="I583" s="4"/>
      <c r="J583" s="13" t="s">
        <v>181</v>
      </c>
      <c r="K583" s="5" t="s">
        <v>182</v>
      </c>
      <c r="L583" s="4">
        <v>2020</v>
      </c>
      <c r="M583" s="4">
        <v>8</v>
      </c>
      <c r="N583" s="5" t="s">
        <v>96</v>
      </c>
      <c r="O583" s="36" t="s">
        <v>80</v>
      </c>
      <c r="P583" s="29">
        <v>6.1</v>
      </c>
      <c r="Q583" s="4">
        <v>101.861</v>
      </c>
      <c r="R583" s="4">
        <v>5.99</v>
      </c>
      <c r="S583" s="13">
        <v>17.0051752921536</v>
      </c>
      <c r="T583" s="21">
        <v>19</v>
      </c>
      <c r="U583" s="21">
        <v>50</v>
      </c>
      <c r="V583" s="21">
        <v>31</v>
      </c>
      <c r="W583" s="4"/>
      <c r="X583" s="4"/>
      <c r="Y583" s="5" t="s">
        <v>82</v>
      </c>
      <c r="Z583" s="4">
        <v>3</v>
      </c>
      <c r="AA583" s="4">
        <v>3</v>
      </c>
      <c r="AB583" s="9">
        <v>-0.0504589077762988</v>
      </c>
      <c r="AC583" s="9">
        <v>0.000333126738631748</v>
      </c>
      <c r="AD583" s="9">
        <v>-0.110684855120853</v>
      </c>
      <c r="AE583" s="9">
        <v>0.00076233220223661</v>
      </c>
      <c r="AF583" s="9">
        <v>-0.0602259473445521</v>
      </c>
      <c r="AG583" s="9">
        <v>0.00109545894086836</v>
      </c>
      <c r="AH583" s="9">
        <v>-0.111019262110333</v>
      </c>
      <c r="AI583" s="9">
        <v>0.00170528815779867</v>
      </c>
      <c r="AJ583" s="4">
        <v>0.0605603543340344</v>
      </c>
      <c r="AK583" s="4">
        <v>0.00203841489643042</v>
      </c>
      <c r="AL583" s="4">
        <v>0.000334406989476767</v>
      </c>
      <c r="AM583" s="4">
        <v>0.00246762036003528</v>
      </c>
      <c r="AN583" s="4">
        <v>-0.0660697475113467</v>
      </c>
      <c r="AO583" s="4">
        <v>0.000853111175096426</v>
      </c>
      <c r="AP583" s="4">
        <v>-0.0426322017958829</v>
      </c>
      <c r="AQ583" s="4">
        <v>0.00175101758385605</v>
      </c>
      <c r="AR583" s="4">
        <v>0.00493828164058258</v>
      </c>
      <c r="AS583" s="4">
        <v>0.0744178398237743</v>
      </c>
      <c r="AT583" s="4"/>
      <c r="AU583" s="4"/>
      <c r="AV583" s="4">
        <v>-0.528996043682717</v>
      </c>
      <c r="AW583" s="4">
        <v>0.0309701292133013</v>
      </c>
      <c r="AX583" s="4"/>
      <c r="AY583" s="4"/>
      <c r="AZ583" s="4">
        <v>-0.447497535899778</v>
      </c>
      <c r="BA583" s="4">
        <v>0.004436341237188</v>
      </c>
    </row>
    <row r="584" s="4" customFormat="1" spans="1:53">
      <c r="A584" s="4">
        <v>583</v>
      </c>
      <c r="B584" s="18">
        <v>95</v>
      </c>
      <c r="C584" s="19" t="s">
        <v>340</v>
      </c>
      <c r="D584" s="5" t="s">
        <v>341</v>
      </c>
      <c r="E584" s="4">
        <v>48.083333</v>
      </c>
      <c r="F584" s="4">
        <v>129.083333</v>
      </c>
      <c r="G584" s="20">
        <v>-0.5</v>
      </c>
      <c r="H584" s="21">
        <v>638</v>
      </c>
      <c r="I584" s="4"/>
      <c r="J584" s="13" t="s">
        <v>181</v>
      </c>
      <c r="K584" s="5" t="s">
        <v>182</v>
      </c>
      <c r="L584" s="4">
        <v>2020</v>
      </c>
      <c r="M584" s="4">
        <v>8</v>
      </c>
      <c r="N584" s="5" t="s">
        <v>96</v>
      </c>
      <c r="O584" s="36" t="s">
        <v>80</v>
      </c>
      <c r="P584" s="29">
        <v>6.1</v>
      </c>
      <c r="Q584" s="4">
        <v>101.861</v>
      </c>
      <c r="R584" s="4">
        <v>5.99</v>
      </c>
      <c r="S584" s="13">
        <v>17.0051752921536</v>
      </c>
      <c r="T584" s="21">
        <v>19</v>
      </c>
      <c r="U584" s="21">
        <v>50</v>
      </c>
      <c r="V584" s="21">
        <v>31</v>
      </c>
      <c r="W584" s="4"/>
      <c r="X584" s="4"/>
      <c r="Y584" s="5" t="s">
        <v>82</v>
      </c>
      <c r="Z584" s="4">
        <v>3</v>
      </c>
      <c r="AA584" s="4">
        <v>3</v>
      </c>
      <c r="AB584" s="9">
        <v>-0.082448927311674</v>
      </c>
      <c r="AC584" s="9">
        <v>0.000690757194560273</v>
      </c>
      <c r="AD584" s="9">
        <v>-0.122283550203688</v>
      </c>
      <c r="AE584" s="9">
        <v>0.00108671552661708</v>
      </c>
      <c r="AF584" s="9">
        <v>-0.0398346228920127</v>
      </c>
      <c r="AG584" s="9">
        <v>0.00177747272117735</v>
      </c>
      <c r="AH584" s="9">
        <v>-0.311027710048417</v>
      </c>
      <c r="AI584" s="9">
        <v>0.00590447139334038</v>
      </c>
      <c r="AJ584" s="4">
        <v>0.228578782736743</v>
      </c>
      <c r="AK584" s="4">
        <v>0.00659522858790067</v>
      </c>
      <c r="AL584" s="4">
        <v>0.188744159844726</v>
      </c>
      <c r="AM584" s="4">
        <v>0.00699118691995746</v>
      </c>
      <c r="AN584" s="4">
        <v>-0.118192955727711</v>
      </c>
      <c r="AO584" s="4">
        <v>0.000618292534648043</v>
      </c>
      <c r="AP584" s="4">
        <v>-0.0926426223705444</v>
      </c>
      <c r="AQ584" s="4">
        <v>0.0016263161562933</v>
      </c>
      <c r="AR584" s="4">
        <v>0.0292703823001132</v>
      </c>
      <c r="AS584" s="4">
        <v>0.138853191476326</v>
      </c>
      <c r="AT584" s="4"/>
      <c r="AU584" s="4"/>
      <c r="AV584" s="4">
        <v>-0.535382409355937</v>
      </c>
      <c r="AW584" s="4">
        <v>0.0344721980462324</v>
      </c>
      <c r="AX584" s="4"/>
      <c r="AY584" s="4"/>
      <c r="AZ584" s="4">
        <v>-0.437376147865455</v>
      </c>
      <c r="BA584" s="4">
        <v>0.0103944824459817</v>
      </c>
    </row>
    <row r="585" s="4" customFormat="1" spans="1:53">
      <c r="A585" s="4">
        <v>584</v>
      </c>
      <c r="B585" s="18">
        <v>95</v>
      </c>
      <c r="C585" s="19" t="s">
        <v>340</v>
      </c>
      <c r="D585" s="5" t="s">
        <v>341</v>
      </c>
      <c r="E585" s="4">
        <v>48.083333</v>
      </c>
      <c r="F585" s="4">
        <v>129.083333</v>
      </c>
      <c r="G585" s="20">
        <v>-0.5</v>
      </c>
      <c r="H585" s="21">
        <v>638</v>
      </c>
      <c r="I585" s="4"/>
      <c r="J585" s="13" t="s">
        <v>181</v>
      </c>
      <c r="K585" s="5" t="s">
        <v>182</v>
      </c>
      <c r="L585" s="4">
        <v>2020</v>
      </c>
      <c r="M585" s="4">
        <v>8</v>
      </c>
      <c r="N585" s="5" t="s">
        <v>96</v>
      </c>
      <c r="O585" s="36" t="s">
        <v>80</v>
      </c>
      <c r="P585" s="29">
        <v>6.1</v>
      </c>
      <c r="Q585" s="4">
        <v>101.861</v>
      </c>
      <c r="R585" s="4">
        <v>5.99</v>
      </c>
      <c r="S585" s="13">
        <v>17.0051752921536</v>
      </c>
      <c r="T585" s="21">
        <v>19</v>
      </c>
      <c r="U585" s="21">
        <v>50</v>
      </c>
      <c r="V585" s="21">
        <v>31</v>
      </c>
      <c r="W585" s="4"/>
      <c r="X585" s="4"/>
      <c r="Y585" s="5" t="s">
        <v>82</v>
      </c>
      <c r="Z585" s="4">
        <v>3</v>
      </c>
      <c r="AA585" s="4">
        <v>3</v>
      </c>
      <c r="AB585" s="9">
        <v>-0.151026076506138</v>
      </c>
      <c r="AC585" s="9">
        <v>0.00020657479670308</v>
      </c>
      <c r="AD585" s="9">
        <v>-0.166607310644392</v>
      </c>
      <c r="AE585" s="9">
        <v>0.000823822845317316</v>
      </c>
      <c r="AF585" s="9">
        <v>-0.0155812341382527</v>
      </c>
      <c r="AG585" s="9">
        <v>0.0010303976420204</v>
      </c>
      <c r="AH585" s="9">
        <v>-0.304640788026955</v>
      </c>
      <c r="AI585" s="9">
        <v>0.00203258737422024</v>
      </c>
      <c r="AJ585" s="4">
        <v>0.153614711520818</v>
      </c>
      <c r="AK585" s="4">
        <v>0.00223916217092332</v>
      </c>
      <c r="AL585" s="4">
        <v>0.13803347738256</v>
      </c>
      <c r="AM585" s="4">
        <v>0.00285641021953756</v>
      </c>
      <c r="AN585" s="4">
        <v>-0.0401391675903442</v>
      </c>
      <c r="AO585" s="4">
        <v>0.00154819326793763</v>
      </c>
      <c r="AP585" s="4">
        <v>-0.198817470320929</v>
      </c>
      <c r="AQ585" s="4">
        <v>0.0056813764140224</v>
      </c>
      <c r="AR585" s="4">
        <v>-0.0771590805466181</v>
      </c>
      <c r="AS585" s="4">
        <v>0.0416544895903698</v>
      </c>
      <c r="AT585" s="4"/>
      <c r="AU585" s="4"/>
      <c r="AV585" s="4">
        <v>-0.585979486130042</v>
      </c>
      <c r="AW585" s="4">
        <v>0.0440584096922193</v>
      </c>
      <c r="AX585" s="4"/>
      <c r="AY585" s="4"/>
      <c r="AZ585" s="4">
        <v>-0.523431976750269</v>
      </c>
      <c r="BA585" s="4">
        <v>0.00441167139297002</v>
      </c>
    </row>
    <row r="586" s="4" customFormat="1" spans="1:53">
      <c r="A586" s="4">
        <v>585</v>
      </c>
      <c r="B586" s="18">
        <v>95</v>
      </c>
      <c r="C586" s="19" t="s">
        <v>340</v>
      </c>
      <c r="D586" s="5" t="s">
        <v>341</v>
      </c>
      <c r="E586" s="4">
        <v>48.083333</v>
      </c>
      <c r="F586" s="4">
        <v>129.083333</v>
      </c>
      <c r="G586" s="20">
        <v>-0.5</v>
      </c>
      <c r="H586" s="21">
        <v>638</v>
      </c>
      <c r="I586" s="4"/>
      <c r="J586" s="13" t="s">
        <v>181</v>
      </c>
      <c r="K586" s="5" t="s">
        <v>182</v>
      </c>
      <c r="L586" s="4">
        <v>2020</v>
      </c>
      <c r="M586" s="4">
        <v>8</v>
      </c>
      <c r="N586" s="5" t="s">
        <v>96</v>
      </c>
      <c r="O586" s="28" t="s">
        <v>136</v>
      </c>
      <c r="P586" s="29">
        <v>5.4</v>
      </c>
      <c r="Q586" s="4">
        <v>69.9835</v>
      </c>
      <c r="R586" s="4">
        <v>3.88</v>
      </c>
      <c r="S586" s="13">
        <v>18.0369845360825</v>
      </c>
      <c r="T586" s="21">
        <v>19</v>
      </c>
      <c r="U586" s="21">
        <v>50</v>
      </c>
      <c r="V586" s="21">
        <v>31</v>
      </c>
      <c r="W586" s="4"/>
      <c r="X586" s="4"/>
      <c r="Y586" s="5" t="s">
        <v>82</v>
      </c>
      <c r="Z586" s="4">
        <v>3</v>
      </c>
      <c r="AA586" s="4">
        <v>3</v>
      </c>
      <c r="AB586" s="9">
        <v>0.0267780895653063</v>
      </c>
      <c r="AC586" s="9">
        <v>0.000676521490719011</v>
      </c>
      <c r="AD586" s="9">
        <v>-0.00849775299274867</v>
      </c>
      <c r="AE586" s="9">
        <v>0.00151036689463676</v>
      </c>
      <c r="AF586" s="9">
        <v>-0.0352758425580528</v>
      </c>
      <c r="AG586" s="9">
        <v>0.00218688838535578</v>
      </c>
      <c r="AH586" s="9">
        <v>0.133929621493521</v>
      </c>
      <c r="AI586" s="9">
        <v>0.00812667203436653</v>
      </c>
      <c r="AJ586" s="4">
        <v>-0.107151531928214</v>
      </c>
      <c r="AK586" s="4">
        <v>0.00880319352508557</v>
      </c>
      <c r="AL586" s="4">
        <v>-0.14242737448627</v>
      </c>
      <c r="AM586" s="4">
        <v>0.00963703892900326</v>
      </c>
      <c r="AN586" s="4">
        <v>-0.0358190978049532</v>
      </c>
      <c r="AO586" s="4">
        <v>0.000266251931993153</v>
      </c>
      <c r="AP586" s="4">
        <v>0.279270505547496</v>
      </c>
      <c r="AQ586" s="4">
        <v>0.0176525252342822</v>
      </c>
      <c r="AR586" s="4">
        <v>-0.157628944203583</v>
      </c>
      <c r="AS586" s="4">
        <v>0.00148163295657348</v>
      </c>
      <c r="AT586" s="4"/>
      <c r="AU586" s="4"/>
      <c r="AV586" s="4">
        <v>0.383564189930492</v>
      </c>
      <c r="AW586" s="4">
        <v>0.0358529886293787</v>
      </c>
      <c r="AX586" s="4"/>
      <c r="AY586" s="4"/>
      <c r="AZ586" s="4">
        <v>-0.292026639306007</v>
      </c>
      <c r="BA586" s="4">
        <v>0.00784074576004546</v>
      </c>
    </row>
    <row r="587" s="4" customFormat="1" spans="1:53">
      <c r="A587" s="4">
        <v>586</v>
      </c>
      <c r="B587" s="18">
        <v>95</v>
      </c>
      <c r="C587" s="19" t="s">
        <v>340</v>
      </c>
      <c r="D587" s="5" t="s">
        <v>341</v>
      </c>
      <c r="E587" s="4">
        <v>48.083333</v>
      </c>
      <c r="F587" s="4">
        <v>129.083333</v>
      </c>
      <c r="G587" s="20">
        <v>-0.5</v>
      </c>
      <c r="H587" s="21">
        <v>638</v>
      </c>
      <c r="I587" s="4"/>
      <c r="J587" s="13" t="s">
        <v>181</v>
      </c>
      <c r="K587" s="5" t="s">
        <v>182</v>
      </c>
      <c r="L587" s="4">
        <v>2020</v>
      </c>
      <c r="M587" s="4">
        <v>8</v>
      </c>
      <c r="N587" s="5" t="s">
        <v>96</v>
      </c>
      <c r="O587" s="28" t="s">
        <v>136</v>
      </c>
      <c r="P587" s="29">
        <v>5.4</v>
      </c>
      <c r="Q587" s="4">
        <v>69.9835</v>
      </c>
      <c r="R587" s="4">
        <v>3.88</v>
      </c>
      <c r="S587" s="13">
        <v>18.0369845360825</v>
      </c>
      <c r="T587" s="21">
        <v>19</v>
      </c>
      <c r="U587" s="21">
        <v>50</v>
      </c>
      <c r="V587" s="21">
        <v>31</v>
      </c>
      <c r="W587" s="4"/>
      <c r="X587" s="4"/>
      <c r="Y587" s="5" t="s">
        <v>82</v>
      </c>
      <c r="Z587" s="4">
        <v>3</v>
      </c>
      <c r="AA587" s="4">
        <v>3</v>
      </c>
      <c r="AB587" s="9">
        <v>-0.0537716274710044</v>
      </c>
      <c r="AC587" s="9">
        <v>0.000774335077506907</v>
      </c>
      <c r="AD587" s="9">
        <v>-0.156977657555574</v>
      </c>
      <c r="AE587" s="9">
        <v>0.00137710474451612</v>
      </c>
      <c r="AF587" s="9">
        <v>-0.103206030084571</v>
      </c>
      <c r="AG587" s="9">
        <v>0.00215143982202304</v>
      </c>
      <c r="AH587" s="9">
        <v>-0.209198639379868</v>
      </c>
      <c r="AI587" s="9">
        <v>0.00716396287876727</v>
      </c>
      <c r="AJ587" s="4">
        <v>0.155427011908867</v>
      </c>
      <c r="AK587" s="4">
        <v>0.0079382979562742</v>
      </c>
      <c r="AL587" s="4">
        <v>0.0522209818242956</v>
      </c>
      <c r="AM587" s="4">
        <v>0.00854106762328336</v>
      </c>
      <c r="AN587" s="4">
        <v>-0.0224728558520586</v>
      </c>
      <c r="AO587" s="4">
        <v>0.000602262807650012</v>
      </c>
      <c r="AP587" s="4">
        <v>-0.180261823830944</v>
      </c>
      <c r="AQ587" s="4">
        <v>0.029162477014317</v>
      </c>
      <c r="AR587" s="4">
        <v>-0.13830467137718</v>
      </c>
      <c r="AS587" s="4">
        <v>0.00119733121952337</v>
      </c>
      <c r="AT587" s="4"/>
      <c r="AU587" s="4"/>
      <c r="AV587" s="4">
        <v>-0.193150889370916</v>
      </c>
      <c r="AW587" s="4">
        <v>0.0172326575701598</v>
      </c>
      <c r="AX587" s="4"/>
      <c r="AY587" s="4"/>
      <c r="AZ587" s="4">
        <v>-0.586985918906829</v>
      </c>
      <c r="BA587" s="4">
        <v>0.00189037515943435</v>
      </c>
    </row>
    <row r="588" s="4" customFormat="1" spans="1:53">
      <c r="A588" s="4">
        <v>587</v>
      </c>
      <c r="B588" s="18">
        <v>95</v>
      </c>
      <c r="C588" s="19" t="s">
        <v>340</v>
      </c>
      <c r="D588" s="5" t="s">
        <v>341</v>
      </c>
      <c r="E588" s="4">
        <v>48.083333</v>
      </c>
      <c r="F588" s="4">
        <v>129.083333</v>
      </c>
      <c r="G588" s="20">
        <v>-0.5</v>
      </c>
      <c r="H588" s="21">
        <v>638</v>
      </c>
      <c r="I588" s="4"/>
      <c r="J588" s="13" t="s">
        <v>188</v>
      </c>
      <c r="K588" s="5" t="s">
        <v>182</v>
      </c>
      <c r="L588" s="4">
        <v>2020</v>
      </c>
      <c r="M588" s="4">
        <v>8</v>
      </c>
      <c r="N588" s="5" t="s">
        <v>96</v>
      </c>
      <c r="O588" s="28" t="s">
        <v>136</v>
      </c>
      <c r="P588" s="29">
        <v>5.4</v>
      </c>
      <c r="Q588" s="4">
        <v>69.9835</v>
      </c>
      <c r="R588" s="4">
        <v>3.88</v>
      </c>
      <c r="S588" s="13">
        <v>18.0369845360825</v>
      </c>
      <c r="T588" s="21">
        <v>19</v>
      </c>
      <c r="U588" s="21">
        <v>50</v>
      </c>
      <c r="V588" s="21">
        <v>31</v>
      </c>
      <c r="W588" s="4"/>
      <c r="X588" s="4"/>
      <c r="Y588" s="5" t="s">
        <v>82</v>
      </c>
      <c r="Z588" s="4">
        <v>3</v>
      </c>
      <c r="AA588" s="4">
        <v>3</v>
      </c>
      <c r="AB588" s="9">
        <v>-0.163993183212048</v>
      </c>
      <c r="AC588" s="9">
        <v>0.000821962199948914</v>
      </c>
      <c r="AD588" s="9">
        <v>-0.18859742549972</v>
      </c>
      <c r="AE588" s="9">
        <v>0.00128046807198524</v>
      </c>
      <c r="AF588" s="9">
        <v>-0.0246042422876707</v>
      </c>
      <c r="AG588" s="9">
        <v>0.00210243027193417</v>
      </c>
      <c r="AH588" s="9">
        <v>-0.354113337360559</v>
      </c>
      <c r="AI588" s="9">
        <v>0.0120604959431207</v>
      </c>
      <c r="AJ588" s="4">
        <v>0.190120154148508</v>
      </c>
      <c r="AK588" s="4">
        <v>0.0128824581430697</v>
      </c>
      <c r="AL588" s="4">
        <v>0.165515911860839</v>
      </c>
      <c r="AM588" s="4">
        <v>0.0133409640151059</v>
      </c>
      <c r="AN588" s="4">
        <v>-0.0281708769666963</v>
      </c>
      <c r="AO588" s="4">
        <v>0.000379611433050587</v>
      </c>
      <c r="AP588" s="4">
        <v>-0.544904937418853</v>
      </c>
      <c r="AQ588" s="4">
        <v>0.0197302410746737</v>
      </c>
      <c r="AR588" s="4">
        <v>-0.217948734437106</v>
      </c>
      <c r="AS588" s="4">
        <v>0.00194047155628339</v>
      </c>
      <c r="AT588" s="4"/>
      <c r="AU588" s="4"/>
      <c r="AV588" s="4">
        <v>0.151571328774162</v>
      </c>
      <c r="AW588" s="4">
        <v>0.0431435812076462</v>
      </c>
      <c r="AX588" s="4">
        <v>-0.128459610011241</v>
      </c>
      <c r="AY588" s="4">
        <v>0.00249978788333263</v>
      </c>
      <c r="AZ588" s="4">
        <v>-0.846956468846589</v>
      </c>
      <c r="BA588" s="4">
        <v>0.00191695982376593</v>
      </c>
    </row>
    <row r="589" s="4" customFormat="1" spans="1:53">
      <c r="A589" s="4">
        <v>588</v>
      </c>
      <c r="B589" s="18">
        <v>95</v>
      </c>
      <c r="C589" s="19" t="s">
        <v>340</v>
      </c>
      <c r="D589" s="5" t="s">
        <v>341</v>
      </c>
      <c r="E589" s="4">
        <v>48.083333</v>
      </c>
      <c r="F589" s="4">
        <v>129.083333</v>
      </c>
      <c r="G589" s="20">
        <v>-0.5</v>
      </c>
      <c r="H589" s="21">
        <v>638</v>
      </c>
      <c r="I589" s="4"/>
      <c r="J589" s="13" t="s">
        <v>188</v>
      </c>
      <c r="K589" s="5" t="s">
        <v>182</v>
      </c>
      <c r="L589" s="4">
        <v>2020</v>
      </c>
      <c r="M589" s="4">
        <v>8</v>
      </c>
      <c r="N589" s="5" t="s">
        <v>96</v>
      </c>
      <c r="O589" s="28" t="s">
        <v>136</v>
      </c>
      <c r="P589" s="29">
        <v>5.4</v>
      </c>
      <c r="Q589" s="4">
        <v>69.9835</v>
      </c>
      <c r="R589" s="4">
        <v>3.88</v>
      </c>
      <c r="S589" s="13">
        <v>18.0369845360825</v>
      </c>
      <c r="T589" s="21">
        <v>19</v>
      </c>
      <c r="U589" s="21">
        <v>50</v>
      </c>
      <c r="V589" s="21">
        <v>31</v>
      </c>
      <c r="W589" s="4"/>
      <c r="X589" s="4"/>
      <c r="Y589" s="5" t="s">
        <v>82</v>
      </c>
      <c r="Z589" s="4">
        <v>3</v>
      </c>
      <c r="AA589" s="4">
        <v>3</v>
      </c>
      <c r="AB589" s="9">
        <v>-0.145296931179861</v>
      </c>
      <c r="AC589" s="9">
        <v>0.000870319222044164</v>
      </c>
      <c r="AD589" s="9">
        <v>-0.243959903828778</v>
      </c>
      <c r="AE589" s="9">
        <v>0.00130683311437606</v>
      </c>
      <c r="AF589" s="9">
        <v>-0.0986629726489167</v>
      </c>
      <c r="AG589" s="9">
        <v>0.00217715233642024</v>
      </c>
      <c r="AH589" s="9">
        <v>-0.330186830723974</v>
      </c>
      <c r="AI589" s="9">
        <v>0.00699899680216961</v>
      </c>
      <c r="AJ589" s="4">
        <v>0.184889899544116</v>
      </c>
      <c r="AK589" s="4">
        <v>0.00786931602421379</v>
      </c>
      <c r="AL589" s="4">
        <v>0.0862269268951966</v>
      </c>
      <c r="AM589" s="4">
        <v>0.00830582991654564</v>
      </c>
      <c r="AN589" s="4">
        <v>0.0237888619640148</v>
      </c>
      <c r="AO589" s="4">
        <v>0.00181557178738941</v>
      </c>
      <c r="AP589" s="4">
        <v>-0.192684343829501</v>
      </c>
      <c r="AQ589" s="4">
        <v>0.0259625134512169</v>
      </c>
      <c r="AR589" s="4">
        <v>-0.128780789865925</v>
      </c>
      <c r="AS589" s="4">
        <v>0.00206252386514229</v>
      </c>
      <c r="AT589" s="4"/>
      <c r="AU589" s="4"/>
      <c r="AV589" s="4">
        <v>0.449539703829072</v>
      </c>
      <c r="AW589" s="4">
        <v>0.0442161198522622</v>
      </c>
      <c r="AX589" s="4">
        <v>-0.0683870603144502</v>
      </c>
      <c r="AY589" s="4">
        <v>0.00345630574165471</v>
      </c>
      <c r="AZ589" s="4">
        <v>-0.795605355755091</v>
      </c>
      <c r="BA589" s="4">
        <v>0.00210775045744837</v>
      </c>
    </row>
    <row r="590" s="4" customFormat="1" spans="1:53">
      <c r="A590" s="4">
        <v>589</v>
      </c>
      <c r="B590" s="18">
        <v>95</v>
      </c>
      <c r="C590" s="19" t="s">
        <v>340</v>
      </c>
      <c r="D590" s="5" t="s">
        <v>341</v>
      </c>
      <c r="E590" s="4">
        <v>48.083333</v>
      </c>
      <c r="F590" s="4">
        <v>129.083333</v>
      </c>
      <c r="G590" s="20">
        <v>-0.5</v>
      </c>
      <c r="H590" s="21">
        <v>638</v>
      </c>
      <c r="I590" s="4"/>
      <c r="J590" s="13" t="s">
        <v>188</v>
      </c>
      <c r="K590" s="5" t="s">
        <v>182</v>
      </c>
      <c r="L590" s="4">
        <v>2020</v>
      </c>
      <c r="M590" s="4">
        <v>8</v>
      </c>
      <c r="N590" s="5" t="s">
        <v>96</v>
      </c>
      <c r="O590" s="28" t="s">
        <v>136</v>
      </c>
      <c r="P590" s="29">
        <v>5.43</v>
      </c>
      <c r="Q590" s="4">
        <v>34.9047</v>
      </c>
      <c r="R590" s="4">
        <v>1.94</v>
      </c>
      <c r="S590" s="13">
        <v>17.9921134020619</v>
      </c>
      <c r="T590" s="21">
        <v>19</v>
      </c>
      <c r="U590" s="21">
        <v>50</v>
      </c>
      <c r="V590" s="21">
        <v>31</v>
      </c>
      <c r="W590" s="4"/>
      <c r="X590" s="4"/>
      <c r="Y590" s="5" t="s">
        <v>82</v>
      </c>
      <c r="Z590" s="4">
        <v>3</v>
      </c>
      <c r="AA590" s="4">
        <v>3</v>
      </c>
      <c r="AB590" s="9">
        <v>0.0210145155170503</v>
      </c>
      <c r="AC590" s="9">
        <v>0.00447198557637519</v>
      </c>
      <c r="AD590" s="9">
        <v>0.013291228702269</v>
      </c>
      <c r="AE590" s="9">
        <v>0.00567755717693819</v>
      </c>
      <c r="AF590" s="9">
        <v>-0.00772328681478182</v>
      </c>
      <c r="AG590" s="9">
        <v>0.0101495427533134</v>
      </c>
      <c r="AH590" s="9">
        <v>0.260422814194133</v>
      </c>
      <c r="AI590" s="9">
        <v>0.0319572102336517</v>
      </c>
      <c r="AJ590" s="4">
        <v>-0.239408298677083</v>
      </c>
      <c r="AK590" s="4">
        <v>0.0364291958100269</v>
      </c>
      <c r="AL590" s="4">
        <v>-0.247131585491864</v>
      </c>
      <c r="AM590" s="4">
        <v>0.0376347674105902</v>
      </c>
      <c r="AN590" s="4">
        <v>-0.0223472986919967</v>
      </c>
      <c r="AO590" s="4">
        <v>0.000393168505704996</v>
      </c>
      <c r="AP590" s="4">
        <v>0.334260661816373</v>
      </c>
      <c r="AQ590" s="4">
        <v>0.0213033579144912</v>
      </c>
      <c r="AR590" s="4">
        <v>-0.356674943938732</v>
      </c>
      <c r="AS590" s="4">
        <v>0.196848072562358</v>
      </c>
      <c r="AT590" s="4"/>
      <c r="AU590" s="4"/>
      <c r="AV590" s="4">
        <v>0.185338664899923</v>
      </c>
      <c r="AW590" s="4">
        <v>0.0363336966932034</v>
      </c>
      <c r="AX590" s="4">
        <v>-0.218385087677873</v>
      </c>
      <c r="AY590" s="4">
        <v>0.00753078754963369</v>
      </c>
      <c r="AZ590" s="4">
        <v>-0.00476300937186739</v>
      </c>
      <c r="BA590" s="4">
        <v>0.0176459172385595</v>
      </c>
    </row>
    <row r="591" s="4" customFormat="1" spans="1:53">
      <c r="A591" s="4">
        <v>590</v>
      </c>
      <c r="B591" s="18">
        <v>95</v>
      </c>
      <c r="C591" s="19" t="s">
        <v>340</v>
      </c>
      <c r="D591" s="5" t="s">
        <v>341</v>
      </c>
      <c r="E591" s="4">
        <v>48.083333</v>
      </c>
      <c r="F591" s="4">
        <v>129.083333</v>
      </c>
      <c r="G591" s="20">
        <v>-0.5</v>
      </c>
      <c r="H591" s="21">
        <v>638</v>
      </c>
      <c r="I591" s="4"/>
      <c r="J591" s="13" t="s">
        <v>188</v>
      </c>
      <c r="K591" s="5" t="s">
        <v>182</v>
      </c>
      <c r="L591" s="4">
        <v>2020</v>
      </c>
      <c r="M591" s="4">
        <v>8</v>
      </c>
      <c r="N591" s="5" t="s">
        <v>96</v>
      </c>
      <c r="O591" s="28" t="s">
        <v>136</v>
      </c>
      <c r="P591" s="29">
        <v>5.43</v>
      </c>
      <c r="Q591" s="4">
        <v>34.9047</v>
      </c>
      <c r="R591" s="4">
        <v>1.94</v>
      </c>
      <c r="S591" s="13">
        <v>17.9921134020619</v>
      </c>
      <c r="T591" s="21">
        <v>19</v>
      </c>
      <c r="U591" s="21">
        <v>50</v>
      </c>
      <c r="V591" s="21">
        <v>31</v>
      </c>
      <c r="W591" s="4"/>
      <c r="X591" s="4"/>
      <c r="Y591" s="5" t="s">
        <v>82</v>
      </c>
      <c r="Z591" s="4">
        <v>3</v>
      </c>
      <c r="AA591" s="4">
        <v>3</v>
      </c>
      <c r="AB591" s="9">
        <v>-0.0500804863530011</v>
      </c>
      <c r="AC591" s="9">
        <v>0.00298883853406078</v>
      </c>
      <c r="AD591" s="9">
        <v>-0.180171136476506</v>
      </c>
      <c r="AE591" s="9">
        <v>0.00714490541490349</v>
      </c>
      <c r="AF591" s="9">
        <v>-0.130090650123505</v>
      </c>
      <c r="AG591" s="9">
        <v>0.0101337439489643</v>
      </c>
      <c r="AH591" s="9">
        <v>-0.156630974526876</v>
      </c>
      <c r="AI591" s="9">
        <v>0.0372265472890148</v>
      </c>
      <c r="AJ591" s="4">
        <v>0.106550488173873</v>
      </c>
      <c r="AK591" s="4">
        <v>0.0402153858230755</v>
      </c>
      <c r="AL591" s="4">
        <v>-0.0235401619496291</v>
      </c>
      <c r="AM591" s="4">
        <v>0.0443714527039186</v>
      </c>
      <c r="AN591" s="4">
        <v>0.021858793812499</v>
      </c>
      <c r="AO591" s="4">
        <v>0.000490835733300199</v>
      </c>
      <c r="AP591" s="4">
        <v>0.0551518200750801</v>
      </c>
      <c r="AQ591" s="4">
        <v>0.0232158674004897</v>
      </c>
      <c r="AR591" s="4">
        <v>-0.510825623765991</v>
      </c>
      <c r="AS591" s="4">
        <v>0.200123456790123</v>
      </c>
      <c r="AT591" s="4"/>
      <c r="AU591" s="4"/>
      <c r="AV591" s="4">
        <v>-0.314441801852018</v>
      </c>
      <c r="AW591" s="4">
        <v>0.0455158177672548</v>
      </c>
      <c r="AX591" s="4">
        <v>-0.105823317706028</v>
      </c>
      <c r="AY591" s="4">
        <v>0.00771396378824263</v>
      </c>
      <c r="AZ591" s="4">
        <v>-0.257681547942775</v>
      </c>
      <c r="BA591" s="4">
        <v>0.0510531757858954</v>
      </c>
    </row>
    <row r="592" s="4" customFormat="1" spans="1:53">
      <c r="A592" s="4">
        <v>591</v>
      </c>
      <c r="B592" s="18">
        <v>95</v>
      </c>
      <c r="C592" s="19" t="s">
        <v>340</v>
      </c>
      <c r="D592" s="5" t="s">
        <v>341</v>
      </c>
      <c r="E592" s="4">
        <v>48.083333</v>
      </c>
      <c r="F592" s="4">
        <v>129.083333</v>
      </c>
      <c r="G592" s="20">
        <v>-0.5</v>
      </c>
      <c r="H592" s="21">
        <v>638</v>
      </c>
      <c r="I592" s="4"/>
      <c r="J592" s="13" t="s">
        <v>188</v>
      </c>
      <c r="K592" s="5" t="s">
        <v>182</v>
      </c>
      <c r="L592" s="4">
        <v>2020</v>
      </c>
      <c r="M592" s="4">
        <v>8</v>
      </c>
      <c r="N592" s="5" t="s">
        <v>96</v>
      </c>
      <c r="O592" s="28" t="s">
        <v>136</v>
      </c>
      <c r="P592" s="29">
        <v>5.43</v>
      </c>
      <c r="Q592" s="4">
        <v>34.9047</v>
      </c>
      <c r="R592" s="4">
        <v>1.94</v>
      </c>
      <c r="S592" s="13">
        <v>17.9921134020619</v>
      </c>
      <c r="T592" s="21">
        <v>19</v>
      </c>
      <c r="U592" s="21">
        <v>50</v>
      </c>
      <c r="V592" s="21">
        <v>31</v>
      </c>
      <c r="W592" s="4"/>
      <c r="X592" s="4"/>
      <c r="Y592" s="5" t="s">
        <v>82</v>
      </c>
      <c r="Z592" s="4">
        <v>3</v>
      </c>
      <c r="AA592" s="4">
        <v>3</v>
      </c>
      <c r="AB592" s="9">
        <v>-0.0409057330795977</v>
      </c>
      <c r="AC592" s="9">
        <v>0.00238638876297216</v>
      </c>
      <c r="AD592" s="9">
        <v>-0.160681228414969</v>
      </c>
      <c r="AE592" s="9">
        <v>0.00457296259007857</v>
      </c>
      <c r="AF592" s="9">
        <v>-0.11977549533537</v>
      </c>
      <c r="AG592" s="9">
        <v>0.00695935135305073</v>
      </c>
      <c r="AH592" s="9">
        <v>-0.251856049288408</v>
      </c>
      <c r="AI592" s="9">
        <v>0.0340724404076115</v>
      </c>
      <c r="AJ592" s="4">
        <v>0.21095031620881</v>
      </c>
      <c r="AK592" s="4">
        <v>0.0364588291705836</v>
      </c>
      <c r="AL592" s="4">
        <v>0.0911748208734402</v>
      </c>
      <c r="AM592" s="4">
        <v>0.0386454029976904</v>
      </c>
      <c r="AN592" s="4">
        <v>0.0830132169658298</v>
      </c>
      <c r="AO592" s="4">
        <v>0.000651679434521393</v>
      </c>
      <c r="AP592" s="4">
        <v>-0.284251537354992</v>
      </c>
      <c r="AQ592" s="4">
        <v>0.0123169942195102</v>
      </c>
      <c r="AR592" s="4">
        <v>-0.456758402495715</v>
      </c>
      <c r="AS592" s="4">
        <v>0.19885811018775</v>
      </c>
      <c r="AT592" s="4"/>
      <c r="AU592" s="4"/>
      <c r="AV592" s="4">
        <v>-0.320116761542552</v>
      </c>
      <c r="AW592" s="4">
        <v>0.0375711826158854</v>
      </c>
      <c r="AX592" s="4">
        <v>-0.145340884053978</v>
      </c>
      <c r="AY592" s="4">
        <v>0.0257791972686487</v>
      </c>
      <c r="AZ592" s="4">
        <v>0.248723150882892</v>
      </c>
      <c r="BA592" s="4">
        <v>0.00935489747673797</v>
      </c>
    </row>
    <row r="593" s="4" customFormat="1" spans="1:53">
      <c r="A593" s="4">
        <v>592</v>
      </c>
      <c r="B593" s="18">
        <v>95</v>
      </c>
      <c r="C593" s="19" t="s">
        <v>340</v>
      </c>
      <c r="D593" s="5" t="s">
        <v>341</v>
      </c>
      <c r="E593" s="4">
        <v>48.083333</v>
      </c>
      <c r="F593" s="4">
        <v>129.083333</v>
      </c>
      <c r="G593" s="20">
        <v>-0.5</v>
      </c>
      <c r="H593" s="21">
        <v>638</v>
      </c>
      <c r="I593" s="4"/>
      <c r="J593" s="13" t="s">
        <v>188</v>
      </c>
      <c r="K593" s="5" t="s">
        <v>182</v>
      </c>
      <c r="L593" s="4">
        <v>2020</v>
      </c>
      <c r="M593" s="4">
        <v>8</v>
      </c>
      <c r="N593" s="5" t="s">
        <v>96</v>
      </c>
      <c r="O593" s="28" t="s">
        <v>136</v>
      </c>
      <c r="P593" s="29">
        <v>5.43</v>
      </c>
      <c r="Q593" s="4">
        <v>34.9047</v>
      </c>
      <c r="R593" s="4">
        <v>1.94</v>
      </c>
      <c r="S593" s="13">
        <v>17.9921134020619</v>
      </c>
      <c r="T593" s="21">
        <v>19</v>
      </c>
      <c r="U593" s="21">
        <v>50</v>
      </c>
      <c r="V593" s="21">
        <v>31</v>
      </c>
      <c r="W593" s="4"/>
      <c r="X593" s="4"/>
      <c r="Y593" s="5" t="s">
        <v>82</v>
      </c>
      <c r="Z593" s="4">
        <v>3</v>
      </c>
      <c r="AA593" s="4">
        <v>3</v>
      </c>
      <c r="AB593" s="9">
        <v>-0.200510278114961</v>
      </c>
      <c r="AC593" s="9">
        <v>0.00187476256849664</v>
      </c>
      <c r="AD593" s="9">
        <v>-0.203470721943641</v>
      </c>
      <c r="AE593" s="9">
        <v>0.00685687089483478</v>
      </c>
      <c r="AF593" s="9">
        <v>-0.00296044382868022</v>
      </c>
      <c r="AG593" s="9">
        <v>0.00873163346333142</v>
      </c>
      <c r="AH593" s="9">
        <v>0.014166597789439</v>
      </c>
      <c r="AI593" s="9">
        <v>0.0428399741135382</v>
      </c>
      <c r="AJ593" s="4">
        <v>-0.214676875904403</v>
      </c>
      <c r="AK593" s="4">
        <v>0.0447147366820348</v>
      </c>
      <c r="AL593" s="4">
        <v>-0.217637319733078</v>
      </c>
      <c r="AM593" s="4">
        <v>0.0496968450083732</v>
      </c>
      <c r="AN593" s="4">
        <v>0.0572607208634151</v>
      </c>
      <c r="AO593" s="4">
        <v>0.000940477875314484</v>
      </c>
      <c r="AP593" s="4">
        <v>-0.143894179660069</v>
      </c>
      <c r="AQ593" s="4">
        <v>0.0221077138475754</v>
      </c>
      <c r="AR593" s="4">
        <v>-0.456758402495715</v>
      </c>
      <c r="AS593" s="4">
        <v>0.19885811018775</v>
      </c>
      <c r="AT593" s="4"/>
      <c r="AU593" s="4"/>
      <c r="AV593" s="4">
        <v>-0.180280014881264</v>
      </c>
      <c r="AW593" s="4">
        <v>0.040217865804453</v>
      </c>
      <c r="AX593" s="4">
        <v>-0.0289368155489275</v>
      </c>
      <c r="AY593" s="4">
        <v>0.0363264398930843</v>
      </c>
      <c r="AZ593" s="4">
        <v>-0.123457080036828</v>
      </c>
      <c r="BA593" s="4">
        <v>0.00924123189888006</v>
      </c>
    </row>
    <row r="594" s="3" customFormat="1" spans="1:71">
      <c r="A594" s="4">
        <v>593</v>
      </c>
      <c r="B594" s="6">
        <v>96</v>
      </c>
      <c r="C594" s="24" t="s">
        <v>342</v>
      </c>
      <c r="D594" s="13" t="s">
        <v>343</v>
      </c>
      <c r="E594" s="3">
        <v>6.032778</v>
      </c>
      <c r="F594" s="3">
        <v>-75.54</v>
      </c>
      <c r="G594" s="26">
        <v>18</v>
      </c>
      <c r="H594" s="27">
        <v>3105</v>
      </c>
      <c r="I594" s="3"/>
      <c r="J594" s="13" t="s">
        <v>181</v>
      </c>
      <c r="K594" s="5" t="s">
        <v>182</v>
      </c>
      <c r="L594" s="3">
        <v>2018</v>
      </c>
      <c r="M594" s="3">
        <v>9</v>
      </c>
      <c r="N594" s="13" t="s">
        <v>113</v>
      </c>
      <c r="O594" s="36" t="s">
        <v>80</v>
      </c>
      <c r="P594" s="20"/>
      <c r="Q594" s="3">
        <v>16.26</v>
      </c>
      <c r="R594" s="12"/>
      <c r="S594" s="13"/>
      <c r="T594" s="21">
        <v>23</v>
      </c>
      <c r="U594" s="21">
        <v>26</v>
      </c>
      <c r="V594" s="21">
        <v>51</v>
      </c>
      <c r="W594" s="3"/>
      <c r="X594" s="3"/>
      <c r="Y594" s="13" t="s">
        <v>82</v>
      </c>
      <c r="Z594" s="3">
        <v>10</v>
      </c>
      <c r="AA594" s="3">
        <v>10</v>
      </c>
      <c r="AB594" s="9">
        <v>-0.664085742049738</v>
      </c>
      <c r="AC594" s="9">
        <v>0.0139722590300426</v>
      </c>
      <c r="AD594" s="25"/>
      <c r="AE594" s="25"/>
      <c r="AF594" s="9"/>
      <c r="AG594" s="9"/>
      <c r="AH594" s="25">
        <v>-0.564084552595331</v>
      </c>
      <c r="AI594" s="25">
        <v>0.00221403426178769</v>
      </c>
      <c r="AJ594" s="4">
        <v>-0.100001189454403</v>
      </c>
      <c r="AK594" s="4">
        <v>0.0161862932918302</v>
      </c>
      <c r="AL594" s="3"/>
      <c r="AM594" s="3"/>
      <c r="AN594" s="4"/>
      <c r="AO594" s="4"/>
      <c r="AP594" s="3"/>
      <c r="AQ594" s="3"/>
      <c r="AR594" s="4"/>
      <c r="AS594" s="4"/>
      <c r="AT594" s="3"/>
      <c r="AU594" s="3"/>
      <c r="AV594" s="4"/>
      <c r="AW594" s="4"/>
      <c r="AX594" s="3">
        <v>0.190791600058294</v>
      </c>
      <c r="AY594" s="3">
        <v>0.0317907370177943</v>
      </c>
      <c r="BF594" s="3">
        <v>-0.541496453958698</v>
      </c>
      <c r="BG594" s="3">
        <v>0.0102828942366483</v>
      </c>
      <c r="BJ594" s="3">
        <v>0.328504066972036</v>
      </c>
      <c r="BK594" s="3">
        <v>0.00208285322359396</v>
      </c>
      <c r="BN594" s="3">
        <v>-0.139419535249745</v>
      </c>
      <c r="BO594" s="3">
        <v>0.000432707259672354</v>
      </c>
      <c r="BR594" s="3">
        <v>-0.383405390043432</v>
      </c>
      <c r="BS594" s="3">
        <v>0.00560240184376037</v>
      </c>
    </row>
    <row r="595" s="3" customFormat="1" spans="1:71">
      <c r="A595" s="4">
        <v>594</v>
      </c>
      <c r="B595" s="6">
        <v>96</v>
      </c>
      <c r="C595" s="24" t="s">
        <v>342</v>
      </c>
      <c r="D595" s="13" t="s">
        <v>343</v>
      </c>
      <c r="E595" s="3">
        <v>5.963333</v>
      </c>
      <c r="F595" s="3">
        <v>-75.4575</v>
      </c>
      <c r="G595" s="26">
        <v>18</v>
      </c>
      <c r="H595" s="27">
        <v>3105</v>
      </c>
      <c r="I595" s="3"/>
      <c r="J595" s="13" t="s">
        <v>181</v>
      </c>
      <c r="K595" s="5" t="s">
        <v>182</v>
      </c>
      <c r="L595" s="3">
        <v>2018</v>
      </c>
      <c r="M595" s="3">
        <v>9</v>
      </c>
      <c r="N595" s="13" t="s">
        <v>113</v>
      </c>
      <c r="O595" s="36" t="s">
        <v>80</v>
      </c>
      <c r="P595" s="20"/>
      <c r="Q595" s="3">
        <v>15.34</v>
      </c>
      <c r="R595" s="12"/>
      <c r="S595" s="13"/>
      <c r="T595" s="21">
        <v>23</v>
      </c>
      <c r="U595" s="21">
        <v>26</v>
      </c>
      <c r="V595" s="21">
        <v>51</v>
      </c>
      <c r="W595" s="3"/>
      <c r="X595" s="3"/>
      <c r="Y595" s="13" t="s">
        <v>82</v>
      </c>
      <c r="Z595" s="3">
        <v>10</v>
      </c>
      <c r="AA595" s="3">
        <v>10</v>
      </c>
      <c r="AB595" s="9">
        <v>-0.788166564065027</v>
      </c>
      <c r="AC595" s="9">
        <v>0.00983985728068516</v>
      </c>
      <c r="AD595" s="25"/>
      <c r="AE595" s="25"/>
      <c r="AF595" s="9"/>
      <c r="AG595" s="9"/>
      <c r="AH595" s="25">
        <v>-0.505840244414776</v>
      </c>
      <c r="AI595" s="25">
        <v>0.00280018988297049</v>
      </c>
      <c r="AJ595" s="4">
        <v>-0.282326319650256</v>
      </c>
      <c r="AK595" s="4">
        <v>0.0126400471636557</v>
      </c>
      <c r="AL595" s="3"/>
      <c r="AM595" s="3"/>
      <c r="AN595" s="4"/>
      <c r="AO595" s="4"/>
      <c r="AP595" s="3"/>
      <c r="AQ595" s="3"/>
      <c r="AR595" s="4"/>
      <c r="AS595" s="4"/>
      <c r="AT595" s="3"/>
      <c r="AU595" s="3"/>
      <c r="AV595" s="4"/>
      <c r="AW595" s="4"/>
      <c r="AX595" s="3">
        <v>-0.137502486894474</v>
      </c>
      <c r="AY595" s="3">
        <v>0.0329615102533864</v>
      </c>
      <c r="BF595" s="3">
        <v>-0.443939830924724</v>
      </c>
      <c r="BG595" s="3">
        <v>0.00642007029090309</v>
      </c>
      <c r="BJ595" s="3">
        <v>0.292136422801161</v>
      </c>
      <c r="BK595" s="3">
        <v>0.00145328798185941</v>
      </c>
      <c r="BN595" s="3">
        <v>-0.166126870873974</v>
      </c>
      <c r="BO595" s="3">
        <v>0.000547291692659281</v>
      </c>
      <c r="BR595" s="3">
        <v>-0.417496189922267</v>
      </c>
      <c r="BS595" s="3">
        <v>0.00435039028227269</v>
      </c>
    </row>
    <row r="596" s="3" customFormat="1" spans="1:71">
      <c r="A596" s="4">
        <v>595</v>
      </c>
      <c r="B596" s="6">
        <v>96</v>
      </c>
      <c r="C596" s="24" t="s">
        <v>342</v>
      </c>
      <c r="D596" s="13" t="s">
        <v>343</v>
      </c>
      <c r="E596" s="3">
        <v>6.192778</v>
      </c>
      <c r="F596" s="3">
        <v>-75.499722</v>
      </c>
      <c r="G596" s="26">
        <v>18</v>
      </c>
      <c r="H596" s="27">
        <v>3105</v>
      </c>
      <c r="I596" s="3"/>
      <c r="J596" s="13" t="s">
        <v>181</v>
      </c>
      <c r="K596" s="5" t="s">
        <v>182</v>
      </c>
      <c r="L596" s="3">
        <v>2018</v>
      </c>
      <c r="M596" s="3">
        <v>9</v>
      </c>
      <c r="N596" s="13" t="s">
        <v>113</v>
      </c>
      <c r="O596" s="36" t="s">
        <v>80</v>
      </c>
      <c r="P596" s="20"/>
      <c r="Q596" s="3">
        <v>13.48</v>
      </c>
      <c r="R596" s="12"/>
      <c r="S596" s="13"/>
      <c r="T596" s="21">
        <v>23</v>
      </c>
      <c r="U596" s="21">
        <v>26</v>
      </c>
      <c r="V596" s="21">
        <v>51</v>
      </c>
      <c r="W596" s="3"/>
      <c r="X596" s="3"/>
      <c r="Y596" s="13" t="s">
        <v>82</v>
      </c>
      <c r="Z596" s="3">
        <v>10</v>
      </c>
      <c r="AA596" s="3">
        <v>10</v>
      </c>
      <c r="AB596" s="9">
        <v>-0.49988282912947</v>
      </c>
      <c r="AC596" s="9">
        <v>0.00661248666272705</v>
      </c>
      <c r="AD596" s="25"/>
      <c r="AE596" s="25"/>
      <c r="AF596" s="9"/>
      <c r="AG596" s="9"/>
      <c r="AH596" s="25">
        <v>-0.333213457259734</v>
      </c>
      <c r="AI596" s="25">
        <v>0.00187494135262673</v>
      </c>
      <c r="AJ596" s="4">
        <v>-0.166669371869739</v>
      </c>
      <c r="AK596" s="4">
        <v>0.00848742801535379</v>
      </c>
      <c r="AL596" s="3"/>
      <c r="AM596" s="3"/>
      <c r="AN596" s="4"/>
      <c r="AO596" s="4"/>
      <c r="AP596" s="3"/>
      <c r="AQ596" s="3"/>
      <c r="AR596" s="4"/>
      <c r="AS596" s="4"/>
      <c r="AT596" s="3"/>
      <c r="AU596" s="3"/>
      <c r="AV596" s="4"/>
      <c r="AW596" s="4"/>
      <c r="AX596" s="3">
        <v>-0.0738378476222454</v>
      </c>
      <c r="AY596" s="3">
        <v>0.053260568148143</v>
      </c>
      <c r="BF596" s="3">
        <v>-0.210092149917676</v>
      </c>
      <c r="BG596" s="3">
        <v>0.0033454498786094</v>
      </c>
      <c r="BJ596" s="3">
        <v>0.247408173313841</v>
      </c>
      <c r="BK596" s="3">
        <v>0.00198175791607228</v>
      </c>
      <c r="BN596" s="3">
        <v>-0.0735883566574891</v>
      </c>
      <c r="BO596" s="3">
        <v>0.000221729228670261</v>
      </c>
      <c r="BR596" s="3">
        <v>-0.243052161335305</v>
      </c>
      <c r="BS596" s="3">
        <v>0.00364725010623006</v>
      </c>
    </row>
    <row r="597" s="4" customFormat="1" spans="1:51">
      <c r="A597" s="4">
        <v>596</v>
      </c>
      <c r="B597" s="18">
        <v>97</v>
      </c>
      <c r="C597" s="19" t="s">
        <v>344</v>
      </c>
      <c r="D597" s="5" t="s">
        <v>345</v>
      </c>
      <c r="E597" s="9">
        <v>38.749</v>
      </c>
      <c r="F597" s="9">
        <v>0.042</v>
      </c>
      <c r="G597" s="20">
        <v>14.6</v>
      </c>
      <c r="H597" s="21">
        <v>500</v>
      </c>
      <c r="I597" s="4"/>
      <c r="J597" s="5" t="s">
        <v>237</v>
      </c>
      <c r="K597" s="5" t="s">
        <v>78</v>
      </c>
      <c r="L597" s="4">
        <v>2011</v>
      </c>
      <c r="M597" s="4">
        <v>7</v>
      </c>
      <c r="N597" s="5" t="s">
        <v>96</v>
      </c>
      <c r="O597" s="28" t="s">
        <v>80</v>
      </c>
      <c r="P597" s="29">
        <v>7.9</v>
      </c>
      <c r="Q597" s="4">
        <v>24.36</v>
      </c>
      <c r="R597" s="12"/>
      <c r="S597" s="13"/>
      <c r="T597" s="34">
        <v>44</v>
      </c>
      <c r="U597" s="34">
        <v>38</v>
      </c>
      <c r="V597" s="34">
        <v>19</v>
      </c>
      <c r="W597" s="4"/>
      <c r="X597" s="4"/>
      <c r="Y597" s="5" t="s">
        <v>82</v>
      </c>
      <c r="Z597" s="4">
        <v>3</v>
      </c>
      <c r="AA597" s="4">
        <v>3</v>
      </c>
      <c r="AB597" s="9">
        <v>-0.0938265558188837</v>
      </c>
      <c r="AC597" s="9">
        <v>0.0124482054650209</v>
      </c>
      <c r="AD597" s="9"/>
      <c r="AE597" s="9"/>
      <c r="AF597" s="9"/>
      <c r="AG597" s="9"/>
      <c r="AH597" s="9">
        <v>0.0299156708586412</v>
      </c>
      <c r="AI597" s="9">
        <v>0.013215233713714</v>
      </c>
      <c r="AJ597" s="4">
        <v>-0.123742226677523</v>
      </c>
      <c r="AK597" s="4">
        <v>0.0256634391787352</v>
      </c>
      <c r="AL597" s="4"/>
      <c r="AM597" s="4"/>
      <c r="AN597" s="4"/>
      <c r="AO597" s="4"/>
      <c r="AP597" s="4"/>
      <c r="AQ597" s="4"/>
      <c r="AR597" s="4"/>
      <c r="AS597" s="4"/>
      <c r="AT597" s="4"/>
      <c r="AU597" s="4"/>
      <c r="AV597" s="4"/>
      <c r="AW597" s="4"/>
      <c r="AX597" s="4">
        <v>-0.21178279460196</v>
      </c>
      <c r="AY597" s="4">
        <v>0.0604424146895043</v>
      </c>
    </row>
    <row r="598" s="4" customFormat="1" spans="1:51">
      <c r="A598" s="4">
        <v>597</v>
      </c>
      <c r="B598" s="18">
        <v>97</v>
      </c>
      <c r="C598" s="19" t="s">
        <v>344</v>
      </c>
      <c r="D598" s="5" t="s">
        <v>345</v>
      </c>
      <c r="E598" s="9">
        <v>38.749</v>
      </c>
      <c r="F598" s="9">
        <v>0.042</v>
      </c>
      <c r="G598" s="20">
        <v>14.6</v>
      </c>
      <c r="H598" s="21">
        <v>500</v>
      </c>
      <c r="I598" s="4"/>
      <c r="J598" s="5" t="s">
        <v>237</v>
      </c>
      <c r="K598" s="5" t="s">
        <v>78</v>
      </c>
      <c r="L598" s="4">
        <v>2011</v>
      </c>
      <c r="M598" s="4">
        <v>7</v>
      </c>
      <c r="N598" s="5" t="s">
        <v>96</v>
      </c>
      <c r="O598" s="28" t="s">
        <v>80</v>
      </c>
      <c r="P598" s="29">
        <v>7.9</v>
      </c>
      <c r="Q598" s="4">
        <v>24.36</v>
      </c>
      <c r="R598" s="12"/>
      <c r="S598" s="13"/>
      <c r="T598" s="34">
        <v>44</v>
      </c>
      <c r="U598" s="34">
        <v>38</v>
      </c>
      <c r="V598" s="34">
        <v>19</v>
      </c>
      <c r="W598" s="4"/>
      <c r="X598" s="4"/>
      <c r="Y598" s="5" t="s">
        <v>82</v>
      </c>
      <c r="Z598" s="4">
        <v>3</v>
      </c>
      <c r="AA598" s="4">
        <v>3</v>
      </c>
      <c r="AB598" s="9">
        <v>-0.0856236803816393</v>
      </c>
      <c r="AC598" s="9">
        <v>0.0102644331186909</v>
      </c>
      <c r="AD598" s="9"/>
      <c r="AE598" s="9"/>
      <c r="AF598" s="9"/>
      <c r="AG598" s="9"/>
      <c r="AH598" s="9">
        <v>-0.173095796020275</v>
      </c>
      <c r="AI598" s="9">
        <v>0.00635106398955984</v>
      </c>
      <c r="AJ598" s="4">
        <v>0.0874721156386356</v>
      </c>
      <c r="AK598" s="4">
        <v>0.0166154971082507</v>
      </c>
      <c r="AL598" s="4"/>
      <c r="AM598" s="4"/>
      <c r="AN598" s="4"/>
      <c r="AO598" s="4"/>
      <c r="AP598" s="4"/>
      <c r="AQ598" s="4"/>
      <c r="AR598" s="4"/>
      <c r="AS598" s="4"/>
      <c r="AT598" s="4"/>
      <c r="AU598" s="4"/>
      <c r="AV598" s="4"/>
      <c r="AW598" s="4"/>
      <c r="AX598" s="4">
        <v>0.0323954880665809</v>
      </c>
      <c r="AY598" s="4">
        <v>0.0463894346271217</v>
      </c>
    </row>
    <row r="599" s="4" customFormat="1" spans="1:51">
      <c r="A599" s="4">
        <v>598</v>
      </c>
      <c r="B599" s="18">
        <v>97</v>
      </c>
      <c r="C599" s="19" t="s">
        <v>344</v>
      </c>
      <c r="D599" s="5" t="s">
        <v>346</v>
      </c>
      <c r="E599" s="9">
        <v>38.743</v>
      </c>
      <c r="F599" s="9">
        <v>0.383</v>
      </c>
      <c r="G599" s="20">
        <v>17.9</v>
      </c>
      <c r="H599" s="21">
        <v>692</v>
      </c>
      <c r="I599" s="4"/>
      <c r="J599" s="5" t="s">
        <v>237</v>
      </c>
      <c r="K599" s="5" t="s">
        <v>78</v>
      </c>
      <c r="L599" s="4">
        <v>2011</v>
      </c>
      <c r="M599" s="4">
        <v>7</v>
      </c>
      <c r="N599" s="5" t="s">
        <v>96</v>
      </c>
      <c r="O599" s="28" t="s">
        <v>80</v>
      </c>
      <c r="P599" s="29">
        <v>7.8</v>
      </c>
      <c r="Q599" s="4">
        <v>53.94</v>
      </c>
      <c r="R599" s="12"/>
      <c r="S599" s="13"/>
      <c r="T599" s="34">
        <v>9</v>
      </c>
      <c r="U599" s="34">
        <v>41</v>
      </c>
      <c r="V599" s="34">
        <v>50</v>
      </c>
      <c r="W599" s="4"/>
      <c r="X599" s="4"/>
      <c r="Y599" s="5" t="s">
        <v>82</v>
      </c>
      <c r="Z599" s="4">
        <v>3</v>
      </c>
      <c r="AA599" s="4">
        <v>3</v>
      </c>
      <c r="AB599" s="9">
        <v>0.0378328767599553</v>
      </c>
      <c r="AC599" s="9">
        <v>0.029981210732177</v>
      </c>
      <c r="AD599" s="9"/>
      <c r="AE599" s="9"/>
      <c r="AF599" s="9"/>
      <c r="AG599" s="9"/>
      <c r="AH599" s="9">
        <v>0.254512828724514</v>
      </c>
      <c r="AI599" s="9">
        <v>0.00463004738690054</v>
      </c>
      <c r="AJ599" s="4">
        <v>-0.216679951964559</v>
      </c>
      <c r="AK599" s="4">
        <v>0.0346112581190776</v>
      </c>
      <c r="AL599" s="4"/>
      <c r="AM599" s="4"/>
      <c r="AN599" s="4"/>
      <c r="AO599" s="4"/>
      <c r="AP599" s="4"/>
      <c r="AQ599" s="4"/>
      <c r="AR599" s="4"/>
      <c r="AS599" s="4"/>
      <c r="AT599" s="4"/>
      <c r="AU599" s="4"/>
      <c r="AV599" s="4"/>
      <c r="AW599" s="4"/>
      <c r="AX599" s="4">
        <v>0.158060777449505</v>
      </c>
      <c r="AY599" s="4">
        <v>0.0649476879611135</v>
      </c>
    </row>
    <row r="600" s="4" customFormat="1" spans="1:37">
      <c r="A600" s="4">
        <v>599</v>
      </c>
      <c r="B600" s="18">
        <v>97</v>
      </c>
      <c r="C600" s="19" t="s">
        <v>344</v>
      </c>
      <c r="D600" s="5" t="s">
        <v>346</v>
      </c>
      <c r="E600" s="9">
        <v>38.743</v>
      </c>
      <c r="F600" s="9">
        <v>0.383</v>
      </c>
      <c r="G600" s="20">
        <v>17.9</v>
      </c>
      <c r="H600" s="21">
        <v>692</v>
      </c>
      <c r="I600" s="4"/>
      <c r="J600" s="5" t="s">
        <v>237</v>
      </c>
      <c r="K600" s="5" t="s">
        <v>78</v>
      </c>
      <c r="L600" s="4">
        <v>2011</v>
      </c>
      <c r="M600" s="4">
        <v>7</v>
      </c>
      <c r="N600" s="5" t="s">
        <v>96</v>
      </c>
      <c r="O600" s="28" t="s">
        <v>80</v>
      </c>
      <c r="P600" s="29">
        <v>7.8</v>
      </c>
      <c r="Q600" s="4">
        <v>53.94</v>
      </c>
      <c r="R600" s="12"/>
      <c r="S600" s="13"/>
      <c r="T600" s="34">
        <v>9</v>
      </c>
      <c r="U600" s="34">
        <v>41</v>
      </c>
      <c r="V600" s="34">
        <v>50</v>
      </c>
      <c r="W600" s="4"/>
      <c r="X600" s="4"/>
      <c r="Y600" s="5" t="s">
        <v>82</v>
      </c>
      <c r="Z600" s="4">
        <v>3</v>
      </c>
      <c r="AA600" s="4">
        <v>3</v>
      </c>
      <c r="AB600" s="9">
        <v>-0.773838237037121</v>
      </c>
      <c r="AC600" s="9">
        <v>0.0599415265920005</v>
      </c>
      <c r="AD600" s="9"/>
      <c r="AE600" s="9"/>
      <c r="AF600" s="9"/>
      <c r="AG600" s="9"/>
      <c r="AH600" s="9">
        <v>-0.669441273406906</v>
      </c>
      <c r="AI600" s="9">
        <v>0.0749536726492318</v>
      </c>
      <c r="AJ600" s="4">
        <v>-0.104396963630216</v>
      </c>
      <c r="AK600" s="4">
        <v>0.134895199241232</v>
      </c>
    </row>
    <row r="601" s="3" customFormat="1" spans="1:69">
      <c r="A601" s="4">
        <v>600</v>
      </c>
      <c r="B601" s="6">
        <v>98</v>
      </c>
      <c r="C601" s="13" t="s">
        <v>179</v>
      </c>
      <c r="D601" s="13" t="s">
        <v>347</v>
      </c>
      <c r="E601" s="25">
        <v>-39.1</v>
      </c>
      <c r="F601" s="25">
        <v>-72.68</v>
      </c>
      <c r="G601" s="20">
        <v>11.783332824707</v>
      </c>
      <c r="H601" s="21">
        <v>1782</v>
      </c>
      <c r="I601" s="3"/>
      <c r="J601" s="13" t="s">
        <v>123</v>
      </c>
      <c r="K601" s="5" t="s">
        <v>78</v>
      </c>
      <c r="L601" s="3"/>
      <c r="M601" s="3"/>
      <c r="N601" s="3"/>
      <c r="O601" s="3"/>
      <c r="P601" s="7">
        <v>5.01</v>
      </c>
      <c r="Q601" s="3">
        <f t="shared" ref="Q601:Q612" si="3">11.4*0.58</f>
        <v>6.612</v>
      </c>
      <c r="R601" s="12"/>
      <c r="S601" s="13"/>
      <c r="T601" s="21">
        <v>24</v>
      </c>
      <c r="U601" s="21">
        <v>52</v>
      </c>
      <c r="V601" s="21">
        <v>24</v>
      </c>
      <c r="W601" s="3">
        <v>0.191780821917808</v>
      </c>
      <c r="X601" s="5" t="s">
        <v>81</v>
      </c>
      <c r="Y601" s="13" t="s">
        <v>82</v>
      </c>
      <c r="Z601" s="3">
        <v>4</v>
      </c>
      <c r="AA601" s="3">
        <v>4</v>
      </c>
      <c r="AB601" s="9">
        <v>0.12565526894819</v>
      </c>
      <c r="AC601" s="9">
        <v>0.00566448160954592</v>
      </c>
      <c r="AD601" s="25"/>
      <c r="AE601" s="25"/>
      <c r="AF601" s="9"/>
      <c r="AG601" s="9"/>
      <c r="AH601" s="25"/>
      <c r="AI601" s="25"/>
      <c r="AJ601" s="4"/>
      <c r="AK601" s="4"/>
      <c r="AL601" s="3"/>
      <c r="AM601" s="3"/>
      <c r="AN601" s="4"/>
      <c r="AO601" s="4"/>
      <c r="AP601" s="3"/>
      <c r="AQ601" s="3"/>
      <c r="AR601" s="4"/>
      <c r="AS601" s="4"/>
      <c r="AT601" s="3"/>
      <c r="AU601" s="3"/>
      <c r="AV601" s="4"/>
      <c r="AW601" s="4"/>
      <c r="AX601" s="3"/>
      <c r="AY601" s="3"/>
      <c r="BP601" s="3">
        <v>-0.287682072451781</v>
      </c>
      <c r="BQ601" s="3">
        <v>0.00360293964620187</v>
      </c>
    </row>
    <row r="602" s="3" customFormat="1" spans="1:69">
      <c r="A602" s="4">
        <v>601</v>
      </c>
      <c r="B602" s="6">
        <v>98</v>
      </c>
      <c r="C602" s="13" t="s">
        <v>179</v>
      </c>
      <c r="D602" s="13" t="s">
        <v>347</v>
      </c>
      <c r="E602" s="25">
        <v>-39.1</v>
      </c>
      <c r="F602" s="25">
        <v>-72.68</v>
      </c>
      <c r="G602" s="20">
        <v>11.783332824707</v>
      </c>
      <c r="H602" s="21">
        <v>1782</v>
      </c>
      <c r="I602" s="3"/>
      <c r="J602" s="13" t="s">
        <v>123</v>
      </c>
      <c r="K602" s="5" t="s">
        <v>78</v>
      </c>
      <c r="L602" s="3"/>
      <c r="M602" s="3"/>
      <c r="N602" s="3"/>
      <c r="O602" s="3"/>
      <c r="P602" s="7">
        <v>5.01</v>
      </c>
      <c r="Q602" s="3">
        <f t="shared" si="3"/>
        <v>6.612</v>
      </c>
      <c r="R602" s="12"/>
      <c r="S602" s="13"/>
      <c r="T602" s="21">
        <v>24</v>
      </c>
      <c r="U602" s="21">
        <v>52</v>
      </c>
      <c r="V602" s="21">
        <v>24</v>
      </c>
      <c r="W602" s="3">
        <v>0.191780821917808</v>
      </c>
      <c r="X602" s="5" t="s">
        <v>81</v>
      </c>
      <c r="Y602" s="13" t="s">
        <v>82</v>
      </c>
      <c r="Z602" s="3">
        <v>4</v>
      </c>
      <c r="AA602" s="3">
        <v>4</v>
      </c>
      <c r="AB602" s="9">
        <v>0.207116215407171</v>
      </c>
      <c r="AC602" s="9">
        <v>0.014727593176434</v>
      </c>
      <c r="AD602" s="25"/>
      <c r="AE602" s="25"/>
      <c r="AF602" s="9"/>
      <c r="AG602" s="9"/>
      <c r="AH602" s="25"/>
      <c r="AI602" s="25"/>
      <c r="AJ602" s="4"/>
      <c r="AK602" s="4"/>
      <c r="AL602" s="3"/>
      <c r="AM602" s="3"/>
      <c r="AN602" s="4"/>
      <c r="AO602" s="4"/>
      <c r="AP602" s="3"/>
      <c r="AQ602" s="3"/>
      <c r="AR602" s="4"/>
      <c r="AS602" s="4"/>
      <c r="AT602" s="3"/>
      <c r="AU602" s="3"/>
      <c r="AV602" s="4"/>
      <c r="AW602" s="4"/>
      <c r="AX602" s="3"/>
      <c r="AY602" s="3"/>
      <c r="BP602" s="3">
        <v>-0.435758050732568</v>
      </c>
      <c r="BQ602" s="3">
        <v>0.00742947602193599</v>
      </c>
    </row>
    <row r="603" s="3" customFormat="1" spans="1:69">
      <c r="A603" s="4">
        <v>602</v>
      </c>
      <c r="B603" s="6">
        <v>98</v>
      </c>
      <c r="C603" s="13" t="s">
        <v>179</v>
      </c>
      <c r="D603" s="13" t="s">
        <v>347</v>
      </c>
      <c r="E603" s="25">
        <v>-39.1</v>
      </c>
      <c r="F603" s="25">
        <v>-72.68</v>
      </c>
      <c r="G603" s="20">
        <v>11.783332824707</v>
      </c>
      <c r="H603" s="21">
        <v>1782</v>
      </c>
      <c r="I603" s="3"/>
      <c r="J603" s="13" t="s">
        <v>123</v>
      </c>
      <c r="K603" s="5" t="s">
        <v>78</v>
      </c>
      <c r="L603" s="3"/>
      <c r="M603" s="3"/>
      <c r="N603" s="3"/>
      <c r="O603" s="3"/>
      <c r="P603" s="7">
        <v>5.01</v>
      </c>
      <c r="Q603" s="3">
        <f t="shared" si="3"/>
        <v>6.612</v>
      </c>
      <c r="R603" s="12"/>
      <c r="S603" s="13"/>
      <c r="T603" s="21">
        <v>24</v>
      </c>
      <c r="U603" s="21">
        <v>52</v>
      </c>
      <c r="V603" s="21">
        <v>24</v>
      </c>
      <c r="W603" s="3">
        <v>0.575342465753425</v>
      </c>
      <c r="X603" s="5" t="s">
        <v>81</v>
      </c>
      <c r="Y603" s="13" t="s">
        <v>82</v>
      </c>
      <c r="Z603" s="3">
        <v>4</v>
      </c>
      <c r="AA603" s="3">
        <v>4</v>
      </c>
      <c r="AB603" s="9">
        <v>-0.172842812839411</v>
      </c>
      <c r="AC603" s="9">
        <v>0.00692452505493581</v>
      </c>
      <c r="AD603" s="25"/>
      <c r="AE603" s="25"/>
      <c r="AF603" s="9"/>
      <c r="AG603" s="9"/>
      <c r="AH603" s="25"/>
      <c r="AI603" s="25"/>
      <c r="AJ603" s="4"/>
      <c r="AK603" s="4"/>
      <c r="AL603" s="3"/>
      <c r="AM603" s="3"/>
      <c r="AN603" s="4"/>
      <c r="AO603" s="4"/>
      <c r="AP603" s="3"/>
      <c r="AQ603" s="3"/>
      <c r="AR603" s="4"/>
      <c r="AS603" s="4"/>
      <c r="AT603" s="3"/>
      <c r="AU603" s="3"/>
      <c r="AV603" s="4"/>
      <c r="AW603" s="4"/>
      <c r="AX603" s="3"/>
      <c r="AY603" s="3"/>
      <c r="BP603" s="3">
        <v>-0.166280689419667</v>
      </c>
      <c r="BQ603" s="3">
        <v>0.00396463725663493</v>
      </c>
    </row>
    <row r="604" s="3" customFormat="1" spans="1:69">
      <c r="A604" s="4">
        <v>603</v>
      </c>
      <c r="B604" s="6">
        <v>98</v>
      </c>
      <c r="C604" s="13" t="s">
        <v>179</v>
      </c>
      <c r="D604" s="13" t="s">
        <v>347</v>
      </c>
      <c r="E604" s="25">
        <v>-39.1</v>
      </c>
      <c r="F604" s="25">
        <v>-72.68</v>
      </c>
      <c r="G604" s="20">
        <v>11.783332824707</v>
      </c>
      <c r="H604" s="21">
        <v>1782</v>
      </c>
      <c r="I604" s="3"/>
      <c r="J604" s="13" t="s">
        <v>123</v>
      </c>
      <c r="K604" s="5" t="s">
        <v>78</v>
      </c>
      <c r="L604" s="3"/>
      <c r="M604" s="3"/>
      <c r="N604" s="3"/>
      <c r="O604" s="3"/>
      <c r="P604" s="7">
        <v>5.01</v>
      </c>
      <c r="Q604" s="3">
        <f t="shared" si="3"/>
        <v>6.612</v>
      </c>
      <c r="R604" s="12"/>
      <c r="S604" s="13"/>
      <c r="T604" s="21">
        <v>24</v>
      </c>
      <c r="U604" s="21">
        <v>52</v>
      </c>
      <c r="V604" s="21">
        <v>24</v>
      </c>
      <c r="W604" s="3">
        <v>0.575342465753425</v>
      </c>
      <c r="X604" s="5" t="s">
        <v>81</v>
      </c>
      <c r="Y604" s="13" t="s">
        <v>82</v>
      </c>
      <c r="Z604" s="3">
        <v>4</v>
      </c>
      <c r="AA604" s="3">
        <v>4</v>
      </c>
      <c r="AB604" s="9">
        <v>-0.207395194346071</v>
      </c>
      <c r="AC604" s="9">
        <v>0.00505562208679768</v>
      </c>
      <c r="AD604" s="25"/>
      <c r="AE604" s="25"/>
      <c r="AF604" s="9"/>
      <c r="AG604" s="9"/>
      <c r="AH604" s="25"/>
      <c r="AI604" s="25"/>
      <c r="AJ604" s="4"/>
      <c r="AK604" s="4"/>
      <c r="AL604" s="3"/>
      <c r="AM604" s="3"/>
      <c r="AN604" s="4"/>
      <c r="AO604" s="4"/>
      <c r="AP604" s="3"/>
      <c r="AQ604" s="3"/>
      <c r="AR604" s="4"/>
      <c r="AS604" s="4"/>
      <c r="AT604" s="3"/>
      <c r="AU604" s="3"/>
      <c r="AV604" s="4"/>
      <c r="AW604" s="4"/>
      <c r="AX604" s="3"/>
      <c r="AY604" s="3"/>
      <c r="BP604" s="3">
        <v>-0.359719086319961</v>
      </c>
      <c r="BQ604" s="3">
        <v>0.0177861656421442</v>
      </c>
    </row>
    <row r="605" s="3" customFormat="1" spans="1:69">
      <c r="A605" s="4">
        <v>604</v>
      </c>
      <c r="B605" s="6">
        <v>98</v>
      </c>
      <c r="C605" s="13" t="s">
        <v>179</v>
      </c>
      <c r="D605" s="13" t="s">
        <v>347</v>
      </c>
      <c r="E605" s="25">
        <v>-39.1</v>
      </c>
      <c r="F605" s="25">
        <v>-72.68</v>
      </c>
      <c r="G605" s="20">
        <v>11.783332824707</v>
      </c>
      <c r="H605" s="21">
        <v>1782</v>
      </c>
      <c r="I605" s="3"/>
      <c r="J605" s="13" t="s">
        <v>123</v>
      </c>
      <c r="K605" s="5" t="s">
        <v>78</v>
      </c>
      <c r="L605" s="3"/>
      <c r="M605" s="3"/>
      <c r="N605" s="3"/>
      <c r="O605" s="3"/>
      <c r="P605" s="7">
        <v>5.01</v>
      </c>
      <c r="Q605" s="3">
        <f t="shared" si="3"/>
        <v>6.612</v>
      </c>
      <c r="R605" s="12"/>
      <c r="S605" s="13"/>
      <c r="T605" s="21">
        <v>24</v>
      </c>
      <c r="U605" s="21">
        <v>52</v>
      </c>
      <c r="V605" s="21">
        <v>24</v>
      </c>
      <c r="W605" s="3">
        <v>0.191780821917808</v>
      </c>
      <c r="X605" s="5" t="s">
        <v>81</v>
      </c>
      <c r="Y605" s="13" t="s">
        <v>82</v>
      </c>
      <c r="Z605" s="3">
        <v>4</v>
      </c>
      <c r="AA605" s="3">
        <v>4</v>
      </c>
      <c r="AB605" s="9">
        <v>0.153025187305524</v>
      </c>
      <c r="AC605" s="9">
        <v>0.0187775843445679</v>
      </c>
      <c r="AD605" s="25"/>
      <c r="AE605" s="25"/>
      <c r="AF605" s="9"/>
      <c r="AG605" s="9"/>
      <c r="AH605" s="25"/>
      <c r="AI605" s="25"/>
      <c r="AJ605" s="4"/>
      <c r="AK605" s="4"/>
      <c r="AL605" s="3"/>
      <c r="AM605" s="3"/>
      <c r="AN605" s="4"/>
      <c r="AO605" s="4"/>
      <c r="AP605" s="3"/>
      <c r="AQ605" s="3"/>
      <c r="AR605" s="4"/>
      <c r="AS605" s="4"/>
      <c r="AT605" s="3"/>
      <c r="AU605" s="3"/>
      <c r="AV605" s="4"/>
      <c r="AW605" s="4"/>
      <c r="AX605" s="3"/>
      <c r="AY605" s="3"/>
      <c r="BP605" s="3">
        <v>-0.310794212327529</v>
      </c>
      <c r="BQ605" s="3">
        <v>0.00463587221131214</v>
      </c>
    </row>
    <row r="606" s="3" customFormat="1" spans="1:69">
      <c r="A606" s="4">
        <v>605</v>
      </c>
      <c r="B606" s="6">
        <v>98</v>
      </c>
      <c r="C606" s="13" t="s">
        <v>179</v>
      </c>
      <c r="D606" s="13" t="s">
        <v>347</v>
      </c>
      <c r="E606" s="25">
        <v>-39.1</v>
      </c>
      <c r="F606" s="25">
        <v>-72.68</v>
      </c>
      <c r="G606" s="20">
        <v>11.783332824707</v>
      </c>
      <c r="H606" s="21">
        <v>1782</v>
      </c>
      <c r="I606" s="3"/>
      <c r="J606" s="13" t="s">
        <v>123</v>
      </c>
      <c r="K606" s="5" t="s">
        <v>78</v>
      </c>
      <c r="L606" s="3"/>
      <c r="M606" s="3"/>
      <c r="N606" s="3"/>
      <c r="O606" s="3"/>
      <c r="P606" s="7">
        <v>5.01</v>
      </c>
      <c r="Q606" s="3">
        <f t="shared" si="3"/>
        <v>6.612</v>
      </c>
      <c r="R606" s="12"/>
      <c r="S606" s="13"/>
      <c r="T606" s="21">
        <v>24</v>
      </c>
      <c r="U606" s="21">
        <v>52</v>
      </c>
      <c r="V606" s="21">
        <v>24</v>
      </c>
      <c r="W606" s="3">
        <v>0.191780821917808</v>
      </c>
      <c r="X606" s="5" t="s">
        <v>81</v>
      </c>
      <c r="Y606" s="13" t="s">
        <v>82</v>
      </c>
      <c r="Z606" s="3">
        <v>4</v>
      </c>
      <c r="AA606" s="3">
        <v>4</v>
      </c>
      <c r="AB606" s="9">
        <v>0.0684677992774608</v>
      </c>
      <c r="AC606" s="9">
        <v>0.0104325826771788</v>
      </c>
      <c r="AD606" s="25"/>
      <c r="AE606" s="25"/>
      <c r="AF606" s="9"/>
      <c r="AG606" s="9"/>
      <c r="AH606" s="25"/>
      <c r="AI606" s="25"/>
      <c r="AJ606" s="4"/>
      <c r="AK606" s="4"/>
      <c r="AL606" s="3"/>
      <c r="AM606" s="3"/>
      <c r="AN606" s="4"/>
      <c r="AO606" s="4"/>
      <c r="AP606" s="3"/>
      <c r="AQ606" s="3"/>
      <c r="AR606" s="4"/>
      <c r="AS606" s="4"/>
      <c r="AT606" s="3"/>
      <c r="AU606" s="3"/>
      <c r="AV606" s="4"/>
      <c r="AW606" s="4"/>
      <c r="AX606" s="3"/>
      <c r="AY606" s="3"/>
      <c r="BP606" s="3">
        <v>-0.189022340109913</v>
      </c>
      <c r="BQ606" s="3">
        <v>5.86216432005978</v>
      </c>
    </row>
    <row r="607" s="3" customFormat="1" spans="1:69">
      <c r="A607" s="4">
        <v>606</v>
      </c>
      <c r="B607" s="6">
        <v>98</v>
      </c>
      <c r="C607" s="13" t="s">
        <v>179</v>
      </c>
      <c r="D607" s="13" t="s">
        <v>347</v>
      </c>
      <c r="E607" s="25">
        <v>-39.1</v>
      </c>
      <c r="F607" s="25">
        <v>-72.68</v>
      </c>
      <c r="G607" s="20">
        <v>11.783332824707</v>
      </c>
      <c r="H607" s="21">
        <v>1782</v>
      </c>
      <c r="I607" s="3"/>
      <c r="J607" s="13" t="s">
        <v>123</v>
      </c>
      <c r="K607" s="5" t="s">
        <v>78</v>
      </c>
      <c r="L607" s="3"/>
      <c r="M607" s="3"/>
      <c r="N607" s="3"/>
      <c r="O607" s="3"/>
      <c r="P607" s="7">
        <v>5.01</v>
      </c>
      <c r="Q607" s="3">
        <f t="shared" si="3"/>
        <v>6.612</v>
      </c>
      <c r="R607" s="12"/>
      <c r="S607" s="13"/>
      <c r="T607" s="21">
        <v>24</v>
      </c>
      <c r="U607" s="21">
        <v>52</v>
      </c>
      <c r="V607" s="21">
        <v>24</v>
      </c>
      <c r="W607" s="3">
        <v>0.575342465753425</v>
      </c>
      <c r="X607" s="5" t="s">
        <v>81</v>
      </c>
      <c r="Y607" s="13" t="s">
        <v>82</v>
      </c>
      <c r="Z607" s="3">
        <v>4</v>
      </c>
      <c r="AA607" s="3">
        <v>4</v>
      </c>
      <c r="AB607" s="9">
        <v>0.0861116918187322</v>
      </c>
      <c r="AC607" s="9">
        <v>0.00753865780296248</v>
      </c>
      <c r="AD607" s="25"/>
      <c r="AE607" s="25"/>
      <c r="AF607" s="9"/>
      <c r="AG607" s="9"/>
      <c r="AH607" s="25"/>
      <c r="AI607" s="25"/>
      <c r="AJ607" s="4"/>
      <c r="AK607" s="4"/>
      <c r="AL607" s="3"/>
      <c r="AM607" s="3"/>
      <c r="AN607" s="4"/>
      <c r="AO607" s="4"/>
      <c r="AP607" s="3"/>
      <c r="AQ607" s="3"/>
      <c r="AR607" s="4"/>
      <c r="AS607" s="4"/>
      <c r="AT607" s="3"/>
      <c r="AU607" s="3"/>
      <c r="AV607" s="4"/>
      <c r="AW607" s="4"/>
      <c r="AX607" s="3"/>
      <c r="AY607" s="3"/>
      <c r="BP607" s="3">
        <v>-0.151927633339312</v>
      </c>
      <c r="BQ607" s="3">
        <v>0.00634339476144836</v>
      </c>
    </row>
    <row r="608" s="3" customFormat="1" spans="1:69">
      <c r="A608" s="4">
        <v>607</v>
      </c>
      <c r="B608" s="6">
        <v>98</v>
      </c>
      <c r="C608" s="13" t="s">
        <v>179</v>
      </c>
      <c r="D608" s="13" t="s">
        <v>347</v>
      </c>
      <c r="E608" s="25">
        <v>-39.1</v>
      </c>
      <c r="F608" s="25">
        <v>-72.68</v>
      </c>
      <c r="G608" s="20">
        <v>11.783332824707</v>
      </c>
      <c r="H608" s="21">
        <v>1782</v>
      </c>
      <c r="I608" s="3"/>
      <c r="J608" s="13" t="s">
        <v>123</v>
      </c>
      <c r="K608" s="5" t="s">
        <v>78</v>
      </c>
      <c r="L608" s="3"/>
      <c r="M608" s="3"/>
      <c r="N608" s="3"/>
      <c r="O608" s="3"/>
      <c r="P608" s="7">
        <v>5.01</v>
      </c>
      <c r="Q608" s="3">
        <f t="shared" si="3"/>
        <v>6.612</v>
      </c>
      <c r="R608" s="12"/>
      <c r="S608" s="13"/>
      <c r="T608" s="21">
        <v>24</v>
      </c>
      <c r="U608" s="21">
        <v>52</v>
      </c>
      <c r="V608" s="21">
        <v>24</v>
      </c>
      <c r="W608" s="3">
        <v>0.575342465753425</v>
      </c>
      <c r="X608" s="5" t="s">
        <v>81</v>
      </c>
      <c r="Y608" s="13" t="s">
        <v>82</v>
      </c>
      <c r="Z608" s="3">
        <v>4</v>
      </c>
      <c r="AA608" s="3">
        <v>4</v>
      </c>
      <c r="AB608" s="9">
        <v>-0.114192367525655</v>
      </c>
      <c r="AC608" s="9">
        <v>0.00884030179565015</v>
      </c>
      <c r="AD608" s="25"/>
      <c r="AE608" s="25"/>
      <c r="AF608" s="9"/>
      <c r="AG608" s="9"/>
      <c r="AH608" s="25"/>
      <c r="AI608" s="25"/>
      <c r="AJ608" s="4"/>
      <c r="AK608" s="4"/>
      <c r="AL608" s="3"/>
      <c r="AM608" s="3"/>
      <c r="AN608" s="4"/>
      <c r="AO608" s="4"/>
      <c r="AP608" s="3"/>
      <c r="AQ608" s="3"/>
      <c r="AR608" s="4"/>
      <c r="AS608" s="4"/>
      <c r="AT608" s="3"/>
      <c r="AU608" s="3"/>
      <c r="AV608" s="4"/>
      <c r="AW608" s="4"/>
      <c r="AX608" s="3"/>
      <c r="AY608" s="3"/>
      <c r="BP608" s="3">
        <v>-0.176404379765866</v>
      </c>
      <c r="BQ608" s="3">
        <v>0.0113174645528585</v>
      </c>
    </row>
    <row r="609" s="3" customFormat="1" spans="1:69">
      <c r="A609" s="4">
        <v>608</v>
      </c>
      <c r="B609" s="6">
        <v>98</v>
      </c>
      <c r="C609" s="13" t="s">
        <v>179</v>
      </c>
      <c r="D609" s="13" t="s">
        <v>347</v>
      </c>
      <c r="E609" s="25">
        <v>-39.1</v>
      </c>
      <c r="F609" s="25">
        <v>-72.68</v>
      </c>
      <c r="G609" s="20">
        <v>11.783332824707</v>
      </c>
      <c r="H609" s="21">
        <v>1782</v>
      </c>
      <c r="I609" s="3"/>
      <c r="J609" s="13" t="s">
        <v>123</v>
      </c>
      <c r="K609" s="5" t="s">
        <v>78</v>
      </c>
      <c r="L609" s="3"/>
      <c r="M609" s="3"/>
      <c r="N609" s="3"/>
      <c r="O609" s="3"/>
      <c r="P609" s="7">
        <v>5.01</v>
      </c>
      <c r="Q609" s="3">
        <f t="shared" si="3"/>
        <v>6.612</v>
      </c>
      <c r="R609" s="12"/>
      <c r="S609" s="13"/>
      <c r="T609" s="21">
        <v>24</v>
      </c>
      <c r="U609" s="21">
        <v>52</v>
      </c>
      <c r="V609" s="21">
        <v>24</v>
      </c>
      <c r="W609" s="3">
        <v>0.191780821917808</v>
      </c>
      <c r="X609" s="5" t="s">
        <v>81</v>
      </c>
      <c r="Y609" s="13" t="s">
        <v>82</v>
      </c>
      <c r="Z609" s="3">
        <v>4</v>
      </c>
      <c r="AA609" s="3">
        <v>4</v>
      </c>
      <c r="AB609" s="9">
        <v>0.0633358751718108</v>
      </c>
      <c r="AC609" s="9">
        <v>0.0183734292562443</v>
      </c>
      <c r="AD609" s="25"/>
      <c r="AE609" s="25"/>
      <c r="AF609" s="9"/>
      <c r="AG609" s="9"/>
      <c r="AH609" s="25"/>
      <c r="AI609" s="25"/>
      <c r="AJ609" s="4"/>
      <c r="AK609" s="4"/>
      <c r="AL609" s="3"/>
      <c r="AM609" s="3"/>
      <c r="AN609" s="4"/>
      <c r="AO609" s="4"/>
      <c r="AP609" s="3"/>
      <c r="AQ609" s="3"/>
      <c r="AR609" s="4"/>
      <c r="AS609" s="4"/>
      <c r="AT609" s="3"/>
      <c r="AU609" s="3"/>
      <c r="AV609" s="4"/>
      <c r="AW609" s="4"/>
      <c r="AX609" s="3"/>
      <c r="AY609" s="3"/>
      <c r="BP609" s="3">
        <v>-0.218639039193105</v>
      </c>
      <c r="BQ609" s="3">
        <v>0.00162625829571281</v>
      </c>
    </row>
    <row r="610" s="3" customFormat="1" spans="1:69">
      <c r="A610" s="4">
        <v>609</v>
      </c>
      <c r="B610" s="6">
        <v>98</v>
      </c>
      <c r="C610" s="13" t="s">
        <v>179</v>
      </c>
      <c r="D610" s="13" t="s">
        <v>347</v>
      </c>
      <c r="E610" s="25">
        <v>-39.1</v>
      </c>
      <c r="F610" s="25">
        <v>-72.68</v>
      </c>
      <c r="G610" s="20">
        <v>11.783332824707</v>
      </c>
      <c r="H610" s="21">
        <v>1782</v>
      </c>
      <c r="I610" s="3"/>
      <c r="J610" s="13" t="s">
        <v>123</v>
      </c>
      <c r="K610" s="5" t="s">
        <v>78</v>
      </c>
      <c r="L610" s="3"/>
      <c r="M610" s="3"/>
      <c r="N610" s="3"/>
      <c r="O610" s="3"/>
      <c r="P610" s="7">
        <v>5.01</v>
      </c>
      <c r="Q610" s="3">
        <f t="shared" si="3"/>
        <v>6.612</v>
      </c>
      <c r="R610" s="12"/>
      <c r="S610" s="13"/>
      <c r="T610" s="21">
        <v>24</v>
      </c>
      <c r="U610" s="21">
        <v>52</v>
      </c>
      <c r="V610" s="21">
        <v>24</v>
      </c>
      <c r="W610" s="3">
        <v>0.191780821917808</v>
      </c>
      <c r="X610" s="5" t="s">
        <v>81</v>
      </c>
      <c r="Y610" s="13" t="s">
        <v>82</v>
      </c>
      <c r="Z610" s="3">
        <v>4</v>
      </c>
      <c r="AA610" s="3">
        <v>4</v>
      </c>
      <c r="AB610" s="9">
        <v>0.0414371898641732</v>
      </c>
      <c r="AC610" s="9">
        <v>0.0104848398634044</v>
      </c>
      <c r="AD610" s="25"/>
      <c r="AE610" s="25"/>
      <c r="AF610" s="9"/>
      <c r="AG610" s="9"/>
      <c r="AH610" s="25"/>
      <c r="AI610" s="25"/>
      <c r="AJ610" s="4"/>
      <c r="AK610" s="4"/>
      <c r="AL610" s="3"/>
      <c r="AM610" s="3"/>
      <c r="AN610" s="4"/>
      <c r="AO610" s="4"/>
      <c r="AP610" s="3"/>
      <c r="AQ610" s="3"/>
      <c r="AR610" s="4"/>
      <c r="AS610" s="4"/>
      <c r="AT610" s="3"/>
      <c r="AU610" s="3"/>
      <c r="AV610" s="4"/>
      <c r="AW610" s="4"/>
      <c r="AX610" s="3"/>
      <c r="AY610" s="3"/>
      <c r="BP610" s="3">
        <v>-0.328378667260291</v>
      </c>
      <c r="BQ610" s="3">
        <v>0.00452713551233288</v>
      </c>
    </row>
    <row r="611" s="3" customFormat="1" spans="1:69">
      <c r="A611" s="4">
        <v>610</v>
      </c>
      <c r="B611" s="6">
        <v>98</v>
      </c>
      <c r="C611" s="13" t="s">
        <v>179</v>
      </c>
      <c r="D611" s="13" t="s">
        <v>347</v>
      </c>
      <c r="E611" s="25">
        <v>-39.1</v>
      </c>
      <c r="F611" s="25">
        <v>-72.68</v>
      </c>
      <c r="G611" s="20">
        <v>11.783332824707</v>
      </c>
      <c r="H611" s="21">
        <v>1782</v>
      </c>
      <c r="I611" s="3"/>
      <c r="J611" s="13" t="s">
        <v>123</v>
      </c>
      <c r="K611" s="5" t="s">
        <v>78</v>
      </c>
      <c r="L611" s="3"/>
      <c r="M611" s="3"/>
      <c r="N611" s="3"/>
      <c r="O611" s="3"/>
      <c r="P611" s="7">
        <v>5.01</v>
      </c>
      <c r="Q611" s="3">
        <f t="shared" si="3"/>
        <v>6.612</v>
      </c>
      <c r="R611" s="12"/>
      <c r="S611" s="13"/>
      <c r="T611" s="21">
        <v>24</v>
      </c>
      <c r="U611" s="21">
        <v>52</v>
      </c>
      <c r="V611" s="21">
        <v>24</v>
      </c>
      <c r="W611" s="3">
        <v>0.575342465753425</v>
      </c>
      <c r="X611" s="5" t="s">
        <v>81</v>
      </c>
      <c r="Y611" s="13" t="s">
        <v>82</v>
      </c>
      <c r="Z611" s="3">
        <v>4</v>
      </c>
      <c r="AA611" s="3">
        <v>4</v>
      </c>
      <c r="AB611" s="9">
        <v>0.170625517030763</v>
      </c>
      <c r="AC611" s="9">
        <v>0.00716547735415654</v>
      </c>
      <c r="AD611" s="25"/>
      <c r="AE611" s="25"/>
      <c r="AF611" s="9"/>
      <c r="AG611" s="9"/>
      <c r="AH611" s="25"/>
      <c r="AI611" s="25"/>
      <c r="AJ611" s="4"/>
      <c r="AK611" s="4"/>
      <c r="AL611" s="3"/>
      <c r="AM611" s="3"/>
      <c r="AN611" s="4"/>
      <c r="AO611" s="4"/>
      <c r="AP611" s="3"/>
      <c r="AQ611" s="3"/>
      <c r="AR611" s="4"/>
      <c r="AS611" s="4"/>
      <c r="AT611" s="3"/>
      <c r="AU611" s="3"/>
      <c r="AV611" s="4"/>
      <c r="AW611" s="4"/>
      <c r="AX611" s="3"/>
      <c r="AY611" s="3"/>
      <c r="BP611" s="3">
        <v>-0.0240492552326697</v>
      </c>
      <c r="BQ611" s="3">
        <v>0.00493635904180673</v>
      </c>
    </row>
    <row r="612" s="3" customFormat="1" spans="1:69">
      <c r="A612" s="4">
        <v>611</v>
      </c>
      <c r="B612" s="6">
        <v>98</v>
      </c>
      <c r="C612" s="13" t="s">
        <v>179</v>
      </c>
      <c r="D612" s="13" t="s">
        <v>347</v>
      </c>
      <c r="E612" s="25">
        <v>-39.1</v>
      </c>
      <c r="F612" s="25">
        <v>-72.68</v>
      </c>
      <c r="G612" s="20">
        <v>11.783332824707</v>
      </c>
      <c r="H612" s="21">
        <v>1782</v>
      </c>
      <c r="I612" s="3"/>
      <c r="J612" s="13" t="s">
        <v>123</v>
      </c>
      <c r="K612" s="5" t="s">
        <v>78</v>
      </c>
      <c r="L612" s="3"/>
      <c r="M612" s="3"/>
      <c r="N612" s="3"/>
      <c r="O612" s="3"/>
      <c r="P612" s="7">
        <v>5.01</v>
      </c>
      <c r="Q612" s="3">
        <f t="shared" si="3"/>
        <v>6.612</v>
      </c>
      <c r="R612" s="12"/>
      <c r="S612" s="13"/>
      <c r="T612" s="21">
        <v>24</v>
      </c>
      <c r="U612" s="21">
        <v>52</v>
      </c>
      <c r="V612" s="21">
        <v>24</v>
      </c>
      <c r="W612" s="3">
        <v>0.575342465753425</v>
      </c>
      <c r="X612" s="5" t="s">
        <v>81</v>
      </c>
      <c r="Y612" s="13" t="s">
        <v>82</v>
      </c>
      <c r="Z612" s="3">
        <v>4</v>
      </c>
      <c r="AA612" s="3">
        <v>4</v>
      </c>
      <c r="AB612" s="9">
        <v>0.105825523803848</v>
      </c>
      <c r="AC612" s="9">
        <v>0.00514773524561625</v>
      </c>
      <c r="AD612" s="25"/>
      <c r="AE612" s="25"/>
      <c r="AF612" s="9"/>
      <c r="AG612" s="9"/>
      <c r="AH612" s="25"/>
      <c r="AI612" s="25"/>
      <c r="AJ612" s="4"/>
      <c r="AK612" s="4"/>
      <c r="AL612" s="3"/>
      <c r="AM612" s="3"/>
      <c r="AN612" s="4"/>
      <c r="AO612" s="4"/>
      <c r="AP612" s="3"/>
      <c r="AQ612" s="3"/>
      <c r="AR612" s="4"/>
      <c r="AS612" s="4"/>
      <c r="AT612" s="3"/>
      <c r="AU612" s="3"/>
      <c r="AV612" s="4"/>
      <c r="AW612" s="4"/>
      <c r="AX612" s="3"/>
      <c r="AY612" s="3"/>
      <c r="BP612" s="3">
        <v>-0.186687509353222</v>
      </c>
      <c r="BQ612" s="3">
        <v>0.0123876165623281</v>
      </c>
    </row>
    <row r="613" s="4" customFormat="1" spans="1:63">
      <c r="A613" s="4">
        <v>612</v>
      </c>
      <c r="B613" s="18">
        <v>99</v>
      </c>
      <c r="C613" s="19" t="s">
        <v>348</v>
      </c>
      <c r="D613" s="5" t="s">
        <v>349</v>
      </c>
      <c r="E613" s="9">
        <v>24.283</v>
      </c>
      <c r="F613" s="9">
        <v>83.1</v>
      </c>
      <c r="G613" s="20">
        <v>27</v>
      </c>
      <c r="H613" s="21">
        <v>1215</v>
      </c>
      <c r="I613" s="4"/>
      <c r="J613" s="13" t="s">
        <v>181</v>
      </c>
      <c r="K613" s="5" t="s">
        <v>182</v>
      </c>
      <c r="L613" s="4">
        <v>2013</v>
      </c>
      <c r="M613" s="4">
        <v>12</v>
      </c>
      <c r="N613" s="5" t="s">
        <v>79</v>
      </c>
      <c r="O613" s="36" t="s">
        <v>80</v>
      </c>
      <c r="P613" s="29">
        <v>6.4</v>
      </c>
      <c r="Q613" s="4">
        <v>28.4</v>
      </c>
      <c r="R613" s="4">
        <v>2</v>
      </c>
      <c r="S613" s="13">
        <v>14.2</v>
      </c>
      <c r="T613" s="34">
        <v>26</v>
      </c>
      <c r="U613" s="34">
        <v>16</v>
      </c>
      <c r="V613" s="34">
        <v>59</v>
      </c>
      <c r="W613" s="4"/>
      <c r="X613" s="4"/>
      <c r="Y613" s="5" t="s">
        <v>82</v>
      </c>
      <c r="Z613" s="4">
        <v>5</v>
      </c>
      <c r="AA613" s="4">
        <v>5</v>
      </c>
      <c r="AB613" s="9">
        <v>-0.501973812671621</v>
      </c>
      <c r="AC613" s="9">
        <v>0.00166264243208823</v>
      </c>
      <c r="AD613" s="9"/>
      <c r="AE613" s="9"/>
      <c r="AF613" s="9"/>
      <c r="AG613" s="9"/>
      <c r="AH613" s="9">
        <v>-0.444967551084411</v>
      </c>
      <c r="AI613" s="9">
        <v>0.000846143377714168</v>
      </c>
      <c r="AJ613" s="4">
        <v>-0.0570062615872098</v>
      </c>
      <c r="AK613" s="4">
        <v>0.00250878580980239</v>
      </c>
      <c r="AL613" s="4"/>
      <c r="AM613" s="4"/>
      <c r="AN613" s="4">
        <v>-0.0157483569681393</v>
      </c>
      <c r="AO613" s="4">
        <v>0.001271093651581</v>
      </c>
      <c r="AP613" s="4">
        <v>-0.510825623765991</v>
      </c>
      <c r="AQ613" s="4">
        <v>0.00938888888888889</v>
      </c>
      <c r="AR613" s="4">
        <v>-0.446935540995461</v>
      </c>
      <c r="AS613" s="4">
        <v>0.00193986896689586</v>
      </c>
      <c r="AT613" s="4">
        <v>-0.498794749667273</v>
      </c>
      <c r="AU613" s="4">
        <v>0.00474200040557838</v>
      </c>
      <c r="AV613" s="4"/>
      <c r="AW613" s="4"/>
      <c r="AX613" s="4"/>
      <c r="AY613" s="4"/>
      <c r="BJ613" s="4">
        <v>0.0800427076735366</v>
      </c>
      <c r="BK613" s="4">
        <v>0.00257232084155161</v>
      </c>
    </row>
    <row r="614" s="4" customFormat="1" spans="1:63">
      <c r="A614" s="4">
        <v>613</v>
      </c>
      <c r="B614" s="18">
        <v>99</v>
      </c>
      <c r="C614" s="19" t="s">
        <v>348</v>
      </c>
      <c r="D614" s="5" t="s">
        <v>349</v>
      </c>
      <c r="E614" s="9">
        <v>24.283</v>
      </c>
      <c r="F614" s="9">
        <v>83.1</v>
      </c>
      <c r="G614" s="20">
        <v>27</v>
      </c>
      <c r="H614" s="21">
        <v>1215</v>
      </c>
      <c r="I614" s="4"/>
      <c r="J614" s="13" t="s">
        <v>181</v>
      </c>
      <c r="K614" s="5" t="s">
        <v>182</v>
      </c>
      <c r="L614" s="4">
        <v>2013</v>
      </c>
      <c r="M614" s="4">
        <v>12</v>
      </c>
      <c r="N614" s="5" t="s">
        <v>79</v>
      </c>
      <c r="O614" s="36" t="s">
        <v>80</v>
      </c>
      <c r="P614" s="29">
        <v>6.4</v>
      </c>
      <c r="Q614" s="4">
        <v>28.4</v>
      </c>
      <c r="R614" s="4">
        <v>2</v>
      </c>
      <c r="S614" s="13">
        <v>14.2</v>
      </c>
      <c r="T614" s="34">
        <v>26</v>
      </c>
      <c r="U614" s="34">
        <v>16</v>
      </c>
      <c r="V614" s="34">
        <v>59</v>
      </c>
      <c r="W614" s="4"/>
      <c r="X614" s="4"/>
      <c r="Y614" s="5" t="s">
        <v>82</v>
      </c>
      <c r="Z614" s="4">
        <v>5</v>
      </c>
      <c r="AA614" s="4">
        <v>5</v>
      </c>
      <c r="AB614" s="9">
        <v>-1.23857462022081</v>
      </c>
      <c r="AC614" s="9">
        <v>0.00479934077943505</v>
      </c>
      <c r="AD614" s="9"/>
      <c r="AE614" s="9"/>
      <c r="AF614" s="9"/>
      <c r="AG614" s="9"/>
      <c r="AH614" s="9">
        <v>-0.645027932215747</v>
      </c>
      <c r="AI614" s="9">
        <v>0.0010867688700237</v>
      </c>
      <c r="AJ614" s="4">
        <v>-0.593546688005068</v>
      </c>
      <c r="AK614" s="4">
        <v>0.00588610964945876</v>
      </c>
      <c r="AL614" s="4"/>
      <c r="AM614" s="4"/>
      <c r="AN614" s="4">
        <v>0.0752234212375875</v>
      </c>
      <c r="AO614" s="4">
        <v>0.00138873505106595</v>
      </c>
      <c r="AP614" s="4">
        <v>-0.916290731874155</v>
      </c>
      <c r="AQ614" s="4">
        <v>0.011125</v>
      </c>
      <c r="AR614" s="4">
        <v>-0.614235356093578</v>
      </c>
      <c r="AS614" s="4">
        <v>0.00269817527763602</v>
      </c>
      <c r="AT614" s="4">
        <v>-1.42703334617838</v>
      </c>
      <c r="AU614" s="4">
        <v>0.0118442254439529</v>
      </c>
      <c r="AV614" s="4"/>
      <c r="AW614" s="4"/>
      <c r="AX614" s="4"/>
      <c r="AY614" s="4"/>
      <c r="BJ614" s="4">
        <v>0.0800427076735366</v>
      </c>
      <c r="BK614" s="4">
        <v>0.00612261669953978</v>
      </c>
    </row>
    <row r="615" s="4" customFormat="1" spans="1:63">
      <c r="A615" s="4">
        <v>614</v>
      </c>
      <c r="B615" s="18">
        <v>99</v>
      </c>
      <c r="C615" s="19" t="s">
        <v>348</v>
      </c>
      <c r="D615" s="5" t="s">
        <v>349</v>
      </c>
      <c r="E615" s="9">
        <v>24.283</v>
      </c>
      <c r="F615" s="9">
        <v>83.1</v>
      </c>
      <c r="G615" s="20">
        <v>27</v>
      </c>
      <c r="H615" s="21">
        <v>1215</v>
      </c>
      <c r="I615" s="4"/>
      <c r="J615" s="13" t="s">
        <v>181</v>
      </c>
      <c r="K615" s="5" t="s">
        <v>182</v>
      </c>
      <c r="L615" s="4">
        <v>2014</v>
      </c>
      <c r="M615" s="4">
        <v>4</v>
      </c>
      <c r="N615" s="5" t="s">
        <v>96</v>
      </c>
      <c r="O615" s="36" t="s">
        <v>80</v>
      </c>
      <c r="P615" s="29">
        <v>6.4</v>
      </c>
      <c r="Q615" s="4">
        <v>28.4</v>
      </c>
      <c r="R615" s="4">
        <v>2</v>
      </c>
      <c r="S615" s="13">
        <v>14.2</v>
      </c>
      <c r="T615" s="34">
        <v>26</v>
      </c>
      <c r="U615" s="34">
        <v>16</v>
      </c>
      <c r="V615" s="34">
        <v>59</v>
      </c>
      <c r="W615" s="4"/>
      <c r="X615" s="4"/>
      <c r="Y615" s="5" t="s">
        <v>82</v>
      </c>
      <c r="Z615" s="4">
        <v>5</v>
      </c>
      <c r="AA615" s="4">
        <v>5</v>
      </c>
      <c r="AB615" s="9">
        <v>-0.492476194625616</v>
      </c>
      <c r="AC615" s="9">
        <v>0.00138657229137883</v>
      </c>
      <c r="AD615" s="9"/>
      <c r="AE615" s="9"/>
      <c r="AF615" s="9"/>
      <c r="AG615" s="9"/>
      <c r="AH615" s="9">
        <v>-0.444967551084411</v>
      </c>
      <c r="AI615" s="9">
        <v>0.000846143377714168</v>
      </c>
      <c r="AJ615" s="4">
        <v>-0.0475086435412025</v>
      </c>
      <c r="AK615" s="4">
        <v>0.002232715669093</v>
      </c>
      <c r="AL615" s="4"/>
      <c r="AM615" s="4"/>
      <c r="AN615" s="4">
        <v>-0.0157483569681393</v>
      </c>
      <c r="AO615" s="4">
        <v>0.001271093651581</v>
      </c>
      <c r="AP615" s="4">
        <v>-0.510825623765991</v>
      </c>
      <c r="AQ615" s="4">
        <v>0.00938888888888889</v>
      </c>
      <c r="AR615" s="4">
        <v>-0.446935540995461</v>
      </c>
      <c r="AS615" s="4">
        <v>0.00193986896689586</v>
      </c>
      <c r="AT615" s="4">
        <v>-0.87830329985907</v>
      </c>
      <c r="AU615" s="4">
        <v>0.00707420750519678</v>
      </c>
      <c r="AV615" s="4"/>
      <c r="AW615" s="4"/>
      <c r="AX615" s="4"/>
      <c r="AY615" s="4"/>
      <c r="BJ615" s="4">
        <v>0.0800427076735366</v>
      </c>
      <c r="BK615" s="4">
        <v>0.00257232084155161</v>
      </c>
    </row>
    <row r="616" s="4" customFormat="1" spans="1:63">
      <c r="A616" s="4">
        <v>615</v>
      </c>
      <c r="B616" s="18">
        <v>99</v>
      </c>
      <c r="C616" s="19" t="s">
        <v>348</v>
      </c>
      <c r="D616" s="5" t="s">
        <v>349</v>
      </c>
      <c r="E616" s="9">
        <v>24.283</v>
      </c>
      <c r="F616" s="9">
        <v>83.1</v>
      </c>
      <c r="G616" s="20">
        <v>27</v>
      </c>
      <c r="H616" s="21">
        <v>1215</v>
      </c>
      <c r="I616" s="4"/>
      <c r="J616" s="13" t="s">
        <v>181</v>
      </c>
      <c r="K616" s="5" t="s">
        <v>182</v>
      </c>
      <c r="L616" s="4">
        <v>2014</v>
      </c>
      <c r="M616" s="4">
        <v>4</v>
      </c>
      <c r="N616" s="5" t="s">
        <v>96</v>
      </c>
      <c r="O616" s="36" t="s">
        <v>80</v>
      </c>
      <c r="P616" s="29">
        <v>6.4</v>
      </c>
      <c r="Q616" s="4">
        <v>28.4</v>
      </c>
      <c r="R616" s="4">
        <v>2</v>
      </c>
      <c r="S616" s="13">
        <v>14.2</v>
      </c>
      <c r="T616" s="34">
        <v>26</v>
      </c>
      <c r="U616" s="34">
        <v>16</v>
      </c>
      <c r="V616" s="34">
        <v>59</v>
      </c>
      <c r="W616" s="4"/>
      <c r="X616" s="4"/>
      <c r="Y616" s="5" t="s">
        <v>82</v>
      </c>
      <c r="Z616" s="4">
        <v>5</v>
      </c>
      <c r="AA616" s="4">
        <v>5</v>
      </c>
      <c r="AB616" s="9">
        <v>-1.20834110922383</v>
      </c>
      <c r="AC616" s="9">
        <v>0.00420001731945119</v>
      </c>
      <c r="AD616" s="9"/>
      <c r="AE616" s="9"/>
      <c r="AF616" s="9"/>
      <c r="AG616" s="9"/>
      <c r="AH616" s="9">
        <v>-0.645027932215747</v>
      </c>
      <c r="AI616" s="9">
        <v>0.0010867688700237</v>
      </c>
      <c r="AJ616" s="4">
        <v>-0.563313177008084</v>
      </c>
      <c r="AK616" s="4">
        <v>0.0052867861894749</v>
      </c>
      <c r="AL616" s="4"/>
      <c r="AM616" s="4"/>
      <c r="AN616" s="4">
        <v>0.0752234212375875</v>
      </c>
      <c r="AO616" s="4">
        <v>0.00138873505106595</v>
      </c>
      <c r="AP616" s="4">
        <v>-0.916290731874155</v>
      </c>
      <c r="AQ616" s="4">
        <v>0.011125</v>
      </c>
      <c r="AR616" s="4">
        <v>-0.614235356093578</v>
      </c>
      <c r="AS616" s="4">
        <v>0.00269817527763602</v>
      </c>
      <c r="AT616" s="4">
        <v>-1.8580412219848</v>
      </c>
      <c r="AU616" s="4">
        <v>0.0140960900845054</v>
      </c>
      <c r="AV616" s="4"/>
      <c r="AW616" s="4"/>
      <c r="AX616" s="4"/>
      <c r="AY616" s="4"/>
      <c r="BJ616" s="4">
        <v>0.0800427076735366</v>
      </c>
      <c r="BK616" s="4">
        <v>0.00612261669953978</v>
      </c>
    </row>
    <row r="617" s="4" customFormat="1" spans="1:63">
      <c r="A617" s="4">
        <v>616</v>
      </c>
      <c r="B617" s="18">
        <v>99</v>
      </c>
      <c r="C617" s="19" t="s">
        <v>348</v>
      </c>
      <c r="D617" s="5" t="s">
        <v>349</v>
      </c>
      <c r="E617" s="9">
        <v>24.283</v>
      </c>
      <c r="F617" s="9">
        <v>83.1</v>
      </c>
      <c r="G617" s="20">
        <v>27</v>
      </c>
      <c r="H617" s="21">
        <v>1215</v>
      </c>
      <c r="I617" s="4"/>
      <c r="J617" s="13" t="s">
        <v>181</v>
      </c>
      <c r="K617" s="5" t="s">
        <v>182</v>
      </c>
      <c r="L617" s="4">
        <v>2014</v>
      </c>
      <c r="M617" s="4">
        <v>8</v>
      </c>
      <c r="N617" s="5" t="s">
        <v>96</v>
      </c>
      <c r="O617" s="36" t="s">
        <v>80</v>
      </c>
      <c r="P617" s="29">
        <v>6.4</v>
      </c>
      <c r="Q617" s="4">
        <v>28.4</v>
      </c>
      <c r="R617" s="4">
        <v>2</v>
      </c>
      <c r="S617" s="13">
        <v>14.2</v>
      </c>
      <c r="T617" s="34">
        <v>26</v>
      </c>
      <c r="U617" s="34">
        <v>16</v>
      </c>
      <c r="V617" s="34">
        <v>59</v>
      </c>
      <c r="W617" s="4"/>
      <c r="X617" s="4"/>
      <c r="Y617" s="5" t="s">
        <v>82</v>
      </c>
      <c r="Z617" s="4">
        <v>5</v>
      </c>
      <c r="AA617" s="4">
        <v>5</v>
      </c>
      <c r="AB617" s="9">
        <v>-0.396219541873907</v>
      </c>
      <c r="AC617" s="9">
        <v>0.0058024212342665</v>
      </c>
      <c r="AD617" s="9"/>
      <c r="AE617" s="9"/>
      <c r="AF617" s="9"/>
      <c r="AG617" s="9"/>
      <c r="AH617" s="9">
        <v>-0.444967551084411</v>
      </c>
      <c r="AI617" s="9">
        <v>0.000846143377714168</v>
      </c>
      <c r="AJ617" s="4">
        <v>0.0487480092105039</v>
      </c>
      <c r="AK617" s="4">
        <v>0.00664856461198066</v>
      </c>
      <c r="AL617" s="4"/>
      <c r="AM617" s="4"/>
      <c r="AN617" s="4">
        <v>-0.0157483569681393</v>
      </c>
      <c r="AO617" s="4">
        <v>0.001271093651581</v>
      </c>
      <c r="AP617" s="4">
        <v>-0.510825623765991</v>
      </c>
      <c r="AQ617" s="4">
        <v>0.00938888888888889</v>
      </c>
      <c r="AR617" s="4">
        <v>-0.446935540995461</v>
      </c>
      <c r="AS617" s="4">
        <v>0.00193986896689586</v>
      </c>
      <c r="AT617" s="4">
        <v>-0.232411059279924</v>
      </c>
      <c r="AU617" s="4">
        <v>0.00770201629832116</v>
      </c>
      <c r="AV617" s="4"/>
      <c r="AW617" s="4"/>
      <c r="AX617" s="4"/>
      <c r="AY617" s="4"/>
      <c r="BJ617" s="4">
        <v>0.0800427076735366</v>
      </c>
      <c r="BK617" s="4">
        <v>0.00257232084155161</v>
      </c>
    </row>
    <row r="618" s="4" customFormat="1" spans="1:63">
      <c r="A618" s="4">
        <v>617</v>
      </c>
      <c r="B618" s="18">
        <v>99</v>
      </c>
      <c r="C618" s="19" t="s">
        <v>348</v>
      </c>
      <c r="D618" s="5" t="s">
        <v>349</v>
      </c>
      <c r="E618" s="9">
        <v>24.283</v>
      </c>
      <c r="F618" s="9">
        <v>83.1</v>
      </c>
      <c r="G618" s="20">
        <v>27</v>
      </c>
      <c r="H618" s="21">
        <v>1215</v>
      </c>
      <c r="I618" s="4"/>
      <c r="J618" s="13" t="s">
        <v>181</v>
      </c>
      <c r="K618" s="5" t="s">
        <v>182</v>
      </c>
      <c r="L618" s="4">
        <v>2014</v>
      </c>
      <c r="M618" s="4">
        <v>8</v>
      </c>
      <c r="N618" s="5" t="s">
        <v>96</v>
      </c>
      <c r="O618" s="36" t="s">
        <v>80</v>
      </c>
      <c r="P618" s="29">
        <v>6.4</v>
      </c>
      <c r="Q618" s="4">
        <v>28.4</v>
      </c>
      <c r="R618" s="4">
        <v>2</v>
      </c>
      <c r="S618" s="13">
        <v>14.2</v>
      </c>
      <c r="T618" s="34">
        <v>26</v>
      </c>
      <c r="U618" s="34">
        <v>16</v>
      </c>
      <c r="V618" s="34">
        <v>59</v>
      </c>
      <c r="W618" s="4"/>
      <c r="X618" s="4"/>
      <c r="Y618" s="5" t="s">
        <v>82</v>
      </c>
      <c r="Z618" s="4">
        <v>5</v>
      </c>
      <c r="AA618" s="4">
        <v>5</v>
      </c>
      <c r="AB618" s="9">
        <v>-0.728441876918131</v>
      </c>
      <c r="AC618" s="9">
        <v>0.0060278275674655</v>
      </c>
      <c r="AD618" s="9"/>
      <c r="AE618" s="9"/>
      <c r="AF618" s="9"/>
      <c r="AG618" s="9"/>
      <c r="AH618" s="9">
        <v>-0.645027932215747</v>
      </c>
      <c r="AI618" s="9">
        <v>0.0010867688700237</v>
      </c>
      <c r="AJ618" s="4">
        <v>-0.0834139447023814</v>
      </c>
      <c r="AK618" s="4">
        <v>0.00711459643748917</v>
      </c>
      <c r="AL618" s="4"/>
      <c r="AM618" s="4"/>
      <c r="AN618" s="4">
        <v>0.0752234212375875</v>
      </c>
      <c r="AO618" s="4">
        <v>0.00138873505106595</v>
      </c>
      <c r="AP618" s="4">
        <v>-0.916290731874155</v>
      </c>
      <c r="AQ618" s="4">
        <v>0.011125</v>
      </c>
      <c r="AR618" s="4">
        <v>-0.614235356093578</v>
      </c>
      <c r="AS618" s="4">
        <v>0.00269817527763602</v>
      </c>
      <c r="AT618" s="4">
        <v>-1.07521332783235</v>
      </c>
      <c r="AU618" s="4">
        <v>0.0113192065569393</v>
      </c>
      <c r="AV618" s="4"/>
      <c r="AW618" s="4"/>
      <c r="AX618" s="4"/>
      <c r="AY618" s="4"/>
      <c r="BJ618" s="4">
        <v>0.0800427076735366</v>
      </c>
      <c r="BK618" s="4">
        <v>0.00612261669953978</v>
      </c>
    </row>
    <row r="619" s="3" customFormat="1" spans="1:68">
      <c r="A619" s="4">
        <v>618</v>
      </c>
      <c r="B619" s="6">
        <v>100</v>
      </c>
      <c r="C619" s="24" t="s">
        <v>101</v>
      </c>
      <c r="D619" s="13" t="s">
        <v>102</v>
      </c>
      <c r="E619" s="33">
        <v>43.3963</v>
      </c>
      <c r="F619" s="33">
        <v>-85.374</v>
      </c>
      <c r="G619" s="20">
        <v>7.68333339691162</v>
      </c>
      <c r="H619" s="21">
        <v>870</v>
      </c>
      <c r="I619" s="3"/>
      <c r="J619" s="13" t="s">
        <v>94</v>
      </c>
      <c r="K619" s="5" t="s">
        <v>78</v>
      </c>
      <c r="L619" s="3">
        <v>2014</v>
      </c>
      <c r="M619" s="3">
        <v>5</v>
      </c>
      <c r="N619" s="13" t="s">
        <v>113</v>
      </c>
      <c r="O619" s="28" t="s">
        <v>80</v>
      </c>
      <c r="P619" s="12"/>
      <c r="Q619" s="12"/>
      <c r="R619" s="12"/>
      <c r="S619" s="13"/>
      <c r="T619" s="21">
        <v>6</v>
      </c>
      <c r="U619" s="21">
        <v>40</v>
      </c>
      <c r="V619" s="21">
        <v>54</v>
      </c>
      <c r="W619" s="3">
        <v>6</v>
      </c>
      <c r="X619" s="5" t="s">
        <v>91</v>
      </c>
      <c r="Y619" s="13" t="s">
        <v>82</v>
      </c>
      <c r="Z619" s="3"/>
      <c r="AA619" s="3"/>
      <c r="AB619" s="9"/>
      <c r="AC619" s="9"/>
      <c r="AD619" s="25"/>
      <c r="AE619" s="25"/>
      <c r="AF619" s="9"/>
      <c r="AG619" s="9"/>
      <c r="AH619" s="25"/>
      <c r="AI619" s="25"/>
      <c r="AJ619" s="4"/>
      <c r="AK619" s="4"/>
      <c r="AL619" s="3"/>
      <c r="AM619" s="3"/>
      <c r="AN619" s="4"/>
      <c r="AO619" s="4"/>
      <c r="AP619" s="3"/>
      <c r="AQ619" s="3"/>
      <c r="AR619" s="4"/>
      <c r="AS619" s="4"/>
      <c r="AT619" s="3"/>
      <c r="AU619" s="3"/>
      <c r="AV619" s="4"/>
      <c r="AW619" s="4"/>
      <c r="AX619" s="3">
        <v>0.0658580726815823</v>
      </c>
      <c r="AY619" s="3">
        <v>0.0102350322666031</v>
      </c>
      <c r="BP619" s="3">
        <v>0.0727067527698609</v>
      </c>
    </row>
    <row r="620" s="3" customFormat="1" spans="1:68">
      <c r="A620" s="4">
        <v>619</v>
      </c>
      <c r="B620" s="6">
        <v>100</v>
      </c>
      <c r="C620" s="24" t="s">
        <v>101</v>
      </c>
      <c r="D620" s="13" t="s">
        <v>102</v>
      </c>
      <c r="E620" s="33">
        <v>43.3963</v>
      </c>
      <c r="F620" s="33">
        <v>-85.374</v>
      </c>
      <c r="G620" s="20">
        <v>7.68333339691162</v>
      </c>
      <c r="H620" s="21">
        <v>870</v>
      </c>
      <c r="I620" s="3"/>
      <c r="J620" s="13" t="s">
        <v>94</v>
      </c>
      <c r="K620" s="5" t="s">
        <v>78</v>
      </c>
      <c r="L620" s="3">
        <v>2014</v>
      </c>
      <c r="M620" s="3">
        <v>5</v>
      </c>
      <c r="N620" s="13" t="s">
        <v>113</v>
      </c>
      <c r="O620" s="28" t="s">
        <v>80</v>
      </c>
      <c r="P620" s="12"/>
      <c r="Q620" s="12"/>
      <c r="R620" s="12"/>
      <c r="S620" s="13"/>
      <c r="T620" s="21">
        <v>6</v>
      </c>
      <c r="U620" s="21">
        <v>40</v>
      </c>
      <c r="V620" s="21">
        <v>54</v>
      </c>
      <c r="W620" s="3">
        <v>6</v>
      </c>
      <c r="X620" s="5" t="s">
        <v>91</v>
      </c>
      <c r="Y620" s="13" t="s">
        <v>82</v>
      </c>
      <c r="Z620" s="3"/>
      <c r="AA620" s="3"/>
      <c r="AB620" s="9"/>
      <c r="AC620" s="9"/>
      <c r="AD620" s="25"/>
      <c r="AE620" s="25"/>
      <c r="AF620" s="9"/>
      <c r="AG620" s="9"/>
      <c r="AH620" s="25"/>
      <c r="AI620" s="25"/>
      <c r="AJ620" s="4"/>
      <c r="AK620" s="4"/>
      <c r="AL620" s="3"/>
      <c r="AM620" s="3"/>
      <c r="AN620" s="4"/>
      <c r="AO620" s="4"/>
      <c r="AP620" s="3"/>
      <c r="AQ620" s="3"/>
      <c r="AR620" s="4"/>
      <c r="AS620" s="4"/>
      <c r="AT620" s="3"/>
      <c r="AU620" s="3"/>
      <c r="AV620" s="4"/>
      <c r="AW620" s="4"/>
      <c r="AX620" s="3">
        <v>0.271262799658408</v>
      </c>
      <c r="AY620" s="3">
        <v>0.0122117688700237</v>
      </c>
      <c r="BP620" s="3">
        <v>-0.0108309130986904</v>
      </c>
    </row>
    <row r="621" s="3" customFormat="1" spans="1:51">
      <c r="A621" s="4">
        <v>620</v>
      </c>
      <c r="B621" s="6">
        <v>100</v>
      </c>
      <c r="C621" s="24" t="s">
        <v>101</v>
      </c>
      <c r="D621" s="13" t="s">
        <v>102</v>
      </c>
      <c r="E621" s="33">
        <v>43.3963</v>
      </c>
      <c r="F621" s="33">
        <v>-85.374</v>
      </c>
      <c r="G621" s="20">
        <v>7.68333339691162</v>
      </c>
      <c r="H621" s="21">
        <v>870</v>
      </c>
      <c r="I621" s="3"/>
      <c r="J621" s="13" t="s">
        <v>94</v>
      </c>
      <c r="K621" s="5" t="s">
        <v>78</v>
      </c>
      <c r="L621" s="3">
        <v>2015</v>
      </c>
      <c r="M621" s="3">
        <v>5</v>
      </c>
      <c r="N621" s="13" t="s">
        <v>113</v>
      </c>
      <c r="O621" s="28" t="s">
        <v>80</v>
      </c>
      <c r="P621" s="12"/>
      <c r="Q621" s="12"/>
      <c r="R621" s="12"/>
      <c r="S621" s="13"/>
      <c r="T621" s="21">
        <v>6</v>
      </c>
      <c r="U621" s="21">
        <v>40</v>
      </c>
      <c r="V621" s="21">
        <v>54</v>
      </c>
      <c r="W621" s="3">
        <v>6</v>
      </c>
      <c r="X621" s="5" t="s">
        <v>91</v>
      </c>
      <c r="Y621" s="13" t="s">
        <v>82</v>
      </c>
      <c r="Z621" s="3"/>
      <c r="AA621" s="3"/>
      <c r="AB621" s="9"/>
      <c r="AC621" s="9"/>
      <c r="AD621" s="25"/>
      <c r="AE621" s="25"/>
      <c r="AF621" s="9"/>
      <c r="AG621" s="9"/>
      <c r="AH621" s="25"/>
      <c r="AI621" s="25"/>
      <c r="AJ621" s="4"/>
      <c r="AK621" s="4"/>
      <c r="AL621" s="3"/>
      <c r="AM621" s="3"/>
      <c r="AN621" s="4"/>
      <c r="AO621" s="4"/>
      <c r="AP621" s="3"/>
      <c r="AQ621" s="3"/>
      <c r="AR621" s="4"/>
      <c r="AS621" s="4"/>
      <c r="AT621" s="3"/>
      <c r="AU621" s="3"/>
      <c r="AV621" s="4"/>
      <c r="AW621" s="4"/>
      <c r="AX621" s="3">
        <v>0.0658580726815823</v>
      </c>
      <c r="AY621" s="3">
        <v>0.0102350322666031</v>
      </c>
    </row>
    <row r="622" s="3" customFormat="1" spans="1:51">
      <c r="A622" s="4">
        <v>621</v>
      </c>
      <c r="B622" s="6">
        <v>100</v>
      </c>
      <c r="C622" s="24" t="s">
        <v>101</v>
      </c>
      <c r="D622" s="13" t="s">
        <v>102</v>
      </c>
      <c r="E622" s="33">
        <v>43.3963</v>
      </c>
      <c r="F622" s="33">
        <v>-85.374</v>
      </c>
      <c r="G622" s="20">
        <v>7.68333339691162</v>
      </c>
      <c r="H622" s="21">
        <v>870</v>
      </c>
      <c r="I622" s="3"/>
      <c r="J622" s="13" t="s">
        <v>94</v>
      </c>
      <c r="K622" s="5" t="s">
        <v>78</v>
      </c>
      <c r="L622" s="3">
        <v>2015</v>
      </c>
      <c r="M622" s="3">
        <v>5</v>
      </c>
      <c r="N622" s="13" t="s">
        <v>113</v>
      </c>
      <c r="O622" s="28" t="s">
        <v>80</v>
      </c>
      <c r="P622" s="12"/>
      <c r="Q622" s="12"/>
      <c r="R622" s="12"/>
      <c r="S622" s="13"/>
      <c r="T622" s="21">
        <v>6</v>
      </c>
      <c r="U622" s="21">
        <v>40</v>
      </c>
      <c r="V622" s="21">
        <v>54</v>
      </c>
      <c r="W622" s="3">
        <v>6</v>
      </c>
      <c r="X622" s="5" t="s">
        <v>91</v>
      </c>
      <c r="Y622" s="13" t="s">
        <v>82</v>
      </c>
      <c r="Z622" s="3"/>
      <c r="AA622" s="3"/>
      <c r="AB622" s="9"/>
      <c r="AC622" s="9"/>
      <c r="AD622" s="25"/>
      <c r="AE622" s="25"/>
      <c r="AF622" s="9"/>
      <c r="AG622" s="9"/>
      <c r="AH622" s="25"/>
      <c r="AI622" s="25"/>
      <c r="AJ622" s="4"/>
      <c r="AK622" s="4"/>
      <c r="AL622" s="3"/>
      <c r="AM622" s="3"/>
      <c r="AN622" s="4"/>
      <c r="AO622" s="4"/>
      <c r="AP622" s="3"/>
      <c r="AQ622" s="3"/>
      <c r="AR622" s="4"/>
      <c r="AS622" s="4"/>
      <c r="AT622" s="3"/>
      <c r="AU622" s="3"/>
      <c r="AV622" s="4"/>
      <c r="AW622" s="4"/>
      <c r="AX622" s="3">
        <v>0.271262799658408</v>
      </c>
      <c r="AY622" s="3">
        <v>0.0122117688700237</v>
      </c>
    </row>
    <row r="623" s="4" customFormat="1" spans="1:71">
      <c r="A623" s="4">
        <v>622</v>
      </c>
      <c r="B623" s="18">
        <v>101</v>
      </c>
      <c r="C623" s="19" t="s">
        <v>350</v>
      </c>
      <c r="D623" s="5" t="s">
        <v>351</v>
      </c>
      <c r="E623" s="9">
        <v>30.323</v>
      </c>
      <c r="F623" s="9">
        <v>119.44543</v>
      </c>
      <c r="G623" s="20">
        <v>15.8</v>
      </c>
      <c r="H623" s="21">
        <v>1870</v>
      </c>
      <c r="I623" s="4"/>
      <c r="J623" s="13" t="s">
        <v>188</v>
      </c>
      <c r="K623" s="5" t="s">
        <v>182</v>
      </c>
      <c r="L623" s="4">
        <v>2016</v>
      </c>
      <c r="M623" s="4">
        <v>8</v>
      </c>
      <c r="N623" s="5" t="s">
        <v>96</v>
      </c>
      <c r="O623" s="36" t="s">
        <v>80</v>
      </c>
      <c r="P623" s="29">
        <v>4.39</v>
      </c>
      <c r="Q623" s="4">
        <v>22.08</v>
      </c>
      <c r="R623" s="4">
        <v>1.4</v>
      </c>
      <c r="S623" s="13">
        <v>15.7714285714286</v>
      </c>
      <c r="T623" s="34">
        <v>22.5</v>
      </c>
      <c r="U623" s="34">
        <v>41.2</v>
      </c>
      <c r="V623" s="34">
        <v>36.3</v>
      </c>
      <c r="W623" s="4"/>
      <c r="X623" s="4"/>
      <c r="Y623" s="5" t="s">
        <v>82</v>
      </c>
      <c r="Z623" s="4">
        <v>6</v>
      </c>
      <c r="AA623" s="4">
        <v>6</v>
      </c>
      <c r="AB623" s="9">
        <v>-0.00676440008854215</v>
      </c>
      <c r="AC623" s="9">
        <v>0.00411838046277998</v>
      </c>
      <c r="AD623" s="9">
        <v>0.22314355131421</v>
      </c>
      <c r="AE623" s="9">
        <v>0.00676823638042475</v>
      </c>
      <c r="AF623" s="9">
        <v>0.229907951402752</v>
      </c>
      <c r="AG623" s="9">
        <v>0.0108866168432047</v>
      </c>
      <c r="AH623" s="9">
        <v>0.297820719623114</v>
      </c>
      <c r="AI623" s="9">
        <v>0.00537487488834066</v>
      </c>
      <c r="AJ623" s="4">
        <v>-0.304585119711657</v>
      </c>
      <c r="AK623" s="4">
        <v>0.00949325535112064</v>
      </c>
      <c r="AL623" s="4">
        <v>-0.074677168308905</v>
      </c>
      <c r="AM623" s="4">
        <v>0.0121431112687654</v>
      </c>
      <c r="AN623" s="4">
        <v>0.126100663949482</v>
      </c>
      <c r="AO623" s="4">
        <v>0.00082721383629694</v>
      </c>
      <c r="AP623" s="4">
        <v>0.048790164169432</v>
      </c>
      <c r="AQ623" s="4">
        <v>0.015065944745245</v>
      </c>
      <c r="AR623" s="4"/>
      <c r="AS623" s="4"/>
      <c r="AT623" s="4"/>
      <c r="AU623" s="4"/>
      <c r="AV623" s="4"/>
      <c r="AW623" s="4"/>
      <c r="AX623" s="4">
        <v>0.0658580726815823</v>
      </c>
      <c r="AY623" s="4">
        <v>0.0102350322666031</v>
      </c>
      <c r="BD623" s="4">
        <v>0.0945956488774683</v>
      </c>
      <c r="BE623" s="4">
        <v>0.000535859378632558</v>
      </c>
      <c r="BN623" s="4">
        <v>-0.058553308751574</v>
      </c>
      <c r="BO623" s="4">
        <v>0.00110645227729244</v>
      </c>
      <c r="BP623" s="4">
        <v>0.252445702001603</v>
      </c>
      <c r="BQ623" s="4">
        <v>0.0144984937230727</v>
      </c>
      <c r="BR623" s="4">
        <v>0.94610660509931</v>
      </c>
      <c r="BS623" s="4">
        <v>0.0297709540060218</v>
      </c>
    </row>
    <row r="624" s="4" customFormat="1" spans="1:71">
      <c r="A624" s="4">
        <v>623</v>
      </c>
      <c r="B624" s="18">
        <v>101</v>
      </c>
      <c r="C624" s="19" t="s">
        <v>350</v>
      </c>
      <c r="D624" s="5" t="s">
        <v>351</v>
      </c>
      <c r="E624" s="9">
        <v>30.323</v>
      </c>
      <c r="F624" s="9">
        <v>119.44543</v>
      </c>
      <c r="G624" s="20">
        <v>15.8</v>
      </c>
      <c r="H624" s="21">
        <v>1870</v>
      </c>
      <c r="I624" s="4"/>
      <c r="J624" s="13" t="s">
        <v>188</v>
      </c>
      <c r="K624" s="5" t="s">
        <v>182</v>
      </c>
      <c r="L624" s="4">
        <v>2016</v>
      </c>
      <c r="M624" s="4">
        <v>8</v>
      </c>
      <c r="N624" s="5" t="s">
        <v>96</v>
      </c>
      <c r="O624" s="36" t="s">
        <v>80</v>
      </c>
      <c r="P624" s="29">
        <v>4.39</v>
      </c>
      <c r="Q624" s="4">
        <v>22.08</v>
      </c>
      <c r="R624" s="4">
        <v>1.4</v>
      </c>
      <c r="S624" s="13">
        <v>15.7714285714286</v>
      </c>
      <c r="T624" s="34">
        <v>22.5</v>
      </c>
      <c r="U624" s="34">
        <v>41.2</v>
      </c>
      <c r="V624" s="34">
        <v>36.3</v>
      </c>
      <c r="W624" s="4"/>
      <c r="X624" s="4"/>
      <c r="Y624" s="5" t="s">
        <v>82</v>
      </c>
      <c r="Z624" s="4">
        <v>6</v>
      </c>
      <c r="AA624" s="4">
        <v>6</v>
      </c>
      <c r="AB624" s="9">
        <v>-0.0250297480658354</v>
      </c>
      <c r="AC624" s="9">
        <v>0.00269248703761412</v>
      </c>
      <c r="AD624" s="9">
        <v>0.174616510419549</v>
      </c>
      <c r="AE624" s="9">
        <v>0.00361808160238723</v>
      </c>
      <c r="AF624" s="9">
        <v>0.199646258485386</v>
      </c>
      <c r="AG624" s="9">
        <v>0.00631056864000135</v>
      </c>
      <c r="AH624" s="9"/>
      <c r="AI624" s="9"/>
      <c r="AJ624" s="4"/>
      <c r="AK624" s="4"/>
      <c r="AL624" s="4"/>
      <c r="AM624" s="4"/>
      <c r="AN624" s="4">
        <v>0.00907035696996428</v>
      </c>
      <c r="AO624" s="4">
        <v>0.00120372165733946</v>
      </c>
      <c r="AP624" s="4">
        <v>0.158224005214894</v>
      </c>
      <c r="AQ624" s="4">
        <v>0.0126217033511799</v>
      </c>
      <c r="AR624" s="4"/>
      <c r="AS624" s="4"/>
      <c r="AT624" s="4"/>
      <c r="AU624" s="4"/>
      <c r="AV624" s="4"/>
      <c r="AW624" s="4"/>
      <c r="AX624" s="4">
        <v>0.271262799658408</v>
      </c>
      <c r="AY624" s="4">
        <v>0.0122117688700237</v>
      </c>
      <c r="BD624" s="4">
        <v>0.0492962314871844</v>
      </c>
      <c r="BE624" s="4">
        <v>0.000965678940742643</v>
      </c>
      <c r="BN624" s="4">
        <v>0.0364522715986748</v>
      </c>
      <c r="BO624" s="4">
        <v>0.000848016652821749</v>
      </c>
      <c r="BP624" s="4">
        <v>-0.121023412168855</v>
      </c>
      <c r="BQ624" s="4">
        <v>0.0102804263763697</v>
      </c>
      <c r="BR624" s="4">
        <v>1.02831249254889</v>
      </c>
      <c r="BS624" s="4">
        <v>0.0496254792707268</v>
      </c>
    </row>
    <row r="625" s="3" customFormat="1" spans="1:55">
      <c r="A625" s="4">
        <v>624</v>
      </c>
      <c r="B625" s="6">
        <v>102</v>
      </c>
      <c r="C625" s="24" t="s">
        <v>352</v>
      </c>
      <c r="D625" s="13" t="s">
        <v>353</v>
      </c>
      <c r="E625" s="25">
        <v>-19.569</v>
      </c>
      <c r="F625" s="25">
        <v>-47.955</v>
      </c>
      <c r="G625" s="20">
        <v>20.9416656494141</v>
      </c>
      <c r="H625" s="21">
        <v>1608</v>
      </c>
      <c r="I625" s="3"/>
      <c r="J625" s="13" t="s">
        <v>181</v>
      </c>
      <c r="K625" s="5" t="s">
        <v>182</v>
      </c>
      <c r="L625" s="3"/>
      <c r="M625" s="3"/>
      <c r="N625" s="3"/>
      <c r="O625" s="36" t="s">
        <v>80</v>
      </c>
      <c r="P625" s="7">
        <v>4.81</v>
      </c>
      <c r="Q625" s="3">
        <v>32.44</v>
      </c>
      <c r="R625" s="12"/>
      <c r="S625" s="13"/>
      <c r="T625" s="8">
        <v>19.144</v>
      </c>
      <c r="U625" s="8">
        <v>13.244</v>
      </c>
      <c r="V625" s="8">
        <v>67.611</v>
      </c>
      <c r="W625" s="3"/>
      <c r="X625" s="3"/>
      <c r="Y625" s="13" t="s">
        <v>82</v>
      </c>
      <c r="Z625" s="3">
        <v>27</v>
      </c>
      <c r="AA625" s="3">
        <v>27</v>
      </c>
      <c r="AB625" s="9">
        <v>-1.9621887179167</v>
      </c>
      <c r="AC625" s="9">
        <v>2.84846315544783e-5</v>
      </c>
      <c r="AD625" s="25"/>
      <c r="AE625" s="25"/>
      <c r="AF625" s="9"/>
      <c r="AG625" s="9"/>
      <c r="AH625" s="25">
        <v>-0.91675323091886</v>
      </c>
      <c r="AI625" s="25">
        <v>0.000771283570117388</v>
      </c>
      <c r="AJ625" s="4">
        <v>-1.04543548699784</v>
      </c>
      <c r="AK625" s="4">
        <v>0.000799768201671867</v>
      </c>
      <c r="AL625" s="3"/>
      <c r="AM625" s="3"/>
      <c r="AN625" s="4">
        <v>-0.119083256877137</v>
      </c>
      <c r="AO625" s="4">
        <v>0.000668247922551613</v>
      </c>
      <c r="AP625" s="3"/>
      <c r="AQ625" s="3"/>
      <c r="AR625" s="4"/>
      <c r="AS625" s="4"/>
      <c r="AT625" s="3"/>
      <c r="AU625" s="3"/>
      <c r="AV625" s="4"/>
      <c r="AW625" s="4"/>
      <c r="AX625" s="3"/>
      <c r="AY625" s="3"/>
      <c r="BB625" s="3">
        <v>-0.76817959558925</v>
      </c>
      <c r="BC625" s="3">
        <v>0.000771283570117389</v>
      </c>
    </row>
    <row r="626" s="3" customFormat="1" spans="1:55">
      <c r="A626" s="4">
        <v>625</v>
      </c>
      <c r="B626" s="6">
        <v>102</v>
      </c>
      <c r="C626" s="24" t="s">
        <v>352</v>
      </c>
      <c r="D626" s="13" t="s">
        <v>353</v>
      </c>
      <c r="E626" s="25">
        <v>-19.569</v>
      </c>
      <c r="F626" s="25">
        <v>-47.955</v>
      </c>
      <c r="G626" s="20">
        <v>20.9416656494141</v>
      </c>
      <c r="H626" s="21">
        <v>1608</v>
      </c>
      <c r="I626" s="3"/>
      <c r="J626" s="13" t="s">
        <v>188</v>
      </c>
      <c r="K626" s="5" t="s">
        <v>182</v>
      </c>
      <c r="L626" s="3"/>
      <c r="M626" s="3"/>
      <c r="N626" s="3"/>
      <c r="O626" s="36" t="s">
        <v>80</v>
      </c>
      <c r="P626" s="7">
        <v>4.81</v>
      </c>
      <c r="Q626" s="3">
        <v>32.44</v>
      </c>
      <c r="R626" s="12"/>
      <c r="S626" s="13"/>
      <c r="T626" s="8">
        <v>19.144</v>
      </c>
      <c r="U626" s="8">
        <v>13.244</v>
      </c>
      <c r="V626" s="8">
        <v>67.611</v>
      </c>
      <c r="W626" s="3"/>
      <c r="X626" s="3"/>
      <c r="Y626" s="13" t="s">
        <v>82</v>
      </c>
      <c r="Z626" s="3">
        <v>27</v>
      </c>
      <c r="AA626" s="3">
        <v>27</v>
      </c>
      <c r="AB626" s="9">
        <v>-0.113754464011287</v>
      </c>
      <c r="AC626" s="9">
        <v>2.84846315544783e-5</v>
      </c>
      <c r="AD626" s="25"/>
      <c r="AE626" s="25"/>
      <c r="AF626" s="9"/>
      <c r="AG626" s="9"/>
      <c r="AH626" s="25">
        <v>-0.213632818480161</v>
      </c>
      <c r="AI626" s="25">
        <v>0.000771283570117388</v>
      </c>
      <c r="AJ626" s="4">
        <v>0.0998783544688737</v>
      </c>
      <c r="AK626" s="4">
        <v>0.000799768201671867</v>
      </c>
      <c r="AL626" s="3"/>
      <c r="AM626" s="3"/>
      <c r="AN626" s="4">
        <v>-0.150001296280447</v>
      </c>
      <c r="AO626" s="4">
        <v>0.000405217191838043</v>
      </c>
      <c r="AP626" s="3"/>
      <c r="AQ626" s="3"/>
      <c r="AR626" s="4"/>
      <c r="AS626" s="4"/>
      <c r="AT626" s="3"/>
      <c r="AU626" s="3"/>
      <c r="AV626" s="4"/>
      <c r="AW626" s="4"/>
      <c r="AX626" s="3"/>
      <c r="AY626" s="3"/>
      <c r="BB626" s="3">
        <v>-0.00515287411632297</v>
      </c>
      <c r="BC626" s="3">
        <v>0.000771283570117389</v>
      </c>
    </row>
    <row r="627" s="4" customFormat="1" spans="1:37">
      <c r="A627" s="4">
        <v>626</v>
      </c>
      <c r="B627" s="18">
        <v>103</v>
      </c>
      <c r="C627" s="19" t="s">
        <v>354</v>
      </c>
      <c r="D627" s="5" t="s">
        <v>355</v>
      </c>
      <c r="E627" s="9">
        <v>28.617</v>
      </c>
      <c r="F627" s="9">
        <v>77.15</v>
      </c>
      <c r="G627" s="20">
        <v>25.0750007629395</v>
      </c>
      <c r="H627" s="21">
        <v>650</v>
      </c>
      <c r="I627" s="4">
        <v>250</v>
      </c>
      <c r="J627" s="5" t="s">
        <v>94</v>
      </c>
      <c r="K627" s="5" t="s">
        <v>78</v>
      </c>
      <c r="L627" s="4">
        <v>2015</v>
      </c>
      <c r="M627" s="4">
        <v>4</v>
      </c>
      <c r="N627" s="5" t="s">
        <v>113</v>
      </c>
      <c r="O627" s="28" t="s">
        <v>80</v>
      </c>
      <c r="P627" s="29">
        <v>8.3</v>
      </c>
      <c r="Q627" s="20"/>
      <c r="R627" s="12"/>
      <c r="S627" s="13"/>
      <c r="T627" s="34">
        <v>14</v>
      </c>
      <c r="U627" s="34">
        <v>16</v>
      </c>
      <c r="V627" s="34">
        <v>70</v>
      </c>
      <c r="W627" s="18">
        <v>44</v>
      </c>
      <c r="X627" s="13" t="s">
        <v>141</v>
      </c>
      <c r="Y627" s="5" t="s">
        <v>82</v>
      </c>
      <c r="Z627" s="4">
        <v>3</v>
      </c>
      <c r="AA627" s="4">
        <v>3</v>
      </c>
      <c r="AB627" s="9">
        <v>0.825143653466384</v>
      </c>
      <c r="AC627" s="9">
        <v>0.000256361683990305</v>
      </c>
      <c r="AD627" s="9"/>
      <c r="AE627" s="9"/>
      <c r="AF627" s="9"/>
      <c r="AG627" s="9"/>
      <c r="AH627" s="9">
        <v>0.207829316341167</v>
      </c>
      <c r="AI627" s="9">
        <v>0.00694155213105651</v>
      </c>
      <c r="AJ627" s="4">
        <v>0.617314337125217</v>
      </c>
      <c r="AK627" s="4">
        <v>0.00719791381504681</v>
      </c>
    </row>
    <row r="628" s="4" customFormat="1" spans="1:37">
      <c r="A628" s="4">
        <v>627</v>
      </c>
      <c r="B628" s="18">
        <v>103</v>
      </c>
      <c r="C628" s="19" t="s">
        <v>354</v>
      </c>
      <c r="D628" s="5" t="s">
        <v>355</v>
      </c>
      <c r="E628" s="9">
        <v>28.617</v>
      </c>
      <c r="F628" s="9">
        <v>77.15</v>
      </c>
      <c r="G628" s="20">
        <v>25.0750007629395</v>
      </c>
      <c r="H628" s="21">
        <v>650</v>
      </c>
      <c r="I628" s="4">
        <v>250</v>
      </c>
      <c r="J628" s="5" t="s">
        <v>94</v>
      </c>
      <c r="K628" s="5" t="s">
        <v>78</v>
      </c>
      <c r="L628" s="4">
        <v>2015</v>
      </c>
      <c r="M628" s="4">
        <v>4</v>
      </c>
      <c r="N628" s="5" t="s">
        <v>113</v>
      </c>
      <c r="O628" s="28" t="s">
        <v>80</v>
      </c>
      <c r="P628" s="29">
        <v>8.3</v>
      </c>
      <c r="Q628" s="20"/>
      <c r="R628" s="12"/>
      <c r="S628" s="13"/>
      <c r="T628" s="34">
        <v>14</v>
      </c>
      <c r="U628" s="34">
        <v>16</v>
      </c>
      <c r="V628" s="34">
        <v>70</v>
      </c>
      <c r="W628" s="18">
        <v>44</v>
      </c>
      <c r="X628" s="13" t="s">
        <v>141</v>
      </c>
      <c r="Y628" s="5" t="s">
        <v>82</v>
      </c>
      <c r="Z628" s="4">
        <v>3</v>
      </c>
      <c r="AA628" s="4">
        <v>3</v>
      </c>
      <c r="AB628" s="9">
        <v>0.0123078476745968</v>
      </c>
      <c r="AC628" s="9">
        <v>0.000256361683990305</v>
      </c>
      <c r="AD628" s="9"/>
      <c r="AE628" s="9"/>
      <c r="AF628" s="9"/>
      <c r="AG628" s="9"/>
      <c r="AH628" s="9">
        <v>0.198450938723838</v>
      </c>
      <c r="AI628" s="9">
        <v>0.00694155213105649</v>
      </c>
      <c r="AJ628" s="4">
        <v>-0.186143091049242</v>
      </c>
      <c r="AK628" s="4">
        <v>0.0071979138150468</v>
      </c>
    </row>
    <row r="629" s="4" customFormat="1" spans="1:51">
      <c r="A629" s="4">
        <v>628</v>
      </c>
      <c r="B629" s="18">
        <v>103</v>
      </c>
      <c r="C629" s="19" t="s">
        <v>354</v>
      </c>
      <c r="D629" s="5" t="s">
        <v>355</v>
      </c>
      <c r="E629" s="9">
        <v>28.617</v>
      </c>
      <c r="F629" s="9">
        <v>77.15</v>
      </c>
      <c r="G629" s="20">
        <v>25.0750007629395</v>
      </c>
      <c r="H629" s="21">
        <v>650</v>
      </c>
      <c r="I629" s="4">
        <v>250</v>
      </c>
      <c r="J629" s="5" t="s">
        <v>94</v>
      </c>
      <c r="K629" s="5" t="s">
        <v>78</v>
      </c>
      <c r="L629" s="4">
        <v>2015</v>
      </c>
      <c r="M629" s="4">
        <v>4</v>
      </c>
      <c r="N629" s="5" t="s">
        <v>113</v>
      </c>
      <c r="O629" s="28" t="s">
        <v>80</v>
      </c>
      <c r="P629" s="29">
        <v>8.3</v>
      </c>
      <c r="Q629" s="20"/>
      <c r="R629" s="12"/>
      <c r="S629" s="13"/>
      <c r="T629" s="34">
        <v>14</v>
      </c>
      <c r="U629" s="34">
        <v>16</v>
      </c>
      <c r="V629" s="34">
        <v>70</v>
      </c>
      <c r="W629" s="18">
        <v>44</v>
      </c>
      <c r="X629" s="13" t="s">
        <v>141</v>
      </c>
      <c r="Y629" s="5" t="s">
        <v>82</v>
      </c>
      <c r="Z629" s="4">
        <v>3</v>
      </c>
      <c r="AA629" s="4">
        <v>3</v>
      </c>
      <c r="AB629" s="9">
        <v>0.202671096209234</v>
      </c>
      <c r="AC629" s="9">
        <v>0.000256361683990305</v>
      </c>
      <c r="AD629" s="9"/>
      <c r="AE629" s="9"/>
      <c r="AF629" s="9"/>
      <c r="AG629" s="9"/>
      <c r="AH629" s="9">
        <v>0.237800709114183</v>
      </c>
      <c r="AI629" s="9">
        <v>0.0069415521310565</v>
      </c>
      <c r="AJ629" s="4">
        <v>-0.0351296129049494</v>
      </c>
      <c r="AK629" s="4">
        <v>0.00719791381504681</v>
      </c>
      <c r="AL629" s="4"/>
      <c r="AM629" s="4"/>
      <c r="AN629" s="4"/>
      <c r="AO629" s="4"/>
      <c r="AP629" s="4"/>
      <c r="AQ629" s="4"/>
      <c r="AR629" s="4"/>
      <c r="AS629" s="4"/>
      <c r="AT629" s="4"/>
      <c r="AU629" s="4"/>
      <c r="AV629" s="4"/>
      <c r="AW629" s="4"/>
      <c r="AX629" s="4">
        <v>0.24903055545368</v>
      </c>
      <c r="AY629" s="4">
        <v>0.0204408196335856</v>
      </c>
    </row>
    <row r="630" s="4" customFormat="1" spans="1:51">
      <c r="A630" s="4">
        <v>629</v>
      </c>
      <c r="B630" s="18">
        <v>103</v>
      </c>
      <c r="C630" s="19" t="s">
        <v>354</v>
      </c>
      <c r="D630" s="5" t="s">
        <v>355</v>
      </c>
      <c r="E630" s="9">
        <v>28.617</v>
      </c>
      <c r="F630" s="9">
        <v>77.15</v>
      </c>
      <c r="G630" s="20">
        <v>25.0750007629395</v>
      </c>
      <c r="H630" s="21">
        <v>650</v>
      </c>
      <c r="I630" s="4">
        <v>250</v>
      </c>
      <c r="J630" s="5" t="s">
        <v>94</v>
      </c>
      <c r="K630" s="5" t="s">
        <v>78</v>
      </c>
      <c r="L630" s="4">
        <v>2015</v>
      </c>
      <c r="M630" s="4">
        <v>4</v>
      </c>
      <c r="N630" s="5" t="s">
        <v>113</v>
      </c>
      <c r="O630" s="28" t="s">
        <v>136</v>
      </c>
      <c r="P630" s="29">
        <v>8.3</v>
      </c>
      <c r="Q630" s="20"/>
      <c r="R630" s="12"/>
      <c r="S630" s="13"/>
      <c r="T630" s="34">
        <v>14</v>
      </c>
      <c r="U630" s="34">
        <v>16</v>
      </c>
      <c r="V630" s="34">
        <v>70</v>
      </c>
      <c r="W630" s="18">
        <v>44</v>
      </c>
      <c r="X630" s="13" t="s">
        <v>141</v>
      </c>
      <c r="Y630" s="5" t="s">
        <v>82</v>
      </c>
      <c r="Z630" s="4">
        <v>3</v>
      </c>
      <c r="AA630" s="4">
        <v>3</v>
      </c>
      <c r="AB630" s="9">
        <v>0.497838428239179</v>
      </c>
      <c r="AC630" s="9">
        <v>0.000256361683990305</v>
      </c>
      <c r="AD630" s="9"/>
      <c r="AE630" s="9"/>
      <c r="AF630" s="9"/>
      <c r="AG630" s="9"/>
      <c r="AH630" s="9">
        <v>0.214656937436891</v>
      </c>
      <c r="AI630" s="9">
        <v>0.0069415521310565</v>
      </c>
      <c r="AJ630" s="4">
        <v>0.283181490802295</v>
      </c>
      <c r="AK630" s="4">
        <v>0.0071979138150468</v>
      </c>
      <c r="AL630" s="4"/>
      <c r="AM630" s="4"/>
      <c r="AN630" s="4"/>
      <c r="AO630" s="4"/>
      <c r="AP630" s="4"/>
      <c r="AQ630" s="4"/>
      <c r="AR630" s="4"/>
      <c r="AS630" s="4"/>
      <c r="AT630" s="4"/>
      <c r="AU630" s="4"/>
      <c r="AV630" s="4"/>
      <c r="AW630" s="4"/>
      <c r="AX630" s="4">
        <v>4.58623542165054</v>
      </c>
      <c r="AY630" s="4">
        <v>0.0144146552198246</v>
      </c>
    </row>
    <row r="631" s="4" customFormat="1" spans="1:37">
      <c r="A631" s="4">
        <v>630</v>
      </c>
      <c r="B631" s="18">
        <v>103</v>
      </c>
      <c r="C631" s="19" t="s">
        <v>354</v>
      </c>
      <c r="D631" s="5" t="s">
        <v>355</v>
      </c>
      <c r="E631" s="9">
        <v>28.617</v>
      </c>
      <c r="F631" s="9">
        <v>77.15</v>
      </c>
      <c r="G631" s="20">
        <v>25.0750007629395</v>
      </c>
      <c r="H631" s="21">
        <v>650</v>
      </c>
      <c r="I631" s="4">
        <v>250</v>
      </c>
      <c r="J631" s="5" t="s">
        <v>94</v>
      </c>
      <c r="K631" s="5" t="s">
        <v>78</v>
      </c>
      <c r="L631" s="4">
        <v>2015</v>
      </c>
      <c r="M631" s="4">
        <v>4</v>
      </c>
      <c r="N631" s="5" t="s">
        <v>113</v>
      </c>
      <c r="O631" s="28" t="s">
        <v>136</v>
      </c>
      <c r="P631" s="29">
        <v>8.3</v>
      </c>
      <c r="Q631" s="20"/>
      <c r="R631" s="12"/>
      <c r="S631" s="13"/>
      <c r="T631" s="34">
        <v>14</v>
      </c>
      <c r="U631" s="34">
        <v>16</v>
      </c>
      <c r="V631" s="34">
        <v>70</v>
      </c>
      <c r="W631" s="18">
        <v>44</v>
      </c>
      <c r="X631" s="13" t="s">
        <v>141</v>
      </c>
      <c r="Y631" s="5" t="s">
        <v>82</v>
      </c>
      <c r="Z631" s="4">
        <v>3</v>
      </c>
      <c r="AA631" s="4">
        <v>3</v>
      </c>
      <c r="AB631" s="9">
        <v>0.568166170381236</v>
      </c>
      <c r="AC631" s="9">
        <v>0.000256361683990305</v>
      </c>
      <c r="AD631" s="9"/>
      <c r="AE631" s="9"/>
      <c r="AF631" s="9"/>
      <c r="AG631" s="9"/>
      <c r="AH631" s="9">
        <v>0.378867795588899</v>
      </c>
      <c r="AI631" s="9">
        <v>0.00694155213105652</v>
      </c>
      <c r="AJ631" s="4">
        <v>0.189298374792337</v>
      </c>
      <c r="AK631" s="4">
        <v>0.00719791381504682</v>
      </c>
    </row>
    <row r="632" s="4" customFormat="1" spans="1:37">
      <c r="A632" s="4">
        <v>631</v>
      </c>
      <c r="B632" s="18">
        <v>103</v>
      </c>
      <c r="C632" s="19" t="s">
        <v>354</v>
      </c>
      <c r="D632" s="5" t="s">
        <v>355</v>
      </c>
      <c r="E632" s="9">
        <v>28.617</v>
      </c>
      <c r="F632" s="9">
        <v>77.15</v>
      </c>
      <c r="G632" s="20">
        <v>25.0750007629395</v>
      </c>
      <c r="H632" s="21">
        <v>650</v>
      </c>
      <c r="I632" s="4">
        <v>250</v>
      </c>
      <c r="J632" s="5" t="s">
        <v>94</v>
      </c>
      <c r="K632" s="5" t="s">
        <v>78</v>
      </c>
      <c r="L632" s="4">
        <v>2015</v>
      </c>
      <c r="M632" s="4">
        <v>4</v>
      </c>
      <c r="N632" s="5" t="s">
        <v>113</v>
      </c>
      <c r="O632" s="28" t="s">
        <v>136</v>
      </c>
      <c r="P632" s="29">
        <v>8.3</v>
      </c>
      <c r="Q632" s="20"/>
      <c r="R632" s="12"/>
      <c r="S632" s="13"/>
      <c r="T632" s="34">
        <v>14</v>
      </c>
      <c r="U632" s="34">
        <v>16</v>
      </c>
      <c r="V632" s="34">
        <v>70</v>
      </c>
      <c r="W632" s="18">
        <v>44</v>
      </c>
      <c r="X632" s="13" t="s">
        <v>141</v>
      </c>
      <c r="Y632" s="5" t="s">
        <v>82</v>
      </c>
      <c r="Z632" s="4">
        <v>3</v>
      </c>
      <c r="AA632" s="4">
        <v>3</v>
      </c>
      <c r="AB632" s="9">
        <v>0.198544392300842</v>
      </c>
      <c r="AC632" s="9">
        <v>0.000256361683990305</v>
      </c>
      <c r="AD632" s="9"/>
      <c r="AE632" s="9"/>
      <c r="AF632" s="9"/>
      <c r="AG632" s="9"/>
      <c r="AH632" s="9">
        <v>0.125505081750294</v>
      </c>
      <c r="AI632" s="9">
        <v>0.00694155213105653</v>
      </c>
      <c r="AJ632" s="4">
        <v>0.0730393105505476</v>
      </c>
      <c r="AK632" s="4">
        <v>0.00719791381504684</v>
      </c>
    </row>
    <row r="633" s="4" customFormat="1" spans="1:37">
      <c r="A633" s="4">
        <v>632</v>
      </c>
      <c r="B633" s="18">
        <v>103</v>
      </c>
      <c r="C633" s="19" t="s">
        <v>354</v>
      </c>
      <c r="D633" s="5" t="s">
        <v>355</v>
      </c>
      <c r="E633" s="9">
        <v>28.617</v>
      </c>
      <c r="F633" s="9">
        <v>77.15</v>
      </c>
      <c r="G633" s="20">
        <v>25.0750007629395</v>
      </c>
      <c r="H633" s="21">
        <v>650</v>
      </c>
      <c r="I633" s="4">
        <v>250</v>
      </c>
      <c r="J633" s="5" t="s">
        <v>95</v>
      </c>
      <c r="K633" s="5" t="s">
        <v>78</v>
      </c>
      <c r="L633" s="4">
        <v>2015</v>
      </c>
      <c r="M633" s="4">
        <v>4</v>
      </c>
      <c r="N633" s="5" t="s">
        <v>113</v>
      </c>
      <c r="O633" s="28" t="s">
        <v>80</v>
      </c>
      <c r="P633" s="29">
        <v>8.3</v>
      </c>
      <c r="Q633" s="20"/>
      <c r="R633" s="12"/>
      <c r="S633" s="13"/>
      <c r="T633" s="34">
        <v>14</v>
      </c>
      <c r="U633" s="34">
        <v>16</v>
      </c>
      <c r="V633" s="34">
        <v>70</v>
      </c>
      <c r="W633" s="18">
        <v>44</v>
      </c>
      <c r="X633" s="13" t="s">
        <v>141</v>
      </c>
      <c r="Y633" s="5" t="s">
        <v>82</v>
      </c>
      <c r="Z633" s="4">
        <v>3</v>
      </c>
      <c r="AA633" s="4">
        <v>3</v>
      </c>
      <c r="AB633" s="9">
        <v>0.958338968117655</v>
      </c>
      <c r="AC633" s="9">
        <v>0.000256361683990306</v>
      </c>
      <c r="AD633" s="9"/>
      <c r="AE633" s="9"/>
      <c r="AF633" s="9"/>
      <c r="AG633" s="9"/>
      <c r="AH633" s="9">
        <v>0.177751861103889</v>
      </c>
      <c r="AI633" s="9">
        <v>0.00694155213105651</v>
      </c>
      <c r="AJ633" s="4">
        <v>0.780587107013766</v>
      </c>
      <c r="AK633" s="4">
        <v>0.00719791381504682</v>
      </c>
    </row>
    <row r="634" s="4" customFormat="1" spans="1:37">
      <c r="A634" s="4">
        <v>633</v>
      </c>
      <c r="B634" s="18">
        <v>103</v>
      </c>
      <c r="C634" s="19" t="s">
        <v>354</v>
      </c>
      <c r="D634" s="5" t="s">
        <v>355</v>
      </c>
      <c r="E634" s="9">
        <v>28.617</v>
      </c>
      <c r="F634" s="9">
        <v>77.15</v>
      </c>
      <c r="G634" s="20">
        <v>25.0750007629395</v>
      </c>
      <c r="H634" s="21">
        <v>650</v>
      </c>
      <c r="I634" s="4">
        <v>250</v>
      </c>
      <c r="J634" s="5" t="s">
        <v>95</v>
      </c>
      <c r="K634" s="5" t="s">
        <v>78</v>
      </c>
      <c r="L634" s="4">
        <v>2015</v>
      </c>
      <c r="M634" s="4">
        <v>4</v>
      </c>
      <c r="N634" s="5" t="s">
        <v>113</v>
      </c>
      <c r="O634" s="28" t="s">
        <v>80</v>
      </c>
      <c r="P634" s="29">
        <v>8.3</v>
      </c>
      <c r="Q634" s="20"/>
      <c r="R634" s="12"/>
      <c r="S634" s="13"/>
      <c r="T634" s="34">
        <v>14</v>
      </c>
      <c r="U634" s="34">
        <v>16</v>
      </c>
      <c r="V634" s="34">
        <v>70</v>
      </c>
      <c r="W634" s="18">
        <v>44</v>
      </c>
      <c r="X634" s="13" t="s">
        <v>141</v>
      </c>
      <c r="Y634" s="5" t="s">
        <v>82</v>
      </c>
      <c r="Z634" s="4">
        <v>3</v>
      </c>
      <c r="AA634" s="4">
        <v>3</v>
      </c>
      <c r="AB634" s="9">
        <v>0.0944654662527593</v>
      </c>
      <c r="AC634" s="9">
        <v>0.000256361683990305</v>
      </c>
      <c r="AD634" s="9"/>
      <c r="AE634" s="9"/>
      <c r="AF634" s="9"/>
      <c r="AG634" s="9"/>
      <c r="AH634" s="9">
        <v>0.413562318340784</v>
      </c>
      <c r="AI634" s="9">
        <v>0.0069415521310565</v>
      </c>
      <c r="AJ634" s="4">
        <v>-0.319096852088026</v>
      </c>
      <c r="AK634" s="4">
        <v>0.00719791381504681</v>
      </c>
    </row>
    <row r="635" s="4" customFormat="1" spans="1:37">
      <c r="A635" s="4">
        <v>634</v>
      </c>
      <c r="B635" s="18">
        <v>103</v>
      </c>
      <c r="C635" s="19" t="s">
        <v>354</v>
      </c>
      <c r="D635" s="5" t="s">
        <v>355</v>
      </c>
      <c r="E635" s="9">
        <v>28.617</v>
      </c>
      <c r="F635" s="9">
        <v>77.15</v>
      </c>
      <c r="G635" s="20">
        <v>25.0750007629395</v>
      </c>
      <c r="H635" s="21">
        <v>650</v>
      </c>
      <c r="I635" s="4">
        <v>250</v>
      </c>
      <c r="J635" s="5" t="s">
        <v>95</v>
      </c>
      <c r="K635" s="5" t="s">
        <v>78</v>
      </c>
      <c r="L635" s="4">
        <v>2015</v>
      </c>
      <c r="M635" s="4">
        <v>4</v>
      </c>
      <c r="N635" s="5" t="s">
        <v>113</v>
      </c>
      <c r="O635" s="28" t="s">
        <v>80</v>
      </c>
      <c r="P635" s="29">
        <v>8.3</v>
      </c>
      <c r="Q635" s="20"/>
      <c r="R635" s="12"/>
      <c r="S635" s="13"/>
      <c r="T635" s="34">
        <v>14</v>
      </c>
      <c r="U635" s="34">
        <v>16</v>
      </c>
      <c r="V635" s="34">
        <v>70</v>
      </c>
      <c r="W635" s="18">
        <v>44</v>
      </c>
      <c r="X635" s="13" t="s">
        <v>141</v>
      </c>
      <c r="Y635" s="5" t="s">
        <v>82</v>
      </c>
      <c r="Z635" s="4">
        <v>3</v>
      </c>
      <c r="AA635" s="4">
        <v>3</v>
      </c>
      <c r="AB635" s="9">
        <v>0.24837324969009</v>
      </c>
      <c r="AC635" s="9">
        <v>0.000256361683990305</v>
      </c>
      <c r="AD635" s="9"/>
      <c r="AE635" s="9"/>
      <c r="AF635" s="9"/>
      <c r="AG635" s="9"/>
      <c r="AH635" s="9">
        <v>0.447092147620241</v>
      </c>
      <c r="AI635" s="9">
        <v>0.0069415521310565</v>
      </c>
      <c r="AJ635" s="4">
        <v>-0.198718897930151</v>
      </c>
      <c r="AK635" s="4">
        <v>0.0071979138150468</v>
      </c>
    </row>
    <row r="636" s="4" customFormat="1" spans="1:37">
      <c r="A636" s="4">
        <v>635</v>
      </c>
      <c r="B636" s="18">
        <v>103</v>
      </c>
      <c r="C636" s="19" t="s">
        <v>354</v>
      </c>
      <c r="D636" s="5" t="s">
        <v>355</v>
      </c>
      <c r="E636" s="9">
        <v>28.617</v>
      </c>
      <c r="F636" s="9">
        <v>77.15</v>
      </c>
      <c r="G636" s="20">
        <v>25.0750007629395</v>
      </c>
      <c r="H636" s="21">
        <v>650</v>
      </c>
      <c r="I636" s="4">
        <v>250</v>
      </c>
      <c r="J636" s="5" t="s">
        <v>95</v>
      </c>
      <c r="K636" s="5" t="s">
        <v>78</v>
      </c>
      <c r="L636" s="4">
        <v>2015</v>
      </c>
      <c r="M636" s="4">
        <v>4</v>
      </c>
      <c r="N636" s="5" t="s">
        <v>113</v>
      </c>
      <c r="O636" s="28" t="s">
        <v>136</v>
      </c>
      <c r="P636" s="29">
        <v>8.3</v>
      </c>
      <c r="Q636" s="20"/>
      <c r="R636" s="12"/>
      <c r="S636" s="13"/>
      <c r="T636" s="34">
        <v>14</v>
      </c>
      <c r="U636" s="34">
        <v>16</v>
      </c>
      <c r="V636" s="34">
        <v>70</v>
      </c>
      <c r="W636" s="18">
        <v>44</v>
      </c>
      <c r="X636" s="13" t="s">
        <v>141</v>
      </c>
      <c r="Y636" s="5" t="s">
        <v>82</v>
      </c>
      <c r="Z636" s="4">
        <v>3</v>
      </c>
      <c r="AA636" s="4">
        <v>3</v>
      </c>
      <c r="AB636" s="9">
        <v>0.517256514096281</v>
      </c>
      <c r="AC636" s="9">
        <v>0.000256361683990305</v>
      </c>
      <c r="AD636" s="9"/>
      <c r="AE636" s="9"/>
      <c r="AF636" s="9"/>
      <c r="AG636" s="9"/>
      <c r="AH636" s="9">
        <v>0.446850324271019</v>
      </c>
      <c r="AI636" s="9">
        <v>0.0069415521310565</v>
      </c>
      <c r="AJ636" s="4">
        <v>0.070406189825264</v>
      </c>
      <c r="AK636" s="4">
        <v>0.00719791381504683</v>
      </c>
    </row>
    <row r="637" s="4" customFormat="1" spans="1:37">
      <c r="A637" s="4">
        <v>636</v>
      </c>
      <c r="B637" s="18">
        <v>103</v>
      </c>
      <c r="C637" s="19" t="s">
        <v>354</v>
      </c>
      <c r="D637" s="5" t="s">
        <v>355</v>
      </c>
      <c r="E637" s="9">
        <v>28.617</v>
      </c>
      <c r="F637" s="9">
        <v>77.15</v>
      </c>
      <c r="G637" s="20">
        <v>25.0750007629395</v>
      </c>
      <c r="H637" s="21">
        <v>650</v>
      </c>
      <c r="I637" s="4">
        <v>250</v>
      </c>
      <c r="J637" s="5" t="s">
        <v>95</v>
      </c>
      <c r="K637" s="5" t="s">
        <v>78</v>
      </c>
      <c r="L637" s="4">
        <v>2015</v>
      </c>
      <c r="M637" s="4">
        <v>4</v>
      </c>
      <c r="N637" s="5" t="s">
        <v>113</v>
      </c>
      <c r="O637" s="28" t="s">
        <v>136</v>
      </c>
      <c r="P637" s="29">
        <v>8.3</v>
      </c>
      <c r="Q637" s="20"/>
      <c r="R637" s="12"/>
      <c r="S637" s="13"/>
      <c r="T637" s="34">
        <v>14</v>
      </c>
      <c r="U637" s="34">
        <v>16</v>
      </c>
      <c r="V637" s="34">
        <v>70</v>
      </c>
      <c r="W637" s="18">
        <v>44</v>
      </c>
      <c r="X637" s="13" t="s">
        <v>141</v>
      </c>
      <c r="Y637" s="5" t="s">
        <v>82</v>
      </c>
      <c r="Z637" s="4">
        <v>3</v>
      </c>
      <c r="AA637" s="4">
        <v>3</v>
      </c>
      <c r="AB637" s="9">
        <v>0.604644378983646</v>
      </c>
      <c r="AC637" s="9">
        <v>0.000256361683990305</v>
      </c>
      <c r="AD637" s="9"/>
      <c r="AE637" s="9"/>
      <c r="AF637" s="9"/>
      <c r="AG637" s="9"/>
      <c r="AH637" s="9">
        <v>0.540307976330498</v>
      </c>
      <c r="AI637" s="9">
        <v>0.0069415521310565</v>
      </c>
      <c r="AJ637" s="4">
        <v>0.0643364026531476</v>
      </c>
      <c r="AK637" s="4">
        <v>0.0071979138150468</v>
      </c>
    </row>
    <row r="638" s="4" customFormat="1" spans="1:37">
      <c r="A638" s="4">
        <v>637</v>
      </c>
      <c r="B638" s="18">
        <v>103</v>
      </c>
      <c r="C638" s="19" t="s">
        <v>354</v>
      </c>
      <c r="D638" s="5" t="s">
        <v>355</v>
      </c>
      <c r="E638" s="9">
        <v>28.617</v>
      </c>
      <c r="F638" s="9">
        <v>77.15</v>
      </c>
      <c r="G638" s="20">
        <v>25.0750007629395</v>
      </c>
      <c r="H638" s="21">
        <v>650</v>
      </c>
      <c r="I638" s="4">
        <v>250</v>
      </c>
      <c r="J638" s="5" t="s">
        <v>95</v>
      </c>
      <c r="K638" s="5" t="s">
        <v>78</v>
      </c>
      <c r="L638" s="4">
        <v>2015</v>
      </c>
      <c r="M638" s="4">
        <v>4</v>
      </c>
      <c r="N638" s="5" t="s">
        <v>113</v>
      </c>
      <c r="O638" s="28" t="s">
        <v>136</v>
      </c>
      <c r="P638" s="29">
        <v>8.3</v>
      </c>
      <c r="Q638" s="20"/>
      <c r="R638" s="12"/>
      <c r="S638" s="13"/>
      <c r="T638" s="34">
        <v>14</v>
      </c>
      <c r="U638" s="34">
        <v>16</v>
      </c>
      <c r="V638" s="34">
        <v>70</v>
      </c>
      <c r="W638" s="18">
        <v>44</v>
      </c>
      <c r="X638" s="13" t="s">
        <v>141</v>
      </c>
      <c r="Y638" s="5" t="s">
        <v>82</v>
      </c>
      <c r="Z638" s="4">
        <v>3</v>
      </c>
      <c r="AA638" s="4">
        <v>3</v>
      </c>
      <c r="AB638" s="9">
        <v>0.279470882621386</v>
      </c>
      <c r="AC638" s="9">
        <v>0.000256361683990305</v>
      </c>
      <c r="AD638" s="9"/>
      <c r="AE638" s="9"/>
      <c r="AF638" s="9"/>
      <c r="AG638" s="9"/>
      <c r="AH638" s="9">
        <v>0.522386446167067</v>
      </c>
      <c r="AI638" s="9">
        <v>0.00694155213105652</v>
      </c>
      <c r="AJ638" s="4">
        <v>-0.242915563545682</v>
      </c>
      <c r="AK638" s="4">
        <v>0.00719791381504687</v>
      </c>
    </row>
    <row r="639" s="4" customFormat="1" spans="1:37">
      <c r="A639" s="4">
        <v>638</v>
      </c>
      <c r="B639" s="18">
        <v>103</v>
      </c>
      <c r="C639" s="19" t="s">
        <v>354</v>
      </c>
      <c r="D639" s="5" t="s">
        <v>355</v>
      </c>
      <c r="E639" s="9">
        <v>28.617</v>
      </c>
      <c r="F639" s="9">
        <v>77.15</v>
      </c>
      <c r="G639" s="20">
        <v>25.0750007629395</v>
      </c>
      <c r="H639" s="21">
        <v>650</v>
      </c>
      <c r="I639" s="4">
        <v>250</v>
      </c>
      <c r="J639" s="5" t="s">
        <v>90</v>
      </c>
      <c r="K639" s="5" t="s">
        <v>78</v>
      </c>
      <c r="L639" s="4">
        <v>2015</v>
      </c>
      <c r="M639" s="4">
        <v>4</v>
      </c>
      <c r="N639" s="5" t="s">
        <v>113</v>
      </c>
      <c r="O639" s="28" t="s">
        <v>80</v>
      </c>
      <c r="P639" s="29">
        <v>8.3</v>
      </c>
      <c r="Q639" s="20"/>
      <c r="R639" s="12"/>
      <c r="S639" s="13"/>
      <c r="T639" s="34">
        <v>14</v>
      </c>
      <c r="U639" s="34">
        <v>16</v>
      </c>
      <c r="V639" s="34">
        <v>70</v>
      </c>
      <c r="W639" s="18">
        <v>44</v>
      </c>
      <c r="X639" s="13" t="s">
        <v>141</v>
      </c>
      <c r="Y639" s="5" t="s">
        <v>82</v>
      </c>
      <c r="Z639" s="4">
        <v>3</v>
      </c>
      <c r="AA639" s="4">
        <v>3</v>
      </c>
      <c r="AB639" s="9">
        <v>0.986182994288828</v>
      </c>
      <c r="AC639" s="9">
        <v>0.000256361683990305</v>
      </c>
      <c r="AD639" s="9"/>
      <c r="AE639" s="9"/>
      <c r="AF639" s="9"/>
      <c r="AG639" s="9"/>
      <c r="AH639" s="9">
        <v>0.691626267719239</v>
      </c>
      <c r="AI639" s="9">
        <v>0.00694155213105651</v>
      </c>
      <c r="AJ639" s="4">
        <v>0.294556726569589</v>
      </c>
      <c r="AK639" s="4">
        <v>0.00719791381504682</v>
      </c>
    </row>
    <row r="640" s="4" customFormat="1" spans="1:37">
      <c r="A640" s="4">
        <v>639</v>
      </c>
      <c r="B640" s="18">
        <v>103</v>
      </c>
      <c r="C640" s="19" t="s">
        <v>354</v>
      </c>
      <c r="D640" s="5" t="s">
        <v>355</v>
      </c>
      <c r="E640" s="9">
        <v>28.617</v>
      </c>
      <c r="F640" s="9">
        <v>77.15</v>
      </c>
      <c r="G640" s="20">
        <v>25.0750007629395</v>
      </c>
      <c r="H640" s="21">
        <v>650</v>
      </c>
      <c r="I640" s="4">
        <v>250</v>
      </c>
      <c r="J640" s="5" t="s">
        <v>90</v>
      </c>
      <c r="K640" s="5" t="s">
        <v>78</v>
      </c>
      <c r="L640" s="4">
        <v>2015</v>
      </c>
      <c r="M640" s="4">
        <v>4</v>
      </c>
      <c r="N640" s="5" t="s">
        <v>113</v>
      </c>
      <c r="O640" s="28" t="s">
        <v>80</v>
      </c>
      <c r="P640" s="29">
        <v>8.3</v>
      </c>
      <c r="Q640" s="20"/>
      <c r="R640" s="12"/>
      <c r="S640" s="13"/>
      <c r="T640" s="34">
        <v>14</v>
      </c>
      <c r="U640" s="34">
        <v>16</v>
      </c>
      <c r="V640" s="34">
        <v>70</v>
      </c>
      <c r="W640" s="18">
        <v>44</v>
      </c>
      <c r="X640" s="13" t="s">
        <v>141</v>
      </c>
      <c r="Y640" s="5" t="s">
        <v>82</v>
      </c>
      <c r="Z640" s="4">
        <v>3</v>
      </c>
      <c r="AA640" s="4">
        <v>3</v>
      </c>
      <c r="AB640" s="9">
        <v>0.17299022936507</v>
      </c>
      <c r="AC640" s="9">
        <v>0.000256361683990305</v>
      </c>
      <c r="AD640" s="9"/>
      <c r="AE640" s="9"/>
      <c r="AF640" s="9"/>
      <c r="AG640" s="9"/>
      <c r="AH640" s="9">
        <v>0.617161273582023</v>
      </c>
      <c r="AI640" s="9">
        <v>0.0069415521310565</v>
      </c>
      <c r="AJ640" s="4">
        <v>-0.444171044216953</v>
      </c>
      <c r="AK640" s="4">
        <v>0.0071979138150468</v>
      </c>
    </row>
    <row r="641" s="4" customFormat="1" spans="1:37">
      <c r="A641" s="4">
        <v>640</v>
      </c>
      <c r="B641" s="18">
        <v>103</v>
      </c>
      <c r="C641" s="19" t="s">
        <v>354</v>
      </c>
      <c r="D641" s="5" t="s">
        <v>355</v>
      </c>
      <c r="E641" s="9">
        <v>28.617</v>
      </c>
      <c r="F641" s="9">
        <v>77.15</v>
      </c>
      <c r="G641" s="20">
        <v>25.0750007629395</v>
      </c>
      <c r="H641" s="21">
        <v>650</v>
      </c>
      <c r="I641" s="4">
        <v>250</v>
      </c>
      <c r="J641" s="5" t="s">
        <v>90</v>
      </c>
      <c r="K641" s="5" t="s">
        <v>78</v>
      </c>
      <c r="L641" s="4">
        <v>2015</v>
      </c>
      <c r="M641" s="4">
        <v>4</v>
      </c>
      <c r="N641" s="5" t="s">
        <v>113</v>
      </c>
      <c r="O641" s="28" t="s">
        <v>80</v>
      </c>
      <c r="P641" s="29">
        <v>8.3</v>
      </c>
      <c r="Q641" s="20"/>
      <c r="R641" s="12"/>
      <c r="S641" s="13"/>
      <c r="T641" s="34">
        <v>14</v>
      </c>
      <c r="U641" s="34">
        <v>16</v>
      </c>
      <c r="V641" s="34">
        <v>70</v>
      </c>
      <c r="W641" s="18">
        <v>44</v>
      </c>
      <c r="X641" s="13" t="s">
        <v>141</v>
      </c>
      <c r="Y641" s="5" t="s">
        <v>82</v>
      </c>
      <c r="Z641" s="4">
        <v>3</v>
      </c>
      <c r="AA641" s="4">
        <v>3</v>
      </c>
      <c r="AB641" s="9">
        <v>0.383192472499041</v>
      </c>
      <c r="AC641" s="9">
        <v>0.000256361683990305</v>
      </c>
      <c r="AD641" s="9"/>
      <c r="AE641" s="9"/>
      <c r="AF641" s="9"/>
      <c r="AG641" s="9"/>
      <c r="AH641" s="9">
        <v>0.59076507365638</v>
      </c>
      <c r="AI641" s="9">
        <v>0.0069415521310565</v>
      </c>
      <c r="AJ641" s="4">
        <v>-0.20757260115734</v>
      </c>
      <c r="AK641" s="4">
        <v>0.00719791381504681</v>
      </c>
    </row>
    <row r="642" s="4" customFormat="1" spans="1:37">
      <c r="A642" s="4">
        <v>641</v>
      </c>
      <c r="B642" s="18">
        <v>103</v>
      </c>
      <c r="C642" s="19" t="s">
        <v>354</v>
      </c>
      <c r="D642" s="5" t="s">
        <v>355</v>
      </c>
      <c r="E642" s="9">
        <v>28.617</v>
      </c>
      <c r="F642" s="9">
        <v>77.15</v>
      </c>
      <c r="G642" s="20">
        <v>25.0750007629395</v>
      </c>
      <c r="H642" s="21">
        <v>650</v>
      </c>
      <c r="I642" s="4">
        <v>250</v>
      </c>
      <c r="J642" s="5" t="s">
        <v>90</v>
      </c>
      <c r="K642" s="5" t="s">
        <v>78</v>
      </c>
      <c r="L642" s="4">
        <v>2015</v>
      </c>
      <c r="M642" s="4">
        <v>4</v>
      </c>
      <c r="N642" s="5" t="s">
        <v>113</v>
      </c>
      <c r="O642" s="28" t="s">
        <v>136</v>
      </c>
      <c r="P642" s="29">
        <v>8.3</v>
      </c>
      <c r="Q642" s="20"/>
      <c r="R642" s="12"/>
      <c r="S642" s="13"/>
      <c r="T642" s="34">
        <v>14</v>
      </c>
      <c r="U642" s="34">
        <v>16</v>
      </c>
      <c r="V642" s="34">
        <v>70</v>
      </c>
      <c r="W642" s="18">
        <v>44</v>
      </c>
      <c r="X642" s="13" t="s">
        <v>141</v>
      </c>
      <c r="Y642" s="5" t="s">
        <v>82</v>
      </c>
      <c r="Z642" s="4">
        <v>3</v>
      </c>
      <c r="AA642" s="4">
        <v>3</v>
      </c>
      <c r="AB642" s="9">
        <v>0.648381166690239</v>
      </c>
      <c r="AC642" s="9">
        <v>0.000256361683990305</v>
      </c>
      <c r="AD642" s="9"/>
      <c r="AE642" s="9"/>
      <c r="AF642" s="9"/>
      <c r="AG642" s="9"/>
      <c r="AH642" s="9">
        <v>0.645060993892308</v>
      </c>
      <c r="AI642" s="9">
        <v>0.00694155213105649</v>
      </c>
      <c r="AJ642" s="4">
        <v>0.00332017279793675</v>
      </c>
      <c r="AK642" s="4">
        <v>0.00719791381504679</v>
      </c>
    </row>
    <row r="643" s="4" customFormat="1" spans="1:37">
      <c r="A643" s="4">
        <v>642</v>
      </c>
      <c r="B643" s="18">
        <v>103</v>
      </c>
      <c r="C643" s="19" t="s">
        <v>354</v>
      </c>
      <c r="D643" s="5" t="s">
        <v>355</v>
      </c>
      <c r="E643" s="9">
        <v>28.617</v>
      </c>
      <c r="F643" s="9">
        <v>77.15</v>
      </c>
      <c r="G643" s="20">
        <v>25.0750007629395</v>
      </c>
      <c r="H643" s="21">
        <v>650</v>
      </c>
      <c r="I643" s="4">
        <v>250</v>
      </c>
      <c r="J643" s="5" t="s">
        <v>90</v>
      </c>
      <c r="K643" s="5" t="s">
        <v>78</v>
      </c>
      <c r="L643" s="4">
        <v>2015</v>
      </c>
      <c r="M643" s="4">
        <v>4</v>
      </c>
      <c r="N643" s="5" t="s">
        <v>113</v>
      </c>
      <c r="O643" s="28" t="s">
        <v>136</v>
      </c>
      <c r="P643" s="29">
        <v>8.3</v>
      </c>
      <c r="Q643" s="20"/>
      <c r="R643" s="12"/>
      <c r="S643" s="13"/>
      <c r="T643" s="34">
        <v>14</v>
      </c>
      <c r="U643" s="34">
        <v>16</v>
      </c>
      <c r="V643" s="34">
        <v>70</v>
      </c>
      <c r="W643" s="18">
        <v>44</v>
      </c>
      <c r="X643" s="13" t="s">
        <v>141</v>
      </c>
      <c r="Y643" s="5" t="s">
        <v>82</v>
      </c>
      <c r="Z643" s="4">
        <v>3</v>
      </c>
      <c r="AA643" s="4">
        <v>3</v>
      </c>
      <c r="AB643" s="9">
        <v>0.613559742641598</v>
      </c>
      <c r="AC643" s="9">
        <v>0.000256361683990305</v>
      </c>
      <c r="AD643" s="9"/>
      <c r="AE643" s="9"/>
      <c r="AF643" s="9"/>
      <c r="AG643" s="9"/>
      <c r="AH643" s="9">
        <v>0.655028222456335</v>
      </c>
      <c r="AI643" s="9">
        <v>0.00694155213105652</v>
      </c>
      <c r="AJ643" s="4">
        <v>-0.0414684798147381</v>
      </c>
      <c r="AK643" s="4">
        <v>0.00719791381504683</v>
      </c>
    </row>
    <row r="644" s="4" customFormat="1" spans="1:37">
      <c r="A644" s="4">
        <v>643</v>
      </c>
      <c r="B644" s="18">
        <v>103</v>
      </c>
      <c r="C644" s="19" t="s">
        <v>354</v>
      </c>
      <c r="D644" s="5" t="s">
        <v>355</v>
      </c>
      <c r="E644" s="9">
        <v>28.617</v>
      </c>
      <c r="F644" s="9">
        <v>77.15</v>
      </c>
      <c r="G644" s="20">
        <v>25.0750007629395</v>
      </c>
      <c r="H644" s="21">
        <v>650</v>
      </c>
      <c r="I644" s="4">
        <v>250</v>
      </c>
      <c r="J644" s="5" t="s">
        <v>90</v>
      </c>
      <c r="K644" s="5" t="s">
        <v>78</v>
      </c>
      <c r="L644" s="4">
        <v>2015</v>
      </c>
      <c r="M644" s="4">
        <v>4</v>
      </c>
      <c r="N644" s="5" t="s">
        <v>113</v>
      </c>
      <c r="O644" s="28" t="s">
        <v>136</v>
      </c>
      <c r="P644" s="29">
        <v>8.3</v>
      </c>
      <c r="Q644" s="20"/>
      <c r="R644" s="12"/>
      <c r="S644" s="13"/>
      <c r="T644" s="34">
        <v>14</v>
      </c>
      <c r="U644" s="34">
        <v>16</v>
      </c>
      <c r="V644" s="34">
        <v>70</v>
      </c>
      <c r="W644" s="18">
        <v>44</v>
      </c>
      <c r="X644" s="13" t="s">
        <v>141</v>
      </c>
      <c r="Y644" s="5" t="s">
        <v>82</v>
      </c>
      <c r="Z644" s="4">
        <v>3</v>
      </c>
      <c r="AA644" s="4">
        <v>3</v>
      </c>
      <c r="AB644" s="9">
        <v>0.35105168638437</v>
      </c>
      <c r="AC644" s="9">
        <v>0.000256361683990305</v>
      </c>
      <c r="AD644" s="9"/>
      <c r="AE644" s="9"/>
      <c r="AF644" s="9"/>
      <c r="AG644" s="9"/>
      <c r="AH644" s="9">
        <v>0.805748857474331</v>
      </c>
      <c r="AI644" s="9">
        <v>0.00694155213105652</v>
      </c>
      <c r="AJ644" s="4">
        <v>-0.454697171089962</v>
      </c>
      <c r="AK644" s="4">
        <v>0.00719791381504683</v>
      </c>
    </row>
    <row r="645" s="4" customFormat="1" spans="1:37">
      <c r="A645" s="4">
        <v>644</v>
      </c>
      <c r="B645" s="18">
        <v>103</v>
      </c>
      <c r="C645" s="19" t="s">
        <v>354</v>
      </c>
      <c r="D645" s="5" t="s">
        <v>355</v>
      </c>
      <c r="E645" s="9">
        <v>28.617</v>
      </c>
      <c r="F645" s="9">
        <v>77.15</v>
      </c>
      <c r="G645" s="20">
        <v>25.0750007629395</v>
      </c>
      <c r="H645" s="21">
        <v>650</v>
      </c>
      <c r="I645" s="4">
        <v>250</v>
      </c>
      <c r="J645" s="5" t="s">
        <v>90</v>
      </c>
      <c r="K645" s="5" t="s">
        <v>78</v>
      </c>
      <c r="L645" s="4">
        <v>2015</v>
      </c>
      <c r="M645" s="4">
        <v>4</v>
      </c>
      <c r="N645" s="5" t="s">
        <v>113</v>
      </c>
      <c r="O645" s="28" t="s">
        <v>80</v>
      </c>
      <c r="P645" s="29">
        <v>8.3</v>
      </c>
      <c r="Q645" s="20"/>
      <c r="R645" s="12"/>
      <c r="S645" s="13"/>
      <c r="T645" s="34">
        <v>14</v>
      </c>
      <c r="U645" s="34">
        <v>16</v>
      </c>
      <c r="V645" s="34">
        <v>70</v>
      </c>
      <c r="W645" s="18">
        <v>44</v>
      </c>
      <c r="X645" s="13" t="s">
        <v>141</v>
      </c>
      <c r="Y645" s="5" t="s">
        <v>82</v>
      </c>
      <c r="Z645" s="4">
        <v>3</v>
      </c>
      <c r="AA645" s="4">
        <v>3</v>
      </c>
      <c r="AB645" s="9">
        <v>1.0065687512133</v>
      </c>
      <c r="AC645" s="9">
        <v>0.000256361683990306</v>
      </c>
      <c r="AD645" s="9"/>
      <c r="AE645" s="9"/>
      <c r="AF645" s="9"/>
      <c r="AG645" s="9"/>
      <c r="AH645" s="9">
        <v>0.757875653260439</v>
      </c>
      <c r="AI645" s="9">
        <v>0.00694155213105651</v>
      </c>
      <c r="AJ645" s="4">
        <v>0.248693097952861</v>
      </c>
      <c r="AK645" s="4">
        <v>0.00719791381504682</v>
      </c>
    </row>
    <row r="646" s="4" customFormat="1" spans="1:37">
      <c r="A646" s="4">
        <v>645</v>
      </c>
      <c r="B646" s="18">
        <v>103</v>
      </c>
      <c r="C646" s="19" t="s">
        <v>354</v>
      </c>
      <c r="D646" s="5" t="s">
        <v>355</v>
      </c>
      <c r="E646" s="9">
        <v>28.617</v>
      </c>
      <c r="F646" s="9">
        <v>77.15</v>
      </c>
      <c r="G646" s="20">
        <v>25.0750007629395</v>
      </c>
      <c r="H646" s="21">
        <v>650</v>
      </c>
      <c r="I646" s="4">
        <v>250</v>
      </c>
      <c r="J646" s="5" t="s">
        <v>90</v>
      </c>
      <c r="K646" s="5" t="s">
        <v>78</v>
      </c>
      <c r="L646" s="4">
        <v>2015</v>
      </c>
      <c r="M646" s="4">
        <v>4</v>
      </c>
      <c r="N646" s="5" t="s">
        <v>113</v>
      </c>
      <c r="O646" s="28" t="s">
        <v>80</v>
      </c>
      <c r="P646" s="29">
        <v>8.3</v>
      </c>
      <c r="Q646" s="20"/>
      <c r="R646" s="12"/>
      <c r="S646" s="13"/>
      <c r="T646" s="34">
        <v>14</v>
      </c>
      <c r="U646" s="34">
        <v>16</v>
      </c>
      <c r="V646" s="34">
        <v>70</v>
      </c>
      <c r="W646" s="18">
        <v>44</v>
      </c>
      <c r="X646" s="13" t="s">
        <v>141</v>
      </c>
      <c r="Y646" s="5" t="s">
        <v>82</v>
      </c>
      <c r="Z646" s="4">
        <v>3</v>
      </c>
      <c r="AA646" s="4">
        <v>3</v>
      </c>
      <c r="AB646" s="9">
        <v>0.27443684570176</v>
      </c>
      <c r="AC646" s="9">
        <v>0.000256361683990306</v>
      </c>
      <c r="AD646" s="9"/>
      <c r="AE646" s="9"/>
      <c r="AF646" s="9"/>
      <c r="AG646" s="9"/>
      <c r="AH646" s="9">
        <v>0.7407752295492</v>
      </c>
      <c r="AI646" s="9">
        <v>0.00694155213105649</v>
      </c>
      <c r="AJ646" s="4">
        <v>-0.46633838384744</v>
      </c>
      <c r="AK646" s="4">
        <v>0.0071979138150468</v>
      </c>
    </row>
    <row r="647" s="4" customFormat="1" spans="1:37">
      <c r="A647" s="4">
        <v>646</v>
      </c>
      <c r="B647" s="18">
        <v>103</v>
      </c>
      <c r="C647" s="19" t="s">
        <v>354</v>
      </c>
      <c r="D647" s="5" t="s">
        <v>355</v>
      </c>
      <c r="E647" s="9">
        <v>28.617</v>
      </c>
      <c r="F647" s="9">
        <v>77.15</v>
      </c>
      <c r="G647" s="20">
        <v>25.0750007629395</v>
      </c>
      <c r="H647" s="21">
        <v>650</v>
      </c>
      <c r="I647" s="4">
        <v>250</v>
      </c>
      <c r="J647" s="5" t="s">
        <v>90</v>
      </c>
      <c r="K647" s="5" t="s">
        <v>78</v>
      </c>
      <c r="L647" s="4">
        <v>2015</v>
      </c>
      <c r="M647" s="4">
        <v>4</v>
      </c>
      <c r="N647" s="5" t="s">
        <v>113</v>
      </c>
      <c r="O647" s="28" t="s">
        <v>80</v>
      </c>
      <c r="P647" s="29">
        <v>8.3</v>
      </c>
      <c r="Q647" s="20"/>
      <c r="R647" s="12"/>
      <c r="S647" s="13"/>
      <c r="T647" s="34">
        <v>14</v>
      </c>
      <c r="U647" s="34">
        <v>16</v>
      </c>
      <c r="V647" s="34">
        <v>70</v>
      </c>
      <c r="W647" s="18">
        <v>44</v>
      </c>
      <c r="X647" s="13" t="s">
        <v>141</v>
      </c>
      <c r="Y647" s="5" t="s">
        <v>82</v>
      </c>
      <c r="Z647" s="4">
        <v>3</v>
      </c>
      <c r="AA647" s="4">
        <v>3</v>
      </c>
      <c r="AB647" s="9">
        <v>0.652692225867632</v>
      </c>
      <c r="AC647" s="9">
        <v>0.000256361683990305</v>
      </c>
      <c r="AD647" s="9"/>
      <c r="AE647" s="9"/>
      <c r="AF647" s="9"/>
      <c r="AG647" s="9"/>
      <c r="AH647" s="9">
        <v>0.756531512387287</v>
      </c>
      <c r="AI647" s="9">
        <v>0.0069415521310565</v>
      </c>
      <c r="AJ647" s="4">
        <v>-0.103839286519655</v>
      </c>
      <c r="AK647" s="4">
        <v>0.0071979138150468</v>
      </c>
    </row>
    <row r="648" s="4" customFormat="1" spans="1:37">
      <c r="A648" s="4">
        <v>647</v>
      </c>
      <c r="B648" s="18">
        <v>103</v>
      </c>
      <c r="C648" s="19" t="s">
        <v>354</v>
      </c>
      <c r="D648" s="5" t="s">
        <v>355</v>
      </c>
      <c r="E648" s="9">
        <v>28.617</v>
      </c>
      <c r="F648" s="9">
        <v>77.15</v>
      </c>
      <c r="G648" s="20">
        <v>25.0750007629395</v>
      </c>
      <c r="H648" s="21">
        <v>650</v>
      </c>
      <c r="I648" s="4">
        <v>250</v>
      </c>
      <c r="J648" s="5" t="s">
        <v>90</v>
      </c>
      <c r="K648" s="5" t="s">
        <v>78</v>
      </c>
      <c r="L648" s="4">
        <v>2015</v>
      </c>
      <c r="M648" s="4">
        <v>4</v>
      </c>
      <c r="N648" s="5" t="s">
        <v>113</v>
      </c>
      <c r="O648" s="28" t="s">
        <v>136</v>
      </c>
      <c r="P648" s="29">
        <v>8.3</v>
      </c>
      <c r="Q648" s="20"/>
      <c r="R648" s="12"/>
      <c r="S648" s="13"/>
      <c r="T648" s="34">
        <v>14</v>
      </c>
      <c r="U648" s="34">
        <v>16</v>
      </c>
      <c r="V648" s="34">
        <v>70</v>
      </c>
      <c r="W648" s="18">
        <v>44</v>
      </c>
      <c r="X648" s="13" t="s">
        <v>141</v>
      </c>
      <c r="Y648" s="5" t="s">
        <v>82</v>
      </c>
      <c r="Z648" s="4">
        <v>3</v>
      </c>
      <c r="AA648" s="4">
        <v>3</v>
      </c>
      <c r="AB648" s="9">
        <v>0.720421598479605</v>
      </c>
      <c r="AC648" s="9">
        <v>0.000256361683990306</v>
      </c>
      <c r="AD648" s="9"/>
      <c r="AE648" s="9"/>
      <c r="AF648" s="9"/>
      <c r="AG648" s="9"/>
      <c r="AH648" s="9">
        <v>0.750175173793253</v>
      </c>
      <c r="AI648" s="9">
        <v>0.0069415521310565</v>
      </c>
      <c r="AJ648" s="4">
        <v>-0.0297535753136446</v>
      </c>
      <c r="AK648" s="4">
        <v>0.0071979138150468</v>
      </c>
    </row>
    <row r="649" s="4" customFormat="1" spans="1:37">
      <c r="A649" s="4">
        <v>648</v>
      </c>
      <c r="B649" s="18">
        <v>103</v>
      </c>
      <c r="C649" s="19" t="s">
        <v>354</v>
      </c>
      <c r="D649" s="5" t="s">
        <v>355</v>
      </c>
      <c r="E649" s="9">
        <v>28.617</v>
      </c>
      <c r="F649" s="9">
        <v>77.15</v>
      </c>
      <c r="G649" s="20">
        <v>25.0750007629395</v>
      </c>
      <c r="H649" s="21">
        <v>650</v>
      </c>
      <c r="I649" s="4">
        <v>250</v>
      </c>
      <c r="J649" s="5" t="s">
        <v>90</v>
      </c>
      <c r="K649" s="5" t="s">
        <v>78</v>
      </c>
      <c r="L649" s="4">
        <v>2015</v>
      </c>
      <c r="M649" s="4">
        <v>4</v>
      </c>
      <c r="N649" s="5" t="s">
        <v>113</v>
      </c>
      <c r="O649" s="28" t="s">
        <v>136</v>
      </c>
      <c r="P649" s="29">
        <v>8.3</v>
      </c>
      <c r="Q649" s="20"/>
      <c r="R649" s="12"/>
      <c r="S649" s="13"/>
      <c r="T649" s="34">
        <v>14</v>
      </c>
      <c r="U649" s="34">
        <v>16</v>
      </c>
      <c r="V649" s="34">
        <v>70</v>
      </c>
      <c r="W649" s="18">
        <v>44</v>
      </c>
      <c r="X649" s="13" t="s">
        <v>141</v>
      </c>
      <c r="Y649" s="5" t="s">
        <v>82</v>
      </c>
      <c r="Z649" s="4">
        <v>3</v>
      </c>
      <c r="AA649" s="4">
        <v>3</v>
      </c>
      <c r="AB649" s="9">
        <v>0.842603016082996</v>
      </c>
      <c r="AC649" s="9">
        <v>0.000256361683990306</v>
      </c>
      <c r="AD649" s="9"/>
      <c r="AE649" s="9"/>
      <c r="AF649" s="9"/>
      <c r="AG649" s="9"/>
      <c r="AH649" s="9">
        <v>0.827416489833375</v>
      </c>
      <c r="AI649" s="9">
        <v>0.00694155213105651</v>
      </c>
      <c r="AJ649" s="4">
        <v>0.0151865262496208</v>
      </c>
      <c r="AK649" s="4">
        <v>0.00719791381504682</v>
      </c>
    </row>
    <row r="650" s="4" customFormat="1" spans="1:37">
      <c r="A650" s="4">
        <v>649</v>
      </c>
      <c r="B650" s="18">
        <v>103</v>
      </c>
      <c r="C650" s="19" t="s">
        <v>354</v>
      </c>
      <c r="D650" s="5" t="s">
        <v>355</v>
      </c>
      <c r="E650" s="9">
        <v>28.617</v>
      </c>
      <c r="F650" s="9">
        <v>77.15</v>
      </c>
      <c r="G650" s="20">
        <v>25.0750007629395</v>
      </c>
      <c r="H650" s="21">
        <v>650</v>
      </c>
      <c r="I650" s="4">
        <v>250</v>
      </c>
      <c r="J650" s="5" t="s">
        <v>90</v>
      </c>
      <c r="K650" s="5" t="s">
        <v>78</v>
      </c>
      <c r="L650" s="4">
        <v>2015</v>
      </c>
      <c r="M650" s="4">
        <v>4</v>
      </c>
      <c r="N650" s="5" t="s">
        <v>113</v>
      </c>
      <c r="O650" s="28" t="s">
        <v>136</v>
      </c>
      <c r="P650" s="29">
        <v>8.3</v>
      </c>
      <c r="Q650" s="20"/>
      <c r="R650" s="12"/>
      <c r="S650" s="13"/>
      <c r="T650" s="34">
        <v>14</v>
      </c>
      <c r="U650" s="34">
        <v>16</v>
      </c>
      <c r="V650" s="34">
        <v>70</v>
      </c>
      <c r="W650" s="18">
        <v>44</v>
      </c>
      <c r="X650" s="13" t="s">
        <v>141</v>
      </c>
      <c r="Y650" s="5" t="s">
        <v>82</v>
      </c>
      <c r="Z650" s="4">
        <v>3</v>
      </c>
      <c r="AA650" s="4">
        <v>3</v>
      </c>
      <c r="AB650" s="9">
        <v>0.411676308200805</v>
      </c>
      <c r="AC650" s="9">
        <v>0.000256361683990305</v>
      </c>
      <c r="AD650" s="9"/>
      <c r="AE650" s="9"/>
      <c r="AF650" s="9"/>
      <c r="AG650" s="9"/>
      <c r="AH650" s="9">
        <v>0.861318708629142</v>
      </c>
      <c r="AI650" s="9">
        <v>0.00694155213105653</v>
      </c>
      <c r="AJ650" s="4">
        <v>-0.449642400428338</v>
      </c>
      <c r="AK650" s="4">
        <v>0.00719791381504684</v>
      </c>
    </row>
    <row r="651" s="3" customFormat="1" spans="1:63">
      <c r="A651" s="4">
        <v>650</v>
      </c>
      <c r="B651" s="6">
        <v>104</v>
      </c>
      <c r="C651" s="24" t="s">
        <v>356</v>
      </c>
      <c r="D651" s="13" t="s">
        <v>357</v>
      </c>
      <c r="E651" s="25">
        <v>35.517</v>
      </c>
      <c r="F651" s="25">
        <v>46.1</v>
      </c>
      <c r="G651" s="26">
        <v>12.8</v>
      </c>
      <c r="H651" s="27">
        <v>991.2</v>
      </c>
      <c r="I651" s="3"/>
      <c r="J651" s="13" t="s">
        <v>237</v>
      </c>
      <c r="K651" s="5" t="s">
        <v>78</v>
      </c>
      <c r="L651" s="3"/>
      <c r="M651" s="3"/>
      <c r="N651" s="3"/>
      <c r="O651" s="28" t="s">
        <v>80</v>
      </c>
      <c r="P651" s="7">
        <v>7.3</v>
      </c>
      <c r="Q651" s="3">
        <v>63.4</v>
      </c>
      <c r="R651" s="12"/>
      <c r="S651" s="13"/>
      <c r="T651" s="8">
        <v>34.6</v>
      </c>
      <c r="U651" s="8">
        <v>41.6</v>
      </c>
      <c r="V651" s="8">
        <v>23.8</v>
      </c>
      <c r="W651" s="3">
        <v>3</v>
      </c>
      <c r="X651" s="5" t="s">
        <v>81</v>
      </c>
      <c r="Y651" s="13" t="s">
        <v>82</v>
      </c>
      <c r="Z651" s="3">
        <v>3</v>
      </c>
      <c r="AA651" s="3">
        <v>3</v>
      </c>
      <c r="AB651" s="9">
        <v>0.276847730286071</v>
      </c>
      <c r="AC651" s="9">
        <v>0.000256361683990306</v>
      </c>
      <c r="AD651" s="25">
        <v>0.305381649551182</v>
      </c>
      <c r="AE651" s="25">
        <v>0.00787212391881963</v>
      </c>
      <c r="AF651" s="9">
        <v>0.0285339192651116</v>
      </c>
      <c r="AG651" s="9">
        <v>0.0081284856028099</v>
      </c>
      <c r="AH651" s="25">
        <v>0.0933007058971936</v>
      </c>
      <c r="AI651" s="25">
        <v>0.00982659127113497</v>
      </c>
      <c r="AJ651" s="4">
        <v>0.183547024388877</v>
      </c>
      <c r="AK651" s="4">
        <v>0.0100829529551252</v>
      </c>
      <c r="AL651" s="3">
        <v>0.212080943653986</v>
      </c>
      <c r="AM651" s="3">
        <v>0.0176987151899546</v>
      </c>
      <c r="AN651" s="4">
        <v>0.0789884113186305</v>
      </c>
      <c r="AO651" s="4">
        <v>0.000750609870519795</v>
      </c>
      <c r="AP651" s="3"/>
      <c r="AQ651" s="3"/>
      <c r="AR651" s="4"/>
      <c r="AS651" s="4"/>
      <c r="AT651" s="3"/>
      <c r="AU651" s="3"/>
      <c r="AV651" s="4"/>
      <c r="AW651" s="4"/>
      <c r="AX651" s="3"/>
      <c r="AY651" s="3"/>
      <c r="BJ651" s="3">
        <v>0.22314355131421</v>
      </c>
      <c r="BK651" s="3">
        <v>0.00854166666666667</v>
      </c>
    </row>
    <row r="652" s="3" customFormat="1" spans="1:63">
      <c r="A652" s="4">
        <v>651</v>
      </c>
      <c r="B652" s="6">
        <v>104</v>
      </c>
      <c r="C652" s="24" t="s">
        <v>356</v>
      </c>
      <c r="D652" s="13" t="s">
        <v>357</v>
      </c>
      <c r="E652" s="25">
        <v>35.517</v>
      </c>
      <c r="F652" s="25">
        <v>46.1</v>
      </c>
      <c r="G652" s="26">
        <v>12.8</v>
      </c>
      <c r="H652" s="27">
        <v>991.2</v>
      </c>
      <c r="I652" s="3"/>
      <c r="J652" s="13" t="s">
        <v>237</v>
      </c>
      <c r="K652" s="5" t="s">
        <v>78</v>
      </c>
      <c r="L652" s="3"/>
      <c r="M652" s="3"/>
      <c r="N652" s="3"/>
      <c r="O652" s="28" t="s">
        <v>80</v>
      </c>
      <c r="P652" s="7">
        <v>7.3</v>
      </c>
      <c r="Q652" s="3">
        <v>63.4</v>
      </c>
      <c r="R652" s="12"/>
      <c r="S652" s="13"/>
      <c r="T652" s="8">
        <v>34.6</v>
      </c>
      <c r="U652" s="8">
        <v>41.6</v>
      </c>
      <c r="V652" s="8">
        <v>23.8</v>
      </c>
      <c r="W652" s="3">
        <v>3</v>
      </c>
      <c r="X652" s="5" t="s">
        <v>81</v>
      </c>
      <c r="Y652" s="13" t="s">
        <v>82</v>
      </c>
      <c r="Z652" s="3">
        <v>3</v>
      </c>
      <c r="AA652" s="3">
        <v>3</v>
      </c>
      <c r="AB652" s="9">
        <v>-0.0440599897940305</v>
      </c>
      <c r="AC652" s="9">
        <v>0.000256361683990306</v>
      </c>
      <c r="AD652" s="25">
        <v>0</v>
      </c>
      <c r="AE652" s="25">
        <v>0.0102040816326531</v>
      </c>
      <c r="AF652" s="9">
        <v>0.0440599897940277</v>
      </c>
      <c r="AG652" s="9">
        <v>0.0104604433166434</v>
      </c>
      <c r="AH652" s="25">
        <v>-0.0890208508967609</v>
      </c>
      <c r="AI652" s="25">
        <v>0.00360375800386053</v>
      </c>
      <c r="AJ652" s="4">
        <v>0.0449608611027303</v>
      </c>
      <c r="AK652" s="4">
        <v>0.00386011968785082</v>
      </c>
      <c r="AL652" s="3">
        <v>0.0890208508967624</v>
      </c>
      <c r="AM652" s="3">
        <v>0.0138078396365136</v>
      </c>
      <c r="AN652" s="4">
        <v>0.0662493855412007</v>
      </c>
      <c r="AO652" s="4">
        <v>0.000750609870519795</v>
      </c>
      <c r="AP652" s="3"/>
      <c r="AQ652" s="3"/>
      <c r="AR652" s="4"/>
      <c r="AS652" s="4"/>
      <c r="AT652" s="3"/>
      <c r="AU652" s="3"/>
      <c r="AV652" s="4"/>
      <c r="AW652" s="4"/>
      <c r="AX652" s="3"/>
      <c r="AY652" s="3"/>
      <c r="BJ652" s="3">
        <v>0.117783035656383</v>
      </c>
      <c r="BK652" s="3">
        <v>0.00520833333333333</v>
      </c>
    </row>
    <row r="653" s="3" customFormat="1" spans="1:63">
      <c r="A653" s="4">
        <v>652</v>
      </c>
      <c r="B653" s="6">
        <v>104</v>
      </c>
      <c r="C653" s="24" t="s">
        <v>356</v>
      </c>
      <c r="D653" s="13" t="s">
        <v>357</v>
      </c>
      <c r="E653" s="25">
        <v>35.517</v>
      </c>
      <c r="F653" s="25">
        <v>46.1</v>
      </c>
      <c r="G653" s="26">
        <v>12.8</v>
      </c>
      <c r="H653" s="27">
        <v>991.2</v>
      </c>
      <c r="I653" s="3"/>
      <c r="J653" s="13" t="s">
        <v>237</v>
      </c>
      <c r="K653" s="5" t="s">
        <v>78</v>
      </c>
      <c r="L653" s="3"/>
      <c r="M653" s="3"/>
      <c r="N653" s="3"/>
      <c r="O653" s="28" t="s">
        <v>80</v>
      </c>
      <c r="P653" s="7">
        <v>7.5</v>
      </c>
      <c r="Q653" s="3">
        <v>59.1</v>
      </c>
      <c r="R653" s="12"/>
      <c r="S653" s="13"/>
      <c r="T653" s="8">
        <v>39.4</v>
      </c>
      <c r="U653" s="8">
        <v>41</v>
      </c>
      <c r="V653" s="8">
        <v>19.5</v>
      </c>
      <c r="W653" s="3">
        <v>3</v>
      </c>
      <c r="X653" s="5" t="s">
        <v>81</v>
      </c>
      <c r="Y653" s="13" t="s">
        <v>82</v>
      </c>
      <c r="Z653" s="3">
        <v>3</v>
      </c>
      <c r="AA653" s="3">
        <v>3</v>
      </c>
      <c r="AB653" s="9">
        <v>-0.175448677506192</v>
      </c>
      <c r="AC653" s="9">
        <v>0.000256361683990305</v>
      </c>
      <c r="AD653" s="25">
        <v>-0.0870113769896297</v>
      </c>
      <c r="AE653" s="25">
        <v>0.0152089072543618</v>
      </c>
      <c r="AF653" s="9">
        <v>0.088437300516558</v>
      </c>
      <c r="AG653" s="9">
        <v>0.0154652689383521</v>
      </c>
      <c r="AH653" s="25">
        <v>0.0300022503037987</v>
      </c>
      <c r="AI653" s="25">
        <v>0.000874897340066911</v>
      </c>
      <c r="AJ653" s="4">
        <v>-0.205450927809994</v>
      </c>
      <c r="AK653" s="4">
        <v>0.00113125902405722</v>
      </c>
      <c r="AL653" s="3">
        <v>-0.11701362729343</v>
      </c>
      <c r="AM653" s="3">
        <v>0.0160838045944288</v>
      </c>
      <c r="AN653" s="4">
        <v>0.0132452267500205</v>
      </c>
      <c r="AO653" s="4">
        <v>0.000177777777777778</v>
      </c>
      <c r="AP653" s="3"/>
      <c r="AQ653" s="3"/>
      <c r="AR653" s="4"/>
      <c r="AS653" s="4"/>
      <c r="AT653" s="3"/>
      <c r="AU653" s="3"/>
      <c r="AV653" s="4"/>
      <c r="AW653" s="4"/>
      <c r="AX653" s="3"/>
      <c r="AY653" s="3"/>
      <c r="BJ653" s="3">
        <v>-0.0870113769896297</v>
      </c>
      <c r="BK653" s="3">
        <v>0.00506963575145393</v>
      </c>
    </row>
    <row r="654" s="3" customFormat="1" spans="1:63">
      <c r="A654" s="4">
        <v>653</v>
      </c>
      <c r="B654" s="6">
        <v>104</v>
      </c>
      <c r="C654" s="24" t="s">
        <v>358</v>
      </c>
      <c r="D654" s="13" t="s">
        <v>359</v>
      </c>
      <c r="E654" s="25">
        <v>35.517</v>
      </c>
      <c r="F654" s="25">
        <v>46.1</v>
      </c>
      <c r="G654" s="26">
        <v>12.8</v>
      </c>
      <c r="H654" s="27">
        <v>991.2</v>
      </c>
      <c r="I654" s="3"/>
      <c r="J654" s="13" t="s">
        <v>181</v>
      </c>
      <c r="K654" s="5" t="s">
        <v>182</v>
      </c>
      <c r="L654" s="3"/>
      <c r="M654" s="3"/>
      <c r="N654" s="3"/>
      <c r="O654" s="36" t="s">
        <v>80</v>
      </c>
      <c r="P654" s="7">
        <v>7.3</v>
      </c>
      <c r="Q654" s="3">
        <v>63.4</v>
      </c>
      <c r="R654" s="12"/>
      <c r="S654" s="13"/>
      <c r="T654" s="8">
        <v>34.6</v>
      </c>
      <c r="U654" s="8">
        <v>41.6</v>
      </c>
      <c r="V654" s="8">
        <v>23.8</v>
      </c>
      <c r="W654" s="3">
        <v>30</v>
      </c>
      <c r="X654" s="5" t="s">
        <v>91</v>
      </c>
      <c r="Y654" s="13" t="s">
        <v>82</v>
      </c>
      <c r="Z654" s="3">
        <v>3</v>
      </c>
      <c r="AA654" s="3">
        <v>3</v>
      </c>
      <c r="AB654" s="9">
        <v>-0.264953821374225</v>
      </c>
      <c r="AC654" s="9">
        <v>0.000256361683990305</v>
      </c>
      <c r="AD654" s="25">
        <v>-0.0741079721537217</v>
      </c>
      <c r="AE654" s="25">
        <v>0.0110192005796402</v>
      </c>
      <c r="AF654" s="9">
        <v>0.190845849220501</v>
      </c>
      <c r="AG654" s="9">
        <v>0.0112755622636304</v>
      </c>
      <c r="AH654" s="25">
        <v>-0.738316148927857</v>
      </c>
      <c r="AI654" s="25">
        <v>0.00240054089732276</v>
      </c>
      <c r="AJ654" s="4">
        <v>0.473362327553631</v>
      </c>
      <c r="AK654" s="4">
        <v>0.00265690258131306</v>
      </c>
      <c r="AL654" s="3">
        <v>0.664208176774135</v>
      </c>
      <c r="AM654" s="3">
        <v>0.0134197414769629</v>
      </c>
      <c r="AN654" s="4">
        <v>0.0789884113186305</v>
      </c>
      <c r="AO654" s="4">
        <v>0.000910840602774242</v>
      </c>
      <c r="AP654" s="3"/>
      <c r="AQ654" s="3"/>
      <c r="AR654" s="4"/>
      <c r="AS654" s="4"/>
      <c r="AT654" s="3"/>
      <c r="AU654" s="3"/>
      <c r="AV654" s="4"/>
      <c r="AW654" s="4"/>
      <c r="AX654" s="3"/>
      <c r="AY654" s="3"/>
      <c r="BJ654" s="3">
        <v>0.318453731118535</v>
      </c>
      <c r="BK654" s="3">
        <v>0.00796315426997245</v>
      </c>
    </row>
    <row r="655" s="3" customFormat="1" spans="1:63">
      <c r="A655" s="4">
        <v>654</v>
      </c>
      <c r="B655" s="6">
        <v>104</v>
      </c>
      <c r="C655" s="24" t="s">
        <v>358</v>
      </c>
      <c r="D655" s="13" t="s">
        <v>359</v>
      </c>
      <c r="E655" s="25">
        <v>35.517</v>
      </c>
      <c r="F655" s="25">
        <v>46.1</v>
      </c>
      <c r="G655" s="26">
        <v>12.8</v>
      </c>
      <c r="H655" s="27">
        <v>991.2</v>
      </c>
      <c r="I655" s="3"/>
      <c r="J655" s="13" t="s">
        <v>181</v>
      </c>
      <c r="K655" s="5" t="s">
        <v>182</v>
      </c>
      <c r="L655" s="3"/>
      <c r="M655" s="3"/>
      <c r="N655" s="3"/>
      <c r="O655" s="36" t="s">
        <v>80</v>
      </c>
      <c r="P655" s="7">
        <v>7.5</v>
      </c>
      <c r="Q655" s="3">
        <v>59.1</v>
      </c>
      <c r="R655" s="12"/>
      <c r="S655" s="13"/>
      <c r="T655" s="8">
        <v>39.4</v>
      </c>
      <c r="U655" s="8">
        <v>41</v>
      </c>
      <c r="V655" s="8">
        <v>19.5</v>
      </c>
      <c r="W655" s="3">
        <v>30</v>
      </c>
      <c r="X655" s="5" t="s">
        <v>91</v>
      </c>
      <c r="Y655" s="13" t="s">
        <v>82</v>
      </c>
      <c r="Z655" s="3">
        <v>3</v>
      </c>
      <c r="AA655" s="3">
        <v>3</v>
      </c>
      <c r="AB655" s="9">
        <v>-0.203228241613268</v>
      </c>
      <c r="AC655" s="9">
        <v>0.000256361683990304</v>
      </c>
      <c r="AD655" s="25">
        <v>0</v>
      </c>
      <c r="AE655" s="25">
        <v>0.0138888888888889</v>
      </c>
      <c r="AF655" s="9">
        <v>0.203228241613264</v>
      </c>
      <c r="AG655" s="9">
        <v>0.0141452505728792</v>
      </c>
      <c r="AH655" s="25">
        <v>-0.619764634625921</v>
      </c>
      <c r="AI655" s="25">
        <v>0.0039163005529717</v>
      </c>
      <c r="AJ655" s="4">
        <v>0.416536393012653</v>
      </c>
      <c r="AK655" s="4">
        <v>0.00417266223696201</v>
      </c>
      <c r="AL655" s="3">
        <v>0.619764634625921</v>
      </c>
      <c r="AM655" s="3">
        <v>0.0178051894418606</v>
      </c>
      <c r="AN655" s="4">
        <v>0.0645385211375712</v>
      </c>
      <c r="AO655" s="4">
        <v>0.000802777777777777</v>
      </c>
      <c r="AP655" s="3"/>
      <c r="AQ655" s="3"/>
      <c r="AR655" s="4"/>
      <c r="AS655" s="4"/>
      <c r="AT655" s="3"/>
      <c r="AU655" s="3"/>
      <c r="AV655" s="4"/>
      <c r="AW655" s="4"/>
      <c r="AX655" s="3"/>
      <c r="AY655" s="3"/>
      <c r="BJ655" s="3">
        <v>-0.0870113769896297</v>
      </c>
      <c r="BK655" s="3">
        <v>0.00231481481481482</v>
      </c>
    </row>
    <row r="656" s="3" customFormat="1" spans="1:63">
      <c r="A656" s="4">
        <v>655</v>
      </c>
      <c r="B656" s="6">
        <v>104</v>
      </c>
      <c r="C656" s="24" t="s">
        <v>356</v>
      </c>
      <c r="D656" s="13" t="s">
        <v>357</v>
      </c>
      <c r="E656" s="25">
        <v>35.517</v>
      </c>
      <c r="F656" s="25">
        <v>46.1</v>
      </c>
      <c r="G656" s="26">
        <v>12.8</v>
      </c>
      <c r="H656" s="27">
        <v>991.2</v>
      </c>
      <c r="I656" s="3"/>
      <c r="J656" s="13" t="s">
        <v>237</v>
      </c>
      <c r="K656" s="5" t="s">
        <v>78</v>
      </c>
      <c r="L656" s="3"/>
      <c r="M656" s="3"/>
      <c r="N656" s="3"/>
      <c r="O656" s="28" t="s">
        <v>80</v>
      </c>
      <c r="P656" s="7">
        <v>7.3</v>
      </c>
      <c r="Q656" s="3">
        <v>79.2</v>
      </c>
      <c r="R656" s="12"/>
      <c r="S656" s="13"/>
      <c r="T656" s="8">
        <v>34.6</v>
      </c>
      <c r="U656" s="8">
        <v>41.6</v>
      </c>
      <c r="V656" s="8">
        <v>23.8</v>
      </c>
      <c r="W656" s="3">
        <v>3</v>
      </c>
      <c r="X656" s="5" t="s">
        <v>81</v>
      </c>
      <c r="Y656" s="13" t="s">
        <v>82</v>
      </c>
      <c r="Z656" s="3">
        <v>3</v>
      </c>
      <c r="AA656" s="3">
        <v>3</v>
      </c>
      <c r="AB656" s="9">
        <v>0.302949544582569</v>
      </c>
      <c r="AC656" s="9">
        <v>0.000256361683990305</v>
      </c>
      <c r="AD656" s="25">
        <v>0.245122458032985</v>
      </c>
      <c r="AE656" s="25">
        <v>0.0296681369460197</v>
      </c>
      <c r="AF656" s="9">
        <v>-0.0578270865495823</v>
      </c>
      <c r="AG656" s="9">
        <v>0.0299244986300102</v>
      </c>
      <c r="AH656" s="25">
        <v>-0.081516857671989</v>
      </c>
      <c r="AI656" s="25">
        <v>0.0270167331970387</v>
      </c>
      <c r="AJ656" s="4">
        <v>0.38446640225456</v>
      </c>
      <c r="AK656" s="4">
        <v>0.0272730948810289</v>
      </c>
      <c r="AL656" s="3">
        <v>0.326639315704976</v>
      </c>
      <c r="AM656" s="3">
        <v>0.0566848701430584</v>
      </c>
      <c r="AN656" s="4">
        <v>0.0789884113186305</v>
      </c>
      <c r="AO656" s="4">
        <v>0.000750609870519795</v>
      </c>
      <c r="AP656" s="3"/>
      <c r="AQ656" s="3"/>
      <c r="AR656" s="4"/>
      <c r="AS656" s="4"/>
      <c r="AT656" s="3"/>
      <c r="AU656" s="3"/>
      <c r="AV656" s="4"/>
      <c r="AW656" s="4"/>
      <c r="AX656" s="3"/>
      <c r="AY656" s="3"/>
      <c r="BJ656" s="3">
        <v>0.22314355131421</v>
      </c>
      <c r="BK656" s="3">
        <v>0.00854166666666667</v>
      </c>
    </row>
    <row r="657" s="3" customFormat="1" spans="1:63">
      <c r="A657" s="4">
        <v>656</v>
      </c>
      <c r="B657" s="6">
        <v>104</v>
      </c>
      <c r="C657" s="24" t="s">
        <v>356</v>
      </c>
      <c r="D657" s="13" t="s">
        <v>357</v>
      </c>
      <c r="E657" s="25">
        <v>35.517</v>
      </c>
      <c r="F657" s="25">
        <v>46.1</v>
      </c>
      <c r="G657" s="26">
        <v>12.8</v>
      </c>
      <c r="H657" s="27">
        <v>991.2</v>
      </c>
      <c r="I657" s="3"/>
      <c r="J657" s="13" t="s">
        <v>237</v>
      </c>
      <c r="K657" s="5" t="s">
        <v>78</v>
      </c>
      <c r="L657" s="3"/>
      <c r="M657" s="3"/>
      <c r="N657" s="3"/>
      <c r="O657" s="28" t="s">
        <v>80</v>
      </c>
      <c r="P657" s="7">
        <v>7.3</v>
      </c>
      <c r="Q657" s="3">
        <v>79.2</v>
      </c>
      <c r="R657" s="12"/>
      <c r="S657" s="13"/>
      <c r="T657" s="8">
        <v>34.6</v>
      </c>
      <c r="U657" s="8">
        <v>41.6</v>
      </c>
      <c r="V657" s="8">
        <v>23.8</v>
      </c>
      <c r="W657" s="3">
        <v>3</v>
      </c>
      <c r="X657" s="5" t="s">
        <v>81</v>
      </c>
      <c r="Y657" s="13" t="s">
        <v>82</v>
      </c>
      <c r="Z657" s="3">
        <v>3</v>
      </c>
      <c r="AA657" s="3">
        <v>3</v>
      </c>
      <c r="AB657" s="9">
        <v>-0.088410957344053</v>
      </c>
      <c r="AC657" s="9">
        <v>0.000256361683990306</v>
      </c>
      <c r="AD657" s="25">
        <v>-0.182321556793955</v>
      </c>
      <c r="AE657" s="25">
        <v>0.0322222222222222</v>
      </c>
      <c r="AF657" s="9">
        <v>-0.0939105994499</v>
      </c>
      <c r="AG657" s="9">
        <v>0.0324785839062127</v>
      </c>
      <c r="AH657" s="25">
        <v>-0.270987193879611</v>
      </c>
      <c r="AI657" s="25">
        <v>0.00986152800226279</v>
      </c>
      <c r="AJ657" s="4">
        <v>0.182576236535559</v>
      </c>
      <c r="AK657" s="4">
        <v>0.0101178896862531</v>
      </c>
      <c r="AL657" s="3">
        <v>0.0886656370856569</v>
      </c>
      <c r="AM657" s="3">
        <v>0.0420837502244851</v>
      </c>
      <c r="AN657" s="4">
        <v>0.0662493855412007</v>
      </c>
      <c r="AO657" s="4">
        <v>0.000750609870519795</v>
      </c>
      <c r="AP657" s="3"/>
      <c r="AQ657" s="3"/>
      <c r="AR657" s="4"/>
      <c r="AS657" s="4"/>
      <c r="AT657" s="3"/>
      <c r="AU657" s="3"/>
      <c r="AV657" s="4"/>
      <c r="AW657" s="4"/>
      <c r="AX657" s="3"/>
      <c r="AY657" s="3"/>
      <c r="BJ657" s="3">
        <v>0.117783035656383</v>
      </c>
      <c r="BK657" s="3">
        <v>0.00520833333333333</v>
      </c>
    </row>
    <row r="658" s="3" customFormat="1" spans="1:63">
      <c r="A658" s="4">
        <v>657</v>
      </c>
      <c r="B658" s="6">
        <v>104</v>
      </c>
      <c r="C658" s="24" t="s">
        <v>356</v>
      </c>
      <c r="D658" s="13" t="s">
        <v>357</v>
      </c>
      <c r="E658" s="25">
        <v>35.517</v>
      </c>
      <c r="F658" s="25">
        <v>46.1</v>
      </c>
      <c r="G658" s="26">
        <v>12.8</v>
      </c>
      <c r="H658" s="27">
        <v>991.2</v>
      </c>
      <c r="I658" s="3"/>
      <c r="J658" s="13" t="s">
        <v>237</v>
      </c>
      <c r="K658" s="5" t="s">
        <v>78</v>
      </c>
      <c r="L658" s="3"/>
      <c r="M658" s="3"/>
      <c r="N658" s="3"/>
      <c r="O658" s="28" t="s">
        <v>80</v>
      </c>
      <c r="P658" s="7">
        <v>7.5</v>
      </c>
      <c r="Q658" s="3">
        <v>65.7</v>
      </c>
      <c r="R658" s="12"/>
      <c r="S658" s="13"/>
      <c r="T658" s="8">
        <v>39.4</v>
      </c>
      <c r="U658" s="8">
        <v>41</v>
      </c>
      <c r="V658" s="8">
        <v>19.5</v>
      </c>
      <c r="W658" s="3">
        <v>3</v>
      </c>
      <c r="X658" s="5" t="s">
        <v>81</v>
      </c>
      <c r="Y658" s="13" t="s">
        <v>82</v>
      </c>
      <c r="Z658" s="3">
        <v>3</v>
      </c>
      <c r="AA658" s="3">
        <v>3</v>
      </c>
      <c r="AB658" s="9">
        <v>-0.18457127652797</v>
      </c>
      <c r="AC658" s="9">
        <v>0.000256361683990306</v>
      </c>
      <c r="AD658" s="25">
        <v>-0.167054084663166</v>
      </c>
      <c r="AE658" s="25">
        <v>0.00591715976331363</v>
      </c>
      <c r="AF658" s="9">
        <v>0.0175171918648067</v>
      </c>
      <c r="AG658" s="9">
        <v>0.00617352144730394</v>
      </c>
      <c r="AH658" s="25">
        <v>-0.197968447575613</v>
      </c>
      <c r="AI658" s="25">
        <v>0.00743013885997756</v>
      </c>
      <c r="AJ658" s="4">
        <v>0.0133971710476457</v>
      </c>
      <c r="AK658" s="4">
        <v>0.0076865005439679</v>
      </c>
      <c r="AL658" s="3">
        <v>0.0309143629124461</v>
      </c>
      <c r="AM658" s="3">
        <v>0.0133472986232912</v>
      </c>
      <c r="AN658" s="4">
        <v>0.0132452267500205</v>
      </c>
      <c r="AO658" s="4">
        <v>0.000177777777777778</v>
      </c>
      <c r="AP658" s="3"/>
      <c r="AQ658" s="3"/>
      <c r="AR658" s="4"/>
      <c r="AS658" s="4"/>
      <c r="AT658" s="3"/>
      <c r="AU658" s="3"/>
      <c r="AV658" s="4"/>
      <c r="AW658" s="4"/>
      <c r="AX658" s="3"/>
      <c r="AY658" s="3"/>
      <c r="BJ658" s="3">
        <v>-0.0870113769896297</v>
      </c>
      <c r="BK658" s="3">
        <v>0.00506963575145393</v>
      </c>
    </row>
    <row r="659" s="3" customFormat="1" spans="1:63">
      <c r="A659" s="4">
        <v>658</v>
      </c>
      <c r="B659" s="6">
        <v>104</v>
      </c>
      <c r="C659" s="24" t="s">
        <v>358</v>
      </c>
      <c r="D659" s="13" t="s">
        <v>359</v>
      </c>
      <c r="E659" s="25">
        <v>35.517</v>
      </c>
      <c r="F659" s="25">
        <v>46.1</v>
      </c>
      <c r="G659" s="26">
        <v>12.8</v>
      </c>
      <c r="H659" s="27">
        <v>991.2</v>
      </c>
      <c r="I659" s="3"/>
      <c r="J659" s="13" t="s">
        <v>181</v>
      </c>
      <c r="K659" s="5" t="s">
        <v>182</v>
      </c>
      <c r="L659" s="3"/>
      <c r="M659" s="3"/>
      <c r="N659" s="3"/>
      <c r="O659" s="36" t="s">
        <v>80</v>
      </c>
      <c r="P659" s="7">
        <v>7.3</v>
      </c>
      <c r="Q659" s="3">
        <v>79.2</v>
      </c>
      <c r="R659" s="12"/>
      <c r="S659" s="13"/>
      <c r="T659" s="8">
        <v>34.6</v>
      </c>
      <c r="U659" s="8">
        <v>41.6</v>
      </c>
      <c r="V659" s="8">
        <v>23.8</v>
      </c>
      <c r="W659" s="3">
        <v>30</v>
      </c>
      <c r="X659" s="5" t="s">
        <v>91</v>
      </c>
      <c r="Y659" s="13" t="s">
        <v>82</v>
      </c>
      <c r="Z659" s="3">
        <v>3</v>
      </c>
      <c r="AA659" s="3">
        <v>3</v>
      </c>
      <c r="AB659" s="9">
        <v>-0.324239668185579</v>
      </c>
      <c r="AC659" s="9">
        <v>0.000256361683990305</v>
      </c>
      <c r="AD659" s="25">
        <v>-0.325422400434628</v>
      </c>
      <c r="AE659" s="25">
        <v>0.0336949375410914</v>
      </c>
      <c r="AF659" s="9">
        <v>-0.0011827322490426</v>
      </c>
      <c r="AG659" s="9">
        <v>0.0339512992250818</v>
      </c>
      <c r="AH659" s="25">
        <v>-0.769199543759856</v>
      </c>
      <c r="AI659" s="25">
        <v>0.00434048265894109</v>
      </c>
      <c r="AJ659" s="4">
        <v>0.444959875574279</v>
      </c>
      <c r="AK659" s="4">
        <v>0.00459684434293139</v>
      </c>
      <c r="AL659" s="3">
        <v>0.443777143325229</v>
      </c>
      <c r="AM659" s="3">
        <v>0.0380354202000326</v>
      </c>
      <c r="AN659" s="4">
        <v>0.0789884113186305</v>
      </c>
      <c r="AO659" s="4">
        <v>0.000910840602774242</v>
      </c>
      <c r="AP659" s="3"/>
      <c r="AQ659" s="3"/>
      <c r="AR659" s="4"/>
      <c r="AS659" s="4"/>
      <c r="AT659" s="3"/>
      <c r="AU659" s="3"/>
      <c r="AV659" s="4"/>
      <c r="AW659" s="4"/>
      <c r="AX659" s="3"/>
      <c r="AY659" s="3"/>
      <c r="BJ659" s="3">
        <v>0.318453731118535</v>
      </c>
      <c r="BK659" s="3">
        <v>0.00796315426997245</v>
      </c>
    </row>
    <row r="660" s="3" customFormat="1" spans="1:63">
      <c r="A660" s="4">
        <v>659</v>
      </c>
      <c r="B660" s="6">
        <v>104</v>
      </c>
      <c r="C660" s="24" t="s">
        <v>358</v>
      </c>
      <c r="D660" s="13" t="s">
        <v>359</v>
      </c>
      <c r="E660" s="25">
        <v>35.517</v>
      </c>
      <c r="F660" s="25">
        <v>46.1</v>
      </c>
      <c r="G660" s="26">
        <v>12.8</v>
      </c>
      <c r="H660" s="27">
        <v>991.2</v>
      </c>
      <c r="I660" s="3"/>
      <c r="J660" s="13" t="s">
        <v>181</v>
      </c>
      <c r="K660" s="5" t="s">
        <v>182</v>
      </c>
      <c r="L660" s="3"/>
      <c r="M660" s="3"/>
      <c r="N660" s="3"/>
      <c r="O660" s="36" t="s">
        <v>80</v>
      </c>
      <c r="P660" s="7">
        <v>7.5</v>
      </c>
      <c r="Q660" s="3">
        <v>65.7</v>
      </c>
      <c r="R660" s="12"/>
      <c r="S660" s="13"/>
      <c r="T660" s="8">
        <v>39.4</v>
      </c>
      <c r="U660" s="8">
        <v>41</v>
      </c>
      <c r="V660" s="8">
        <v>19.5</v>
      </c>
      <c r="W660" s="3">
        <v>30</v>
      </c>
      <c r="X660" s="5" t="s">
        <v>91</v>
      </c>
      <c r="Y660" s="13" t="s">
        <v>82</v>
      </c>
      <c r="Z660" s="3">
        <v>3</v>
      </c>
      <c r="AA660" s="3">
        <v>3</v>
      </c>
      <c r="AB660" s="9">
        <v>-0.211970250716085</v>
      </c>
      <c r="AC660" s="9">
        <v>0.000256361683990305</v>
      </c>
      <c r="AD660" s="25">
        <v>-0.167054084663166</v>
      </c>
      <c r="AE660" s="25">
        <v>0.014181622573231</v>
      </c>
      <c r="AF660" s="9">
        <v>0.0449161660529205</v>
      </c>
      <c r="AG660" s="9">
        <v>0.0144379842572213</v>
      </c>
      <c r="AH660" s="25">
        <v>-0.810930216216329</v>
      </c>
      <c r="AI660" s="25">
        <v>0.00750609870519797</v>
      </c>
      <c r="AJ660" s="4">
        <v>0.598959965500245</v>
      </c>
      <c r="AK660" s="4">
        <v>0.00776246038918831</v>
      </c>
      <c r="AL660" s="3">
        <v>0.643876131553162</v>
      </c>
      <c r="AM660" s="3">
        <v>0.021687721278429</v>
      </c>
      <c r="AN660" s="4">
        <v>0.0645385211375712</v>
      </c>
      <c r="AO660" s="4">
        <v>0.000802777777777777</v>
      </c>
      <c r="AP660" s="3"/>
      <c r="AQ660" s="3"/>
      <c r="AR660" s="4"/>
      <c r="AS660" s="4"/>
      <c r="AT660" s="3"/>
      <c r="AU660" s="3"/>
      <c r="AV660" s="4"/>
      <c r="AW660" s="4"/>
      <c r="AX660" s="3"/>
      <c r="AY660" s="3"/>
      <c r="BJ660" s="3">
        <v>-0.0870113769896297</v>
      </c>
      <c r="BK660" s="3">
        <v>0.00231481481481482</v>
      </c>
    </row>
    <row r="661" s="3" customFormat="1" spans="1:63">
      <c r="A661" s="4">
        <v>660</v>
      </c>
      <c r="B661" s="6">
        <v>104</v>
      </c>
      <c r="C661" s="24" t="s">
        <v>356</v>
      </c>
      <c r="D661" s="13" t="s">
        <v>357</v>
      </c>
      <c r="E661" s="25">
        <v>35.517</v>
      </c>
      <c r="F661" s="25">
        <v>46.1</v>
      </c>
      <c r="G661" s="26">
        <v>12.8</v>
      </c>
      <c r="H661" s="27">
        <v>991.2</v>
      </c>
      <c r="I661" s="3"/>
      <c r="J661" s="13" t="s">
        <v>237</v>
      </c>
      <c r="K661" s="5" t="s">
        <v>78</v>
      </c>
      <c r="L661" s="3"/>
      <c r="M661" s="3"/>
      <c r="N661" s="3"/>
      <c r="O661" s="28" t="s">
        <v>80</v>
      </c>
      <c r="P661" s="7">
        <v>7.3</v>
      </c>
      <c r="Q661" s="3">
        <v>99.8</v>
      </c>
      <c r="R661" s="12"/>
      <c r="S661" s="13"/>
      <c r="T661" s="8">
        <v>34.6</v>
      </c>
      <c r="U661" s="8">
        <v>41.6</v>
      </c>
      <c r="V661" s="8">
        <v>23.8</v>
      </c>
      <c r="W661" s="3">
        <v>3</v>
      </c>
      <c r="X661" s="5" t="s">
        <v>81</v>
      </c>
      <c r="Y661" s="13" t="s">
        <v>82</v>
      </c>
      <c r="Z661" s="3">
        <v>3</v>
      </c>
      <c r="AA661" s="3">
        <v>3</v>
      </c>
      <c r="AB661" s="9">
        <v>0.145810347911039</v>
      </c>
      <c r="AC661" s="9">
        <v>0.000256361683990305</v>
      </c>
      <c r="AD661" s="25">
        <v>0.251314428280906</v>
      </c>
      <c r="AE661" s="25">
        <v>0.021779905377789</v>
      </c>
      <c r="AF661" s="9">
        <v>0.105504080369866</v>
      </c>
      <c r="AG661" s="9">
        <v>0.0220362670617793</v>
      </c>
      <c r="AH661" s="25">
        <v>-0.0923086768005682</v>
      </c>
      <c r="AI661" s="25">
        <v>0.0121351533746604</v>
      </c>
      <c r="AJ661" s="4">
        <v>0.238119024711606</v>
      </c>
      <c r="AK661" s="4">
        <v>0.0123915150586506</v>
      </c>
      <c r="AL661" s="3">
        <v>0.343623105081474</v>
      </c>
      <c r="AM661" s="3">
        <v>0.0339150587524492</v>
      </c>
      <c r="AN661" s="4">
        <v>0.0789884113186305</v>
      </c>
      <c r="AO661" s="4">
        <v>0.000750609870519795</v>
      </c>
      <c r="AP661" s="3"/>
      <c r="AQ661" s="3"/>
      <c r="AR661" s="4"/>
      <c r="AS661" s="4"/>
      <c r="AT661" s="3"/>
      <c r="AU661" s="3"/>
      <c r="AV661" s="4"/>
      <c r="AW661" s="4"/>
      <c r="AX661" s="3"/>
      <c r="AY661" s="3"/>
      <c r="BJ661" s="3">
        <v>0.22314355131421</v>
      </c>
      <c r="BK661" s="3">
        <v>0.00854166666666667</v>
      </c>
    </row>
    <row r="662" s="3" customFormat="1" spans="1:63">
      <c r="A662" s="4">
        <v>661</v>
      </c>
      <c r="B662" s="6">
        <v>104</v>
      </c>
      <c r="C662" s="24" t="s">
        <v>356</v>
      </c>
      <c r="D662" s="13" t="s">
        <v>357</v>
      </c>
      <c r="E662" s="25">
        <v>35.517</v>
      </c>
      <c r="F662" s="25">
        <v>46.1</v>
      </c>
      <c r="G662" s="26">
        <v>12.8</v>
      </c>
      <c r="H662" s="27">
        <v>991.2</v>
      </c>
      <c r="I662" s="3"/>
      <c r="J662" s="13" t="s">
        <v>237</v>
      </c>
      <c r="K662" s="5" t="s">
        <v>78</v>
      </c>
      <c r="L662" s="3"/>
      <c r="M662" s="3"/>
      <c r="N662" s="3"/>
      <c r="O662" s="28" t="s">
        <v>80</v>
      </c>
      <c r="P662" s="7">
        <v>7.3</v>
      </c>
      <c r="Q662" s="3">
        <v>99.8</v>
      </c>
      <c r="R662" s="12"/>
      <c r="S662" s="13"/>
      <c r="T662" s="8">
        <v>34.6</v>
      </c>
      <c r="U662" s="8">
        <v>41.6</v>
      </c>
      <c r="V662" s="8">
        <v>23.8</v>
      </c>
      <c r="W662" s="3">
        <v>3</v>
      </c>
      <c r="X662" s="5" t="s">
        <v>81</v>
      </c>
      <c r="Y662" s="13" t="s">
        <v>82</v>
      </c>
      <c r="Z662" s="3">
        <v>3</v>
      </c>
      <c r="AA662" s="3">
        <v>3</v>
      </c>
      <c r="AB662" s="9">
        <v>-0.0116960397631912</v>
      </c>
      <c r="AC662" s="9">
        <v>0.000256361683990305</v>
      </c>
      <c r="AD662" s="25">
        <v>-0.0487901641694321</v>
      </c>
      <c r="AE662" s="25">
        <v>0.0204081632653061</v>
      </c>
      <c r="AF662" s="9">
        <v>-0.0370941244062447</v>
      </c>
      <c r="AG662" s="9">
        <v>0.0206645249492965</v>
      </c>
      <c r="AH662" s="25">
        <v>-0.272434843031087</v>
      </c>
      <c r="AI662" s="25">
        <v>0.0130950527337713</v>
      </c>
      <c r="AJ662" s="4">
        <v>0.260738803267894</v>
      </c>
      <c r="AK662" s="4">
        <v>0.0133514144177616</v>
      </c>
      <c r="AL662" s="3">
        <v>0.223644678861653</v>
      </c>
      <c r="AM662" s="3">
        <v>0.0335032159990773</v>
      </c>
      <c r="AN662" s="4">
        <v>0.0662493855412007</v>
      </c>
      <c r="AO662" s="4">
        <v>0.000750609870519795</v>
      </c>
      <c r="AP662" s="3"/>
      <c r="AQ662" s="3"/>
      <c r="AR662" s="4"/>
      <c r="AS662" s="4"/>
      <c r="AT662" s="3"/>
      <c r="AU662" s="3"/>
      <c r="AV662" s="4"/>
      <c r="AW662" s="4"/>
      <c r="AX662" s="3"/>
      <c r="AY662" s="3"/>
      <c r="BJ662" s="3">
        <v>0.117783035656383</v>
      </c>
      <c r="BK662" s="3">
        <v>0.00520833333333333</v>
      </c>
    </row>
    <row r="663" s="3" customFormat="1" spans="1:63">
      <c r="A663" s="4">
        <v>662</v>
      </c>
      <c r="B663" s="6">
        <v>104</v>
      </c>
      <c r="C663" s="24" t="s">
        <v>356</v>
      </c>
      <c r="D663" s="13" t="s">
        <v>357</v>
      </c>
      <c r="E663" s="25">
        <v>35.517</v>
      </c>
      <c r="F663" s="25">
        <v>46.1</v>
      </c>
      <c r="G663" s="26">
        <v>12.8</v>
      </c>
      <c r="H663" s="27">
        <v>991.2</v>
      </c>
      <c r="I663" s="3"/>
      <c r="J663" s="13" t="s">
        <v>237</v>
      </c>
      <c r="K663" s="5" t="s">
        <v>78</v>
      </c>
      <c r="L663" s="3"/>
      <c r="M663" s="3"/>
      <c r="N663" s="3"/>
      <c r="O663" s="28" t="s">
        <v>80</v>
      </c>
      <c r="P663" s="7">
        <v>7.5</v>
      </c>
      <c r="Q663" s="3">
        <v>72.2</v>
      </c>
      <c r="R663" s="12"/>
      <c r="S663" s="13"/>
      <c r="T663" s="8">
        <v>39.4</v>
      </c>
      <c r="U663" s="8">
        <v>41</v>
      </c>
      <c r="V663" s="8">
        <v>19.5</v>
      </c>
      <c r="W663" s="3">
        <v>3</v>
      </c>
      <c r="X663" s="5" t="s">
        <v>81</v>
      </c>
      <c r="Y663" s="13" t="s">
        <v>82</v>
      </c>
      <c r="Z663" s="3">
        <v>3</v>
      </c>
      <c r="AA663" s="3">
        <v>3</v>
      </c>
      <c r="AB663" s="9">
        <v>-0.130620182417064</v>
      </c>
      <c r="AC663" s="9">
        <v>0.000256361683990305</v>
      </c>
      <c r="AD663" s="25">
        <v>0</v>
      </c>
      <c r="AE663" s="25">
        <v>0.0355555555555555</v>
      </c>
      <c r="AF663" s="9">
        <v>0.130620182417065</v>
      </c>
      <c r="AG663" s="9">
        <v>0.0358119172395456</v>
      </c>
      <c r="AH663" s="25">
        <v>-0.105052776003143</v>
      </c>
      <c r="AI663" s="25">
        <v>0.00186237525738108</v>
      </c>
      <c r="AJ663" s="4">
        <v>-0.0255674064139257</v>
      </c>
      <c r="AK663" s="4">
        <v>0.00211873694137139</v>
      </c>
      <c r="AL663" s="3">
        <v>0.105052776003143</v>
      </c>
      <c r="AM663" s="3">
        <v>0.0374179308129364</v>
      </c>
      <c r="AN663" s="4">
        <v>0.0132452267500205</v>
      </c>
      <c r="AO663" s="4">
        <v>0.000177777777777778</v>
      </c>
      <c r="AP663" s="3"/>
      <c r="AQ663" s="3"/>
      <c r="AR663" s="4"/>
      <c r="AS663" s="4"/>
      <c r="AT663" s="3"/>
      <c r="AU663" s="3"/>
      <c r="AV663" s="4"/>
      <c r="AW663" s="4"/>
      <c r="AX663" s="3"/>
      <c r="AY663" s="3"/>
      <c r="BJ663" s="3">
        <v>-0.0870113769896297</v>
      </c>
      <c r="BK663" s="3">
        <v>0.00506963575145393</v>
      </c>
    </row>
    <row r="664" s="3" customFormat="1" spans="1:63">
      <c r="A664" s="4">
        <v>663</v>
      </c>
      <c r="B664" s="6">
        <v>104</v>
      </c>
      <c r="C664" s="24" t="s">
        <v>358</v>
      </c>
      <c r="D664" s="13" t="s">
        <v>359</v>
      </c>
      <c r="E664" s="25">
        <v>35.517</v>
      </c>
      <c r="F664" s="25">
        <v>46.1</v>
      </c>
      <c r="G664" s="26">
        <v>12.8</v>
      </c>
      <c r="H664" s="27">
        <v>991.2</v>
      </c>
      <c r="I664" s="3"/>
      <c r="J664" s="13" t="s">
        <v>181</v>
      </c>
      <c r="K664" s="5" t="s">
        <v>182</v>
      </c>
      <c r="L664" s="3"/>
      <c r="M664" s="3"/>
      <c r="N664" s="3"/>
      <c r="O664" s="36" t="s">
        <v>80</v>
      </c>
      <c r="P664" s="7">
        <v>7.3</v>
      </c>
      <c r="Q664" s="3">
        <v>99.8</v>
      </c>
      <c r="R664" s="12"/>
      <c r="S664" s="13"/>
      <c r="T664" s="8">
        <v>34.6</v>
      </c>
      <c r="U664" s="8">
        <v>41.6</v>
      </c>
      <c r="V664" s="8">
        <v>23.8</v>
      </c>
      <c r="W664" s="3">
        <v>30</v>
      </c>
      <c r="X664" s="5" t="s">
        <v>91</v>
      </c>
      <c r="Y664" s="13" t="s">
        <v>82</v>
      </c>
      <c r="Z664" s="3">
        <v>3</v>
      </c>
      <c r="AA664" s="3">
        <v>3</v>
      </c>
      <c r="AB664" s="9">
        <v>-0.614894983660197</v>
      </c>
      <c r="AC664" s="9">
        <v>0.000256361683990305</v>
      </c>
      <c r="AD664" s="25">
        <v>-0.559615787935423</v>
      </c>
      <c r="AE664" s="25">
        <v>0.0273526077097506</v>
      </c>
      <c r="AF664" s="9">
        <v>0.055279195724773</v>
      </c>
      <c r="AG664" s="9">
        <v>0.0276089693937409</v>
      </c>
      <c r="AH664" s="25">
        <v>-0.939606537187772</v>
      </c>
      <c r="AI664" s="25">
        <v>0.00529754653705347</v>
      </c>
      <c r="AJ664" s="4">
        <v>0.32471155352757</v>
      </c>
      <c r="AK664" s="4">
        <v>0.00555390822104378</v>
      </c>
      <c r="AL664" s="3">
        <v>0.379990749252349</v>
      </c>
      <c r="AM664" s="3">
        <v>0.032650154246804</v>
      </c>
      <c r="AN664" s="4">
        <v>0.0789884113186305</v>
      </c>
      <c r="AO664" s="4">
        <v>0.000910840602774242</v>
      </c>
      <c r="AP664" s="3"/>
      <c r="AQ664" s="3"/>
      <c r="AR664" s="4"/>
      <c r="AS664" s="4"/>
      <c r="AT664" s="3"/>
      <c r="AU664" s="3"/>
      <c r="AV664" s="4"/>
      <c r="AW664" s="4"/>
      <c r="AX664" s="3"/>
      <c r="AY664" s="3"/>
      <c r="BJ664" s="3">
        <v>0.318453731118535</v>
      </c>
      <c r="BK664" s="3">
        <v>0.00796315426997245</v>
      </c>
    </row>
    <row r="665" s="3" customFormat="1" spans="1:63">
      <c r="A665" s="4">
        <v>664</v>
      </c>
      <c r="B665" s="6">
        <v>104</v>
      </c>
      <c r="C665" s="24" t="s">
        <v>358</v>
      </c>
      <c r="D665" s="13" t="s">
        <v>359</v>
      </c>
      <c r="E665" s="25">
        <v>35.517</v>
      </c>
      <c r="F665" s="25">
        <v>46.1</v>
      </c>
      <c r="G665" s="26">
        <v>12.8</v>
      </c>
      <c r="H665" s="27">
        <v>991.2</v>
      </c>
      <c r="I665" s="3"/>
      <c r="J665" s="13" t="s">
        <v>181</v>
      </c>
      <c r="K665" s="5" t="s">
        <v>182</v>
      </c>
      <c r="L665" s="3"/>
      <c r="M665" s="3"/>
      <c r="N665" s="3"/>
      <c r="O665" s="36" t="s">
        <v>80</v>
      </c>
      <c r="P665" s="7">
        <v>7.5</v>
      </c>
      <c r="Q665" s="3">
        <v>72.2</v>
      </c>
      <c r="R665" s="12"/>
      <c r="S665" s="13"/>
      <c r="T665" s="8">
        <v>39.4</v>
      </c>
      <c r="U665" s="8">
        <v>41</v>
      </c>
      <c r="V665" s="8">
        <v>19.5</v>
      </c>
      <c r="W665" s="3">
        <v>30</v>
      </c>
      <c r="X665" s="5" t="s">
        <v>91</v>
      </c>
      <c r="Y665" s="13" t="s">
        <v>82</v>
      </c>
      <c r="Z665" s="3">
        <v>3</v>
      </c>
      <c r="AA665" s="3">
        <v>3</v>
      </c>
      <c r="AB665" s="9">
        <v>-0.20294084399669</v>
      </c>
      <c r="AC665" s="9">
        <v>0.000256361683990306</v>
      </c>
      <c r="AD665" s="25">
        <v>-0.143100843640673</v>
      </c>
      <c r="AE665" s="25">
        <v>0.0414464168310321</v>
      </c>
      <c r="AF665" s="9">
        <v>0.0598400003560164</v>
      </c>
      <c r="AG665" s="9">
        <v>0.0417027785150223</v>
      </c>
      <c r="AH665" s="25">
        <v>-0.792064967995573</v>
      </c>
      <c r="AI665" s="25">
        <v>0.00154810193074024</v>
      </c>
      <c r="AJ665" s="4">
        <v>0.589124123998878</v>
      </c>
      <c r="AK665" s="4">
        <v>0.00180446361473054</v>
      </c>
      <c r="AL665" s="3">
        <v>0.648964124354898</v>
      </c>
      <c r="AM665" s="3">
        <v>0.0429945187617724</v>
      </c>
      <c r="AN665" s="4">
        <v>0.0645385211375712</v>
      </c>
      <c r="AO665" s="4">
        <v>0.000802777777777777</v>
      </c>
      <c r="AP665" s="3"/>
      <c r="AQ665" s="3"/>
      <c r="AR665" s="4"/>
      <c r="AS665" s="4"/>
      <c r="AT665" s="3"/>
      <c r="AU665" s="3"/>
      <c r="AV665" s="4"/>
      <c r="AW665" s="4"/>
      <c r="AX665" s="3"/>
      <c r="AY665" s="3"/>
      <c r="BJ665" s="3">
        <v>-0.0870113769896297</v>
      </c>
      <c r="BK665" s="3">
        <v>0.00231481481481482</v>
      </c>
    </row>
    <row r="666" s="3" customFormat="1" spans="1:63">
      <c r="A666" s="4">
        <v>665</v>
      </c>
      <c r="B666" s="6">
        <v>104</v>
      </c>
      <c r="C666" s="24" t="s">
        <v>356</v>
      </c>
      <c r="D666" s="13" t="s">
        <v>357</v>
      </c>
      <c r="E666" s="25">
        <v>35.517</v>
      </c>
      <c r="F666" s="25">
        <v>46.1</v>
      </c>
      <c r="G666" s="26">
        <v>12.8</v>
      </c>
      <c r="H666" s="27">
        <v>991.2</v>
      </c>
      <c r="I666" s="3"/>
      <c r="J666" s="13" t="s">
        <v>237</v>
      </c>
      <c r="K666" s="5" t="s">
        <v>78</v>
      </c>
      <c r="L666" s="3"/>
      <c r="M666" s="3"/>
      <c r="N666" s="3"/>
      <c r="O666" s="28" t="s">
        <v>80</v>
      </c>
      <c r="P666" s="7">
        <v>7.3</v>
      </c>
      <c r="Q666" s="3">
        <v>112.2</v>
      </c>
      <c r="R666" s="12"/>
      <c r="S666" s="13"/>
      <c r="T666" s="8">
        <v>34.6</v>
      </c>
      <c r="U666" s="8">
        <v>41.6</v>
      </c>
      <c r="V666" s="8">
        <v>23.8</v>
      </c>
      <c r="W666" s="3">
        <v>3</v>
      </c>
      <c r="X666" s="5" t="s">
        <v>81</v>
      </c>
      <c r="Y666" s="13" t="s">
        <v>82</v>
      </c>
      <c r="Z666" s="3">
        <v>3</v>
      </c>
      <c r="AA666" s="3">
        <v>3</v>
      </c>
      <c r="AB666" s="9">
        <v>0.241162056816888</v>
      </c>
      <c r="AC666" s="9">
        <v>0.000256361683990305</v>
      </c>
      <c r="AD666" s="25">
        <v>0.265703165733006</v>
      </c>
      <c r="AE666" s="25">
        <v>0.00756143667296785</v>
      </c>
      <c r="AF666" s="9">
        <v>0.0245411089161168</v>
      </c>
      <c r="AG666" s="9">
        <v>0.00781779835695817</v>
      </c>
      <c r="AH666" s="25">
        <v>-0.189836353296441</v>
      </c>
      <c r="AI666" s="25">
        <v>0.00190583274895866</v>
      </c>
      <c r="AJ666" s="4">
        <v>0.430998410113326</v>
      </c>
      <c r="AK666" s="4">
        <v>0.00216219443294896</v>
      </c>
      <c r="AL666" s="3">
        <v>0.455539519029451</v>
      </c>
      <c r="AM666" s="3">
        <v>0.00946726942192656</v>
      </c>
      <c r="AN666" s="4">
        <v>0.0789884113186305</v>
      </c>
      <c r="AO666" s="4">
        <v>0.000750609870519795</v>
      </c>
      <c r="AP666" s="3"/>
      <c r="AQ666" s="3"/>
      <c r="AR666" s="4"/>
      <c r="AS666" s="4"/>
      <c r="AT666" s="3"/>
      <c r="AU666" s="3"/>
      <c r="AV666" s="4"/>
      <c r="AW666" s="4"/>
      <c r="AX666" s="3"/>
      <c r="AY666" s="3"/>
      <c r="BJ666" s="3">
        <v>0.22314355131421</v>
      </c>
      <c r="BK666" s="3">
        <v>0.00854166666666667</v>
      </c>
    </row>
    <row r="667" s="3" customFormat="1" spans="1:63">
      <c r="A667" s="4">
        <v>666</v>
      </c>
      <c r="B667" s="6">
        <v>104</v>
      </c>
      <c r="C667" s="24" t="s">
        <v>356</v>
      </c>
      <c r="D667" s="13" t="s">
        <v>357</v>
      </c>
      <c r="E667" s="25">
        <v>35.517</v>
      </c>
      <c r="F667" s="25">
        <v>46.1</v>
      </c>
      <c r="G667" s="26">
        <v>12.8</v>
      </c>
      <c r="H667" s="27">
        <v>991.2</v>
      </c>
      <c r="I667" s="3"/>
      <c r="J667" s="13" t="s">
        <v>237</v>
      </c>
      <c r="K667" s="5" t="s">
        <v>78</v>
      </c>
      <c r="L667" s="3"/>
      <c r="M667" s="3"/>
      <c r="N667" s="3"/>
      <c r="O667" s="28" t="s">
        <v>80</v>
      </c>
      <c r="P667" s="7">
        <v>7.3</v>
      </c>
      <c r="Q667" s="3">
        <v>112.2</v>
      </c>
      <c r="R667" s="12"/>
      <c r="S667" s="13"/>
      <c r="T667" s="8">
        <v>34.6</v>
      </c>
      <c r="U667" s="8">
        <v>41.6</v>
      </c>
      <c r="V667" s="8">
        <v>23.8</v>
      </c>
      <c r="W667" s="3">
        <v>3</v>
      </c>
      <c r="X667" s="5" t="s">
        <v>81</v>
      </c>
      <c r="Y667" s="13" t="s">
        <v>82</v>
      </c>
      <c r="Z667" s="3">
        <v>3</v>
      </c>
      <c r="AA667" s="3">
        <v>3</v>
      </c>
      <c r="AB667" s="9">
        <v>0.0470060423759308</v>
      </c>
      <c r="AC667" s="9">
        <v>0.000256361683990305</v>
      </c>
      <c r="AD667" s="25">
        <v>0.0833816089390512</v>
      </c>
      <c r="AE667" s="25">
        <v>0.00916143667296785</v>
      </c>
      <c r="AF667" s="9">
        <v>0.0363755665631193</v>
      </c>
      <c r="AG667" s="9">
        <v>0.00941779835695818</v>
      </c>
      <c r="AH667" s="25">
        <v>-0.212725635967505</v>
      </c>
      <c r="AI667" s="25">
        <v>0.00958402249083005</v>
      </c>
      <c r="AJ667" s="4">
        <v>0.259731678343431</v>
      </c>
      <c r="AK667" s="4">
        <v>0.00984038417482038</v>
      </c>
      <c r="AL667" s="3">
        <v>0.296107244906557</v>
      </c>
      <c r="AM667" s="3">
        <v>0.018745459163798</v>
      </c>
      <c r="AN667" s="4">
        <v>0.0662493855412007</v>
      </c>
      <c r="AO667" s="4">
        <v>0.000750609870519795</v>
      </c>
      <c r="AP667" s="3"/>
      <c r="AQ667" s="3"/>
      <c r="AR667" s="4"/>
      <c r="AS667" s="4"/>
      <c r="AT667" s="3"/>
      <c r="AU667" s="3"/>
      <c r="AV667" s="4"/>
      <c r="AW667" s="4"/>
      <c r="AX667" s="3"/>
      <c r="AY667" s="3"/>
      <c r="BJ667" s="3">
        <v>0.117783035656383</v>
      </c>
      <c r="BK667" s="3">
        <v>0.00520833333333333</v>
      </c>
    </row>
    <row r="668" s="3" customFormat="1" spans="1:63">
      <c r="A668" s="4">
        <v>667</v>
      </c>
      <c r="B668" s="6">
        <v>104</v>
      </c>
      <c r="C668" s="24" t="s">
        <v>356</v>
      </c>
      <c r="D668" s="13" t="s">
        <v>357</v>
      </c>
      <c r="E668" s="25">
        <v>35.517</v>
      </c>
      <c r="F668" s="25">
        <v>46.1</v>
      </c>
      <c r="G668" s="26">
        <v>12.8</v>
      </c>
      <c r="H668" s="27">
        <v>991.2</v>
      </c>
      <c r="I668" s="3"/>
      <c r="J668" s="13" t="s">
        <v>237</v>
      </c>
      <c r="K668" s="5" t="s">
        <v>78</v>
      </c>
      <c r="L668" s="3"/>
      <c r="M668" s="3"/>
      <c r="N668" s="3"/>
      <c r="O668" s="28" t="s">
        <v>80</v>
      </c>
      <c r="P668" s="7">
        <v>7.5</v>
      </c>
      <c r="Q668" s="3">
        <v>77.1</v>
      </c>
      <c r="R668" s="12"/>
      <c r="S668" s="13"/>
      <c r="T668" s="8">
        <v>39.4</v>
      </c>
      <c r="U668" s="8">
        <v>41</v>
      </c>
      <c r="V668" s="8">
        <v>19.5</v>
      </c>
      <c r="W668" s="3">
        <v>3</v>
      </c>
      <c r="X668" s="5" t="s">
        <v>81</v>
      </c>
      <c r="Y668" s="13" t="s">
        <v>82</v>
      </c>
      <c r="Z668" s="3">
        <v>3</v>
      </c>
      <c r="AA668" s="3">
        <v>3</v>
      </c>
      <c r="AB668" s="9">
        <v>-0.0194180858571017</v>
      </c>
      <c r="AC668" s="9">
        <v>0.000256361683990304</v>
      </c>
      <c r="AD668" s="25">
        <v>0</v>
      </c>
      <c r="AE668" s="25">
        <v>0.01953125</v>
      </c>
      <c r="AF668" s="9">
        <v>0.0194180858570991</v>
      </c>
      <c r="AG668" s="9">
        <v>0.0197876116839902</v>
      </c>
      <c r="AH668" s="25">
        <v>-0.183100069873368</v>
      </c>
      <c r="AI668" s="25">
        <v>0.00574128923952279</v>
      </c>
      <c r="AJ668" s="4">
        <v>0.163681984016268</v>
      </c>
      <c r="AK668" s="4">
        <v>0.00599765092351311</v>
      </c>
      <c r="AL668" s="3">
        <v>0.18310006987337</v>
      </c>
      <c r="AM668" s="3">
        <v>0.0252725392395228</v>
      </c>
      <c r="AN668" s="4">
        <v>0.0132452267500205</v>
      </c>
      <c r="AO668" s="4">
        <v>0.000177777777777778</v>
      </c>
      <c r="AP668" s="3"/>
      <c r="AQ668" s="3"/>
      <c r="AR668" s="4"/>
      <c r="AS668" s="4"/>
      <c r="AT668" s="3"/>
      <c r="AU668" s="3"/>
      <c r="AV668" s="4"/>
      <c r="AW668" s="4"/>
      <c r="AX668" s="3"/>
      <c r="AY668" s="3"/>
      <c r="BJ668" s="3">
        <v>-0.0870113769896297</v>
      </c>
      <c r="BK668" s="3">
        <v>0.00506963575145393</v>
      </c>
    </row>
    <row r="669" s="3" customFormat="1" spans="1:63">
      <c r="A669" s="4">
        <v>668</v>
      </c>
      <c r="B669" s="6">
        <v>104</v>
      </c>
      <c r="C669" s="24" t="s">
        <v>358</v>
      </c>
      <c r="D669" s="13" t="s">
        <v>359</v>
      </c>
      <c r="E669" s="25">
        <v>35.517</v>
      </c>
      <c r="F669" s="25">
        <v>46.1</v>
      </c>
      <c r="G669" s="26">
        <v>12.8</v>
      </c>
      <c r="H669" s="27">
        <v>991.2</v>
      </c>
      <c r="I669" s="3"/>
      <c r="J669" s="13" t="s">
        <v>181</v>
      </c>
      <c r="K669" s="5" t="s">
        <v>182</v>
      </c>
      <c r="L669" s="3"/>
      <c r="M669" s="3"/>
      <c r="N669" s="3"/>
      <c r="O669" s="36" t="s">
        <v>80</v>
      </c>
      <c r="P669" s="7">
        <v>7.3</v>
      </c>
      <c r="Q669" s="3">
        <v>112.2</v>
      </c>
      <c r="R669" s="12"/>
      <c r="S669" s="13"/>
      <c r="T669" s="8">
        <v>34.6</v>
      </c>
      <c r="U669" s="8">
        <v>41.6</v>
      </c>
      <c r="V669" s="8">
        <v>23.8</v>
      </c>
      <c r="W669" s="3">
        <v>30</v>
      </c>
      <c r="X669" s="5" t="s">
        <v>91</v>
      </c>
      <c r="Y669" s="13" t="s">
        <v>82</v>
      </c>
      <c r="Z669" s="3">
        <v>3</v>
      </c>
      <c r="AA669" s="3">
        <v>3</v>
      </c>
      <c r="AB669" s="9">
        <v>-0.646141138184015</v>
      </c>
      <c r="AC669" s="9">
        <v>0.000256361683990305</v>
      </c>
      <c r="AD669" s="25">
        <v>-0.362905493689368</v>
      </c>
      <c r="AE669" s="25">
        <v>0.0114676866729679</v>
      </c>
      <c r="AF669" s="9">
        <v>0.283235644494647</v>
      </c>
      <c r="AG669" s="9">
        <v>0.0117240483569582</v>
      </c>
      <c r="AH669" s="25">
        <v>-0.999420493121609</v>
      </c>
      <c r="AI669" s="25">
        <v>0.00330289656966887</v>
      </c>
      <c r="AJ669" s="4">
        <v>0.353279354937591</v>
      </c>
      <c r="AK669" s="4">
        <v>0.00355925825365919</v>
      </c>
      <c r="AL669" s="3">
        <v>0.636514999432243</v>
      </c>
      <c r="AM669" s="3">
        <v>0.0147705832426368</v>
      </c>
      <c r="AN669" s="4">
        <v>0.0789884113186305</v>
      </c>
      <c r="AO669" s="4">
        <v>0.000910840602774242</v>
      </c>
      <c r="AP669" s="3"/>
      <c r="AQ669" s="3"/>
      <c r="AR669" s="4"/>
      <c r="AS669" s="4"/>
      <c r="AT669" s="3"/>
      <c r="AU669" s="3"/>
      <c r="AV669" s="4"/>
      <c r="AW669" s="4"/>
      <c r="AX669" s="3"/>
      <c r="AY669" s="3"/>
      <c r="BJ669" s="3">
        <v>0.318453731118535</v>
      </c>
      <c r="BK669" s="3">
        <v>0.00796315426997245</v>
      </c>
    </row>
    <row r="670" s="3" customFormat="1" spans="1:63">
      <c r="A670" s="4">
        <v>669</v>
      </c>
      <c r="B670" s="6">
        <v>104</v>
      </c>
      <c r="C670" s="24" t="s">
        <v>358</v>
      </c>
      <c r="D670" s="13" t="s">
        <v>359</v>
      </c>
      <c r="E670" s="25">
        <v>35.517</v>
      </c>
      <c r="F670" s="25">
        <v>46.1</v>
      </c>
      <c r="G670" s="26">
        <v>12.8</v>
      </c>
      <c r="H670" s="27">
        <v>991.2</v>
      </c>
      <c r="I670" s="3"/>
      <c r="J670" s="13" t="s">
        <v>181</v>
      </c>
      <c r="K670" s="5" t="s">
        <v>182</v>
      </c>
      <c r="L670" s="3"/>
      <c r="M670" s="3"/>
      <c r="N670" s="3"/>
      <c r="O670" s="36" t="s">
        <v>80</v>
      </c>
      <c r="P670" s="7">
        <v>7.5</v>
      </c>
      <c r="Q670" s="3">
        <v>77.1</v>
      </c>
      <c r="R670" s="12"/>
      <c r="S670" s="13"/>
      <c r="T670" s="8">
        <v>39.4</v>
      </c>
      <c r="U670" s="8">
        <v>41</v>
      </c>
      <c r="V670" s="8">
        <v>19.5</v>
      </c>
      <c r="W670" s="3">
        <v>30</v>
      </c>
      <c r="X670" s="5" t="s">
        <v>91</v>
      </c>
      <c r="Y670" s="13" t="s">
        <v>82</v>
      </c>
      <c r="Z670" s="3">
        <v>3</v>
      </c>
      <c r="AA670" s="3">
        <v>3</v>
      </c>
      <c r="AB670" s="9">
        <v>-0.155754529409233</v>
      </c>
      <c r="AC670" s="9">
        <v>0.000256361683990304</v>
      </c>
      <c r="AD670" s="25">
        <v>0</v>
      </c>
      <c r="AE670" s="25">
        <v>0.0312499999999999</v>
      </c>
      <c r="AF670" s="9">
        <v>0.15575452940923</v>
      </c>
      <c r="AG670" s="9">
        <v>0.0315063616839902</v>
      </c>
      <c r="AH670" s="25">
        <v>-0.79836359361647</v>
      </c>
      <c r="AI670" s="25">
        <v>0.00408734400460973</v>
      </c>
      <c r="AJ670" s="4">
        <v>0.642609064207241</v>
      </c>
      <c r="AK670" s="4">
        <v>0.00434370568860005</v>
      </c>
      <c r="AL670" s="3">
        <v>0.798363593616471</v>
      </c>
      <c r="AM670" s="3">
        <v>0.0353373440046097</v>
      </c>
      <c r="AN670" s="4">
        <v>0.0645385211375712</v>
      </c>
      <c r="AO670" s="4">
        <v>0.000802777777777777</v>
      </c>
      <c r="AP670" s="3"/>
      <c r="AQ670" s="3"/>
      <c r="AR670" s="4"/>
      <c r="AS670" s="4"/>
      <c r="AT670" s="3"/>
      <c r="AU670" s="3"/>
      <c r="AV670" s="4"/>
      <c r="AW670" s="4"/>
      <c r="AX670" s="3"/>
      <c r="AY670" s="3"/>
      <c r="BJ670" s="3">
        <v>-0.0870113769896297</v>
      </c>
      <c r="BK670" s="3">
        <v>0.00231481481481482</v>
      </c>
    </row>
    <row r="671" s="4" customFormat="1" spans="1:63">
      <c r="A671" s="4">
        <v>670</v>
      </c>
      <c r="B671" s="18">
        <v>105</v>
      </c>
      <c r="C671" s="19" t="s">
        <v>360</v>
      </c>
      <c r="D671" s="5" t="s">
        <v>361</v>
      </c>
      <c r="E671" s="9">
        <v>-6.688</v>
      </c>
      <c r="F671" s="9">
        <v>-36.658</v>
      </c>
      <c r="G671" s="20">
        <v>26</v>
      </c>
      <c r="H671" s="21">
        <v>410</v>
      </c>
      <c r="I671" s="4"/>
      <c r="J671" s="13" t="s">
        <v>181</v>
      </c>
      <c r="K671" s="5" t="s">
        <v>182</v>
      </c>
      <c r="L671" s="4"/>
      <c r="M671" s="4"/>
      <c r="N671" s="4"/>
      <c r="O671" s="36" t="s">
        <v>80</v>
      </c>
      <c r="P671" s="29">
        <v>5.6</v>
      </c>
      <c r="Q671" s="5"/>
      <c r="R671" s="12"/>
      <c r="S671" s="13"/>
      <c r="T671" s="34">
        <v>11.5</v>
      </c>
      <c r="U671" s="34">
        <v>13</v>
      </c>
      <c r="V671" s="34">
        <v>75.5</v>
      </c>
      <c r="W671" s="4">
        <v>20</v>
      </c>
      <c r="X671" s="5" t="s">
        <v>91</v>
      </c>
      <c r="Y671" s="5" t="s">
        <v>82</v>
      </c>
      <c r="Z671" s="4">
        <v>3</v>
      </c>
      <c r="AA671" s="4">
        <v>3</v>
      </c>
      <c r="AB671" s="9">
        <v>-0.550046336919272</v>
      </c>
      <c r="AC671" s="9">
        <v>0.000256361683990305</v>
      </c>
      <c r="AD671" s="9"/>
      <c r="AE671" s="9"/>
      <c r="AF671" s="9"/>
      <c r="AG671" s="9"/>
      <c r="AH671" s="9"/>
      <c r="AI671" s="9"/>
      <c r="AJ671" s="4"/>
      <c r="AK671" s="4"/>
      <c r="AL671" s="4"/>
      <c r="AM671" s="4"/>
      <c r="AN671" s="4">
        <v>0</v>
      </c>
      <c r="AO671" s="4">
        <v>0.000376217392046545</v>
      </c>
      <c r="AP671" s="4"/>
      <c r="AQ671" s="4"/>
      <c r="AR671" s="4"/>
      <c r="AS671" s="4"/>
      <c r="AT671" s="4"/>
      <c r="AU671" s="4"/>
      <c r="AV671" s="4">
        <v>0.0555698511548108</v>
      </c>
      <c r="AW671" s="4">
        <v>0.00559950665344732</v>
      </c>
      <c r="AX671" s="4"/>
      <c r="AY671" s="4"/>
      <c r="BB671" s="4">
        <v>-0.331357135954442</v>
      </c>
      <c r="BC671" s="4">
        <v>0.0069415521310565</v>
      </c>
      <c r="BJ671" s="4">
        <v>0.0919374953256854</v>
      </c>
      <c r="BK671" s="4">
        <v>0.0082304526748971</v>
      </c>
    </row>
    <row r="672" s="4" customFormat="1" spans="1:63">
      <c r="A672" s="4">
        <v>671</v>
      </c>
      <c r="B672" s="18">
        <v>105</v>
      </c>
      <c r="C672" s="19" t="s">
        <v>360</v>
      </c>
      <c r="D672" s="5" t="s">
        <v>361</v>
      </c>
      <c r="E672" s="9">
        <v>-6.688</v>
      </c>
      <c r="F672" s="9">
        <v>-36.658</v>
      </c>
      <c r="G672" s="20">
        <v>26</v>
      </c>
      <c r="H672" s="21">
        <v>410</v>
      </c>
      <c r="I672" s="4"/>
      <c r="J672" s="13" t="s">
        <v>181</v>
      </c>
      <c r="K672" s="5" t="s">
        <v>182</v>
      </c>
      <c r="L672" s="4"/>
      <c r="M672" s="4"/>
      <c r="N672" s="4"/>
      <c r="O672" s="36" t="s">
        <v>80</v>
      </c>
      <c r="P672" s="29">
        <v>5.6</v>
      </c>
      <c r="Q672" s="5"/>
      <c r="R672" s="12"/>
      <c r="S672" s="13"/>
      <c r="T672" s="34">
        <v>11.5</v>
      </c>
      <c r="U672" s="34">
        <v>13</v>
      </c>
      <c r="V672" s="34">
        <v>75.5</v>
      </c>
      <c r="W672" s="4">
        <v>20</v>
      </c>
      <c r="X672" s="5" t="s">
        <v>91</v>
      </c>
      <c r="Y672" s="5" t="s">
        <v>82</v>
      </c>
      <c r="Z672" s="4">
        <v>3</v>
      </c>
      <c r="AA672" s="4">
        <v>3</v>
      </c>
      <c r="AB672" s="9">
        <v>-0.619039208406224</v>
      </c>
      <c r="AC672" s="9">
        <v>0.000256361683990305</v>
      </c>
      <c r="AD672" s="9"/>
      <c r="AE672" s="9"/>
      <c r="AF672" s="9"/>
      <c r="AG672" s="9"/>
      <c r="AH672" s="9"/>
      <c r="AI672" s="9"/>
      <c r="AJ672" s="4"/>
      <c r="AK672" s="4"/>
      <c r="AL672" s="4"/>
      <c r="AM672" s="4"/>
      <c r="AN672" s="4">
        <v>0.0350913198112702</v>
      </c>
      <c r="AO672" s="4">
        <v>0.000376217392046545</v>
      </c>
      <c r="AP672" s="4"/>
      <c r="AQ672" s="4"/>
      <c r="AR672" s="4"/>
      <c r="AS672" s="4"/>
      <c r="AT672" s="4"/>
      <c r="AU672" s="4"/>
      <c r="AV672" s="4">
        <v>-0.0502197569790263</v>
      </c>
      <c r="AW672" s="4">
        <v>0.00559950665344731</v>
      </c>
      <c r="AX672" s="4"/>
      <c r="AY672" s="4"/>
      <c r="BB672" s="4">
        <v>-0.367724780125317</v>
      </c>
      <c r="BC672" s="4">
        <v>0.00694155213105651</v>
      </c>
      <c r="BJ672" s="4">
        <v>0.0575698518214777</v>
      </c>
      <c r="BK672" s="4">
        <v>0.00823045267489712</v>
      </c>
    </row>
    <row r="673" s="4" customFormat="1" spans="1:63">
      <c r="A673" s="4">
        <v>672</v>
      </c>
      <c r="B673" s="18">
        <v>105</v>
      </c>
      <c r="C673" s="19" t="s">
        <v>360</v>
      </c>
      <c r="D673" s="5" t="s">
        <v>361</v>
      </c>
      <c r="E673" s="9">
        <v>-6.688</v>
      </c>
      <c r="F673" s="9">
        <v>-36.658</v>
      </c>
      <c r="G673" s="20">
        <v>26</v>
      </c>
      <c r="H673" s="21">
        <v>410</v>
      </c>
      <c r="I673" s="4"/>
      <c r="J673" s="13" t="s">
        <v>193</v>
      </c>
      <c r="K673" s="5" t="s">
        <v>182</v>
      </c>
      <c r="L673" s="4"/>
      <c r="M673" s="4"/>
      <c r="N673" s="4"/>
      <c r="O673" s="36" t="s">
        <v>80</v>
      </c>
      <c r="P673" s="29">
        <v>5.6</v>
      </c>
      <c r="Q673" s="5"/>
      <c r="R673" s="12"/>
      <c r="S673" s="13"/>
      <c r="T673" s="34">
        <v>11.5</v>
      </c>
      <c r="U673" s="34">
        <v>13</v>
      </c>
      <c r="V673" s="34">
        <v>75.5</v>
      </c>
      <c r="W673" s="4">
        <v>20</v>
      </c>
      <c r="X673" s="5" t="s">
        <v>91</v>
      </c>
      <c r="Y673" s="5" t="s">
        <v>82</v>
      </c>
      <c r="Z673" s="4">
        <v>3</v>
      </c>
      <c r="AA673" s="4">
        <v>3</v>
      </c>
      <c r="AB673" s="9">
        <v>-0.299242894852857</v>
      </c>
      <c r="AC673" s="9">
        <v>0.000256361683990307</v>
      </c>
      <c r="AD673" s="9"/>
      <c r="AE673" s="9"/>
      <c r="AF673" s="9"/>
      <c r="AG673" s="9"/>
      <c r="AH673" s="9"/>
      <c r="AI673" s="9"/>
      <c r="AJ673" s="4"/>
      <c r="AK673" s="4"/>
      <c r="AL673" s="4"/>
      <c r="AM673" s="4"/>
      <c r="AN673" s="4">
        <v>0</v>
      </c>
      <c r="AO673" s="4">
        <v>0.000376217392046545</v>
      </c>
      <c r="AP673" s="4"/>
      <c r="AQ673" s="4"/>
      <c r="AR673" s="4"/>
      <c r="AS673" s="4"/>
      <c r="AT673" s="4"/>
      <c r="AU673" s="4"/>
      <c r="AV673" s="4">
        <v>0.325074392774947</v>
      </c>
      <c r="AW673" s="4">
        <v>0.00559950665344732</v>
      </c>
      <c r="AX673" s="4"/>
      <c r="AY673" s="4"/>
      <c r="BB673" s="4">
        <v>-0.101782694309942</v>
      </c>
      <c r="BC673" s="4">
        <v>0.00694155213105651</v>
      </c>
      <c r="BJ673" s="4">
        <v>0.0851578083403068</v>
      </c>
      <c r="BK673" s="4">
        <v>0.0082304526748971</v>
      </c>
    </row>
    <row r="674" s="4" customFormat="1" spans="1:63">
      <c r="A674" s="4">
        <v>673</v>
      </c>
      <c r="B674" s="18">
        <v>105</v>
      </c>
      <c r="C674" s="19" t="s">
        <v>360</v>
      </c>
      <c r="D674" s="5" t="s">
        <v>361</v>
      </c>
      <c r="E674" s="9">
        <v>-6.688</v>
      </c>
      <c r="F674" s="9">
        <v>-36.658</v>
      </c>
      <c r="G674" s="20">
        <v>26</v>
      </c>
      <c r="H674" s="21">
        <v>410</v>
      </c>
      <c r="I674" s="4"/>
      <c r="J674" s="13" t="s">
        <v>193</v>
      </c>
      <c r="K674" s="5" t="s">
        <v>182</v>
      </c>
      <c r="L674" s="4"/>
      <c r="M674" s="4"/>
      <c r="N674" s="4"/>
      <c r="O674" s="36" t="s">
        <v>80</v>
      </c>
      <c r="P674" s="29">
        <v>5.6</v>
      </c>
      <c r="Q674" s="5"/>
      <c r="R674" s="12"/>
      <c r="S674" s="13"/>
      <c r="T674" s="34">
        <v>11.5</v>
      </c>
      <c r="U674" s="34">
        <v>13</v>
      </c>
      <c r="V674" s="34">
        <v>75.5</v>
      </c>
      <c r="W674" s="4">
        <v>20</v>
      </c>
      <c r="X674" s="5" t="s">
        <v>91</v>
      </c>
      <c r="Y674" s="5" t="s">
        <v>82</v>
      </c>
      <c r="Z674" s="4">
        <v>3</v>
      </c>
      <c r="AA674" s="4">
        <v>3</v>
      </c>
      <c r="AB674" s="9">
        <v>-0.76460614454209</v>
      </c>
      <c r="AC674" s="9">
        <v>0.000256361683990305</v>
      </c>
      <c r="AD674" s="9"/>
      <c r="AE674" s="9"/>
      <c r="AF674" s="9"/>
      <c r="AG674" s="9"/>
      <c r="AH674" s="9"/>
      <c r="AI674" s="9"/>
      <c r="AJ674" s="4"/>
      <c r="AK674" s="4"/>
      <c r="AL674" s="4"/>
      <c r="AM674" s="4"/>
      <c r="AN674" s="4">
        <v>-0.0363676441708747</v>
      </c>
      <c r="AO674" s="4">
        <v>0.000376217392046544</v>
      </c>
      <c r="AP674" s="4"/>
      <c r="AQ674" s="4"/>
      <c r="AR674" s="4"/>
      <c r="AS674" s="4"/>
      <c r="AT674" s="4"/>
      <c r="AU674" s="4"/>
      <c r="AV674" s="4">
        <v>-0.264368942719869</v>
      </c>
      <c r="AW674" s="4">
        <v>0.00559950665344732</v>
      </c>
      <c r="AX674" s="4"/>
      <c r="AY674" s="4"/>
      <c r="BB674" s="4">
        <v>-0.101782694309942</v>
      </c>
      <c r="BC674" s="4">
        <v>0.00694155213105651</v>
      </c>
      <c r="BJ674" s="4">
        <v>0.0505522791628312</v>
      </c>
      <c r="BK674" s="4">
        <v>0.00823045267489713</v>
      </c>
    </row>
    <row r="675" s="3" customFormat="1" ht="16.8" spans="1:49">
      <c r="A675" s="4">
        <v>674</v>
      </c>
      <c r="B675" s="6">
        <v>106</v>
      </c>
      <c r="C675" s="24" t="s">
        <v>362</v>
      </c>
      <c r="D675" s="13" t="s">
        <v>363</v>
      </c>
      <c r="E675" s="25">
        <v>26.917</v>
      </c>
      <c r="F675" s="25">
        <v>80.983</v>
      </c>
      <c r="G675" s="26">
        <v>25</v>
      </c>
      <c r="H675" s="27">
        <v>700</v>
      </c>
      <c r="I675" s="3">
        <v>123</v>
      </c>
      <c r="J675" s="5" t="s">
        <v>77</v>
      </c>
      <c r="K675" s="5" t="s">
        <v>78</v>
      </c>
      <c r="L675" s="3">
        <v>2012</v>
      </c>
      <c r="M675" s="3">
        <v>11</v>
      </c>
      <c r="N675" s="13" t="s">
        <v>108</v>
      </c>
      <c r="O675" s="28" t="s">
        <v>80</v>
      </c>
      <c r="P675" s="12"/>
      <c r="Q675" s="12"/>
      <c r="R675" s="12"/>
      <c r="S675" s="13"/>
      <c r="T675" s="8">
        <v>22</v>
      </c>
      <c r="U675" s="8">
        <v>28</v>
      </c>
      <c r="V675" s="8">
        <v>50</v>
      </c>
      <c r="W675" s="6">
        <v>0.833333333333333</v>
      </c>
      <c r="X675" s="5" t="s">
        <v>81</v>
      </c>
      <c r="Y675" s="13" t="s">
        <v>82</v>
      </c>
      <c r="Z675" s="3">
        <v>15</v>
      </c>
      <c r="AA675" s="3">
        <v>15</v>
      </c>
      <c r="AB675" s="9">
        <v>0.0563000446885326</v>
      </c>
      <c r="AC675" s="9">
        <v>0.000950756732347217</v>
      </c>
      <c r="AD675" s="25">
        <v>0.0635134057223259</v>
      </c>
      <c r="AE675" s="25">
        <v>0.000925225822627266</v>
      </c>
      <c r="AF675" s="9">
        <v>0.0072133610337945</v>
      </c>
      <c r="AG675" s="9">
        <v>0.00187598255497448</v>
      </c>
      <c r="AH675" s="25">
        <v>0.0455486702452609</v>
      </c>
      <c r="AI675" s="25">
        <v>0.000908430537252857</v>
      </c>
      <c r="AJ675" s="4">
        <v>0.0107513744432704</v>
      </c>
      <c r="AK675" s="4">
        <v>0.00185918726960007</v>
      </c>
      <c r="AL675" s="3">
        <v>0.0179647354770576</v>
      </c>
      <c r="AM675" s="3">
        <v>0.00183365635988013</v>
      </c>
      <c r="AN675" s="4">
        <v>-0.00356506616449603</v>
      </c>
      <c r="AO675" s="4">
        <v>4.00415054159127e-5</v>
      </c>
      <c r="AP675" s="3">
        <v>0.0370412716803491</v>
      </c>
      <c r="AQ675" s="3">
        <v>0.00152106324908034</v>
      </c>
      <c r="AR675" s="4">
        <v>0.0407689848989965</v>
      </c>
      <c r="AS675" s="4">
        <v>0.0010974712641738</v>
      </c>
      <c r="AT675" s="3"/>
      <c r="AU675" s="3"/>
      <c r="AV675" s="4"/>
      <c r="AW675" s="4"/>
    </row>
    <row r="676" s="3" customFormat="1" ht="16.8" spans="1:49">
      <c r="A676" s="4">
        <v>675</v>
      </c>
      <c r="B676" s="6">
        <v>106</v>
      </c>
      <c r="C676" s="24" t="s">
        <v>362</v>
      </c>
      <c r="D676" s="13" t="s">
        <v>363</v>
      </c>
      <c r="E676" s="25">
        <v>26.917</v>
      </c>
      <c r="F676" s="25">
        <v>80.983</v>
      </c>
      <c r="G676" s="26">
        <v>25</v>
      </c>
      <c r="H676" s="27">
        <v>700</v>
      </c>
      <c r="I676" s="3">
        <v>123</v>
      </c>
      <c r="J676" s="5" t="s">
        <v>77</v>
      </c>
      <c r="K676" s="5" t="s">
        <v>78</v>
      </c>
      <c r="L676" s="3">
        <v>2016</v>
      </c>
      <c r="M676" s="3">
        <v>11</v>
      </c>
      <c r="N676" s="13" t="s">
        <v>108</v>
      </c>
      <c r="O676" s="28" t="s">
        <v>80</v>
      </c>
      <c r="P676" s="12"/>
      <c r="Q676" s="12"/>
      <c r="R676" s="12"/>
      <c r="S676" s="13"/>
      <c r="T676" s="8">
        <v>22</v>
      </c>
      <c r="U676" s="8">
        <v>28</v>
      </c>
      <c r="V676" s="8">
        <v>50</v>
      </c>
      <c r="W676" s="6">
        <v>3.83333333333333</v>
      </c>
      <c r="X676" s="5" t="s">
        <v>81</v>
      </c>
      <c r="Y676" s="13" t="s">
        <v>82</v>
      </c>
      <c r="Z676" s="3">
        <v>15</v>
      </c>
      <c r="AA676" s="3">
        <v>15</v>
      </c>
      <c r="AB676" s="9">
        <v>0.0891856285062107</v>
      </c>
      <c r="AC676" s="9">
        <v>0.00105712533725371</v>
      </c>
      <c r="AD676" s="25">
        <v>0.0974553361507129</v>
      </c>
      <c r="AE676" s="25">
        <v>0.000903130078369</v>
      </c>
      <c r="AF676" s="9">
        <v>0.00826970764450301</v>
      </c>
      <c r="AG676" s="9">
        <v>0.00196025541562271</v>
      </c>
      <c r="AH676" s="25">
        <v>0.0707040611810531</v>
      </c>
      <c r="AI676" s="25">
        <v>0.00104594928190236</v>
      </c>
      <c r="AJ676" s="4">
        <v>0.0184815673251576</v>
      </c>
      <c r="AK676" s="4">
        <v>0.00210307461915608</v>
      </c>
      <c r="AL676" s="3">
        <v>0.0267512749696603</v>
      </c>
      <c r="AM676" s="3">
        <v>0.00194907936027136</v>
      </c>
      <c r="AN676" s="4">
        <v>-0.00598445831524042</v>
      </c>
      <c r="AO676" s="4">
        <v>7.27018275029973e-5</v>
      </c>
      <c r="AP676" s="3">
        <v>0.0779615414697117</v>
      </c>
      <c r="AQ676" s="3">
        <v>0.00169637542948354</v>
      </c>
      <c r="AR676" s="4">
        <v>0.0634358983590874</v>
      </c>
      <c r="AS676" s="4">
        <v>0.00116234160579224</v>
      </c>
      <c r="AT676" s="3"/>
      <c r="AU676" s="3"/>
      <c r="AV676" s="4"/>
      <c r="AW676" s="4"/>
    </row>
    <row r="677" s="3" customFormat="1" ht="16.8" spans="1:49">
      <c r="A677" s="4">
        <v>676</v>
      </c>
      <c r="B677" s="6">
        <v>106</v>
      </c>
      <c r="C677" s="24" t="s">
        <v>362</v>
      </c>
      <c r="D677" s="13" t="s">
        <v>363</v>
      </c>
      <c r="E677" s="25">
        <v>26.917</v>
      </c>
      <c r="F677" s="25">
        <v>80.983</v>
      </c>
      <c r="G677" s="26">
        <v>25</v>
      </c>
      <c r="H677" s="27">
        <v>700</v>
      </c>
      <c r="I677" s="3">
        <v>123</v>
      </c>
      <c r="J677" s="5" t="s">
        <v>77</v>
      </c>
      <c r="K677" s="5" t="s">
        <v>78</v>
      </c>
      <c r="L677" s="3">
        <v>2012</v>
      </c>
      <c r="M677" s="3">
        <v>11</v>
      </c>
      <c r="N677" s="13" t="s">
        <v>108</v>
      </c>
      <c r="O677" s="28" t="s">
        <v>80</v>
      </c>
      <c r="P677" s="12"/>
      <c r="Q677" s="12"/>
      <c r="R677" s="12"/>
      <c r="S677" s="13"/>
      <c r="T677" s="8">
        <v>22</v>
      </c>
      <c r="U677" s="8">
        <v>28</v>
      </c>
      <c r="V677" s="8">
        <v>50</v>
      </c>
      <c r="W677" s="6">
        <v>0.833333333333333</v>
      </c>
      <c r="X677" s="5" t="s">
        <v>81</v>
      </c>
      <c r="Y677" s="13" t="s">
        <v>82</v>
      </c>
      <c r="Z677" s="3">
        <v>15</v>
      </c>
      <c r="AA677" s="3">
        <v>15</v>
      </c>
      <c r="AB677" s="9">
        <v>0.0850790092385759</v>
      </c>
      <c r="AC677" s="9">
        <v>0.00109214678037203</v>
      </c>
      <c r="AD677" s="25">
        <v>0.0849932128333927</v>
      </c>
      <c r="AE677" s="25">
        <v>0.000877945641328691</v>
      </c>
      <c r="AF677" s="9">
        <v>-8.57964051840266e-5</v>
      </c>
      <c r="AG677" s="9">
        <v>0.00197009242170072</v>
      </c>
      <c r="AH677" s="25">
        <v>0.0682292212016542</v>
      </c>
      <c r="AI677" s="25">
        <v>0.00120064937745824</v>
      </c>
      <c r="AJ677" s="4">
        <v>0.0168497880369207</v>
      </c>
      <c r="AK677" s="4">
        <v>0.00229279615783026</v>
      </c>
      <c r="AL677" s="3">
        <v>0.0167639916317353</v>
      </c>
      <c r="AM677" s="3">
        <v>0.00207859501878693</v>
      </c>
      <c r="AN677" s="4">
        <v>-0.00606429996751125</v>
      </c>
      <c r="AO677" s="4">
        <v>4.76196123626304e-5</v>
      </c>
      <c r="AP677" s="3">
        <v>0.0672522270091675</v>
      </c>
      <c r="AQ677" s="3">
        <v>0.00184339519452182</v>
      </c>
      <c r="AR677" s="4">
        <v>0.0703043470847623</v>
      </c>
      <c r="AS677" s="4">
        <v>0.00126182489769195</v>
      </c>
      <c r="AT677" s="3"/>
      <c r="AU677" s="3"/>
      <c r="AV677" s="4"/>
      <c r="AW677" s="4"/>
    </row>
    <row r="678" s="3" customFormat="1" ht="16.8" spans="1:49">
      <c r="A678" s="4">
        <v>677</v>
      </c>
      <c r="B678" s="6">
        <v>106</v>
      </c>
      <c r="C678" s="24" t="s">
        <v>362</v>
      </c>
      <c r="D678" s="13" t="s">
        <v>363</v>
      </c>
      <c r="E678" s="25">
        <v>26.917</v>
      </c>
      <c r="F678" s="25">
        <v>80.983</v>
      </c>
      <c r="G678" s="26">
        <v>25</v>
      </c>
      <c r="H678" s="27">
        <v>700</v>
      </c>
      <c r="I678" s="3">
        <v>123</v>
      </c>
      <c r="J678" s="5" t="s">
        <v>77</v>
      </c>
      <c r="K678" s="5" t="s">
        <v>78</v>
      </c>
      <c r="L678" s="3">
        <v>2016</v>
      </c>
      <c r="M678" s="3">
        <v>11</v>
      </c>
      <c r="N678" s="13" t="s">
        <v>108</v>
      </c>
      <c r="O678" s="28" t="s">
        <v>80</v>
      </c>
      <c r="P678" s="12"/>
      <c r="Q678" s="12"/>
      <c r="R678" s="12"/>
      <c r="S678" s="13"/>
      <c r="T678" s="8">
        <v>22</v>
      </c>
      <c r="U678" s="8">
        <v>28</v>
      </c>
      <c r="V678" s="8">
        <v>50</v>
      </c>
      <c r="W678" s="6">
        <v>3.83333333333333</v>
      </c>
      <c r="X678" s="5" t="s">
        <v>81</v>
      </c>
      <c r="Y678" s="13" t="s">
        <v>82</v>
      </c>
      <c r="Z678" s="3">
        <v>15</v>
      </c>
      <c r="AA678" s="3">
        <v>15</v>
      </c>
      <c r="AB678" s="9">
        <v>0.131724707399574</v>
      </c>
      <c r="AC678" s="9">
        <v>0.00118462730545168</v>
      </c>
      <c r="AD678" s="25">
        <v>0.133531392624523</v>
      </c>
      <c r="AE678" s="25">
        <v>0.00110826879228146</v>
      </c>
      <c r="AF678" s="9">
        <v>0.00180668522494861</v>
      </c>
      <c r="AG678" s="9">
        <v>0.00229289609773314</v>
      </c>
      <c r="AH678" s="25">
        <v>0.120401101797851</v>
      </c>
      <c r="AI678" s="25">
        <v>0.00119456256291307</v>
      </c>
      <c r="AJ678" s="4">
        <v>0.0113236056017221</v>
      </c>
      <c r="AK678" s="4">
        <v>0.00237918986836475</v>
      </c>
      <c r="AL678" s="3">
        <v>0.0131302908266734</v>
      </c>
      <c r="AM678" s="3">
        <v>0.00230283135519451</v>
      </c>
      <c r="AN678" s="4">
        <v>-0.0185534078957478</v>
      </c>
      <c r="AO678" s="4">
        <v>9.11106151654217e-5</v>
      </c>
      <c r="AP678" s="3">
        <v>0.107796570455708</v>
      </c>
      <c r="AQ678" s="3">
        <v>0.00242432623144816</v>
      </c>
      <c r="AR678" s="4">
        <v>0.0555578816292227</v>
      </c>
      <c r="AS678" s="4">
        <v>0.00136118323159283</v>
      </c>
      <c r="AT678" s="3"/>
      <c r="AU678" s="3"/>
      <c r="AV678" s="4"/>
      <c r="AW678" s="4"/>
    </row>
    <row r="679" s="4" customFormat="1" spans="1:63">
      <c r="A679" s="4">
        <v>678</v>
      </c>
      <c r="B679" s="18">
        <v>107</v>
      </c>
      <c r="C679" s="19" t="s">
        <v>364</v>
      </c>
      <c r="D679" s="5" t="s">
        <v>365</v>
      </c>
      <c r="E679" s="9">
        <v>24.248</v>
      </c>
      <c r="F679" s="9">
        <v>83.096</v>
      </c>
      <c r="G679" s="20">
        <v>27</v>
      </c>
      <c r="H679" s="21">
        <v>1215</v>
      </c>
      <c r="I679" s="4">
        <v>338</v>
      </c>
      <c r="J679" s="13" t="s">
        <v>188</v>
      </c>
      <c r="K679" s="5" t="s">
        <v>182</v>
      </c>
      <c r="L679" s="4">
        <v>2013</v>
      </c>
      <c r="M679" s="4">
        <v>1</v>
      </c>
      <c r="N679" s="5" t="s">
        <v>79</v>
      </c>
      <c r="O679" s="36" t="s">
        <v>80</v>
      </c>
      <c r="P679" s="29">
        <v>6.48</v>
      </c>
      <c r="Q679" s="4">
        <v>18.1933</v>
      </c>
      <c r="R679" s="4">
        <v>1.036</v>
      </c>
      <c r="S679" s="13">
        <v>17.5611003861004</v>
      </c>
      <c r="T679" s="21">
        <v>22</v>
      </c>
      <c r="U679" s="21">
        <v>22</v>
      </c>
      <c r="V679" s="21">
        <v>56</v>
      </c>
      <c r="W679" s="4"/>
      <c r="X679" s="4"/>
      <c r="Y679" s="5" t="s">
        <v>82</v>
      </c>
      <c r="Z679" s="4">
        <v>5</v>
      </c>
      <c r="AA679" s="4">
        <v>5</v>
      </c>
      <c r="AB679" s="9">
        <v>0.232556876847837</v>
      </c>
      <c r="AC679" s="9">
        <v>0.00125943662078625</v>
      </c>
      <c r="AD679" s="9">
        <v>0.203314843304648</v>
      </c>
      <c r="AE679" s="9">
        <v>0.00123546192436857</v>
      </c>
      <c r="AF679" s="9">
        <v>-0.0292420335431892</v>
      </c>
      <c r="AG679" s="9">
        <v>0.00249489854515482</v>
      </c>
      <c r="AH679" s="9">
        <v>0.263965853640038</v>
      </c>
      <c r="AI679" s="9">
        <v>0.00159641789195971</v>
      </c>
      <c r="AJ679" s="4">
        <v>-0.0314089767922001</v>
      </c>
      <c r="AK679" s="4">
        <v>0.00285585451274596</v>
      </c>
      <c r="AL679" s="4">
        <v>-0.0606510103353889</v>
      </c>
      <c r="AM679" s="4">
        <v>0.00283187981632829</v>
      </c>
      <c r="AN679" s="4">
        <v>0.0183491386681964</v>
      </c>
      <c r="AO679" s="4">
        <v>0.0007071854912764</v>
      </c>
      <c r="AP679" s="4">
        <v>0.265403893156207</v>
      </c>
      <c r="AQ679" s="4">
        <v>0.00192363507298397</v>
      </c>
      <c r="AR679" s="4">
        <v>0.238080211086492</v>
      </c>
      <c r="AS679" s="4">
        <v>0.00142167826542024</v>
      </c>
      <c r="AT679" s="4"/>
      <c r="AU679" s="4"/>
      <c r="AV679" s="4"/>
      <c r="AW679" s="4"/>
      <c r="AX679" s="4"/>
      <c r="AY679" s="4"/>
      <c r="BJ679" s="4">
        <v>-0.0800427076735365</v>
      </c>
      <c r="BK679" s="4">
        <v>0.00612261669953978</v>
      </c>
    </row>
    <row r="680" s="4" customFormat="1" spans="1:63">
      <c r="A680" s="4">
        <v>679</v>
      </c>
      <c r="B680" s="18">
        <v>107</v>
      </c>
      <c r="C680" s="19" t="s">
        <v>364</v>
      </c>
      <c r="D680" s="5" t="s">
        <v>365</v>
      </c>
      <c r="E680" s="9">
        <v>24.248</v>
      </c>
      <c r="F680" s="9">
        <v>83.096</v>
      </c>
      <c r="G680" s="20">
        <v>27</v>
      </c>
      <c r="H680" s="21">
        <v>1215</v>
      </c>
      <c r="I680" s="4">
        <v>313</v>
      </c>
      <c r="J680" s="13" t="s">
        <v>188</v>
      </c>
      <c r="K680" s="5" t="s">
        <v>182</v>
      </c>
      <c r="L680" s="4">
        <v>2013</v>
      </c>
      <c r="M680" s="4">
        <v>1</v>
      </c>
      <c r="N680" s="5" t="s">
        <v>79</v>
      </c>
      <c r="O680" s="36" t="s">
        <v>80</v>
      </c>
      <c r="P680" s="29">
        <v>6.84</v>
      </c>
      <c r="Q680" s="4">
        <v>11.9324</v>
      </c>
      <c r="R680" s="4">
        <v>0.5437</v>
      </c>
      <c r="S680" s="13">
        <v>21.9466617620011</v>
      </c>
      <c r="T680" s="21">
        <v>22</v>
      </c>
      <c r="U680" s="21">
        <v>22</v>
      </c>
      <c r="V680" s="21">
        <v>56</v>
      </c>
      <c r="W680" s="4">
        <v>33</v>
      </c>
      <c r="X680" s="13" t="s">
        <v>141</v>
      </c>
      <c r="Y680" s="5" t="s">
        <v>82</v>
      </c>
      <c r="Z680" s="4">
        <v>5</v>
      </c>
      <c r="AA680" s="4">
        <v>5</v>
      </c>
      <c r="AB680" s="9">
        <v>0.118821328559209</v>
      </c>
      <c r="AC680" s="9">
        <v>0.000945085732236003</v>
      </c>
      <c r="AD680" s="9">
        <v>0.131264994364044</v>
      </c>
      <c r="AE680" s="9">
        <v>0.00109955130029054</v>
      </c>
      <c r="AF680" s="9">
        <v>0.0124436658048352</v>
      </c>
      <c r="AG680" s="9">
        <v>0.00204463703252655</v>
      </c>
      <c r="AH680" s="9">
        <v>0.263226444030798</v>
      </c>
      <c r="AI680" s="9">
        <v>0.000719121166044534</v>
      </c>
      <c r="AJ680" s="4">
        <v>-0.144405115471589</v>
      </c>
      <c r="AK680" s="4">
        <v>0.00166420689828054</v>
      </c>
      <c r="AL680" s="4">
        <v>-0.131961449666756</v>
      </c>
      <c r="AM680" s="4">
        <v>0.00181867246633508</v>
      </c>
      <c r="AN680" s="4">
        <v>0.0101819061451195</v>
      </c>
      <c r="AO680" s="4">
        <v>0.00034261347511603</v>
      </c>
      <c r="AP680" s="4">
        <v>0.326994743856081</v>
      </c>
      <c r="AQ680" s="4">
        <v>0.00108481051908282</v>
      </c>
      <c r="AR680" s="4">
        <v>0.248914151453282</v>
      </c>
      <c r="AS680" s="4">
        <v>0.00128122322828458</v>
      </c>
      <c r="AT680" s="4"/>
      <c r="AU680" s="4"/>
      <c r="AV680" s="4"/>
      <c r="AW680" s="4"/>
      <c r="AX680" s="4"/>
      <c r="AY680" s="4"/>
      <c r="BJ680" s="4">
        <v>-0.0741079721537217</v>
      </c>
      <c r="BK680" s="4">
        <v>0.00220384011592803</v>
      </c>
    </row>
    <row r="681" s="4" customFormat="1" spans="1:63">
      <c r="A681" s="4">
        <v>680</v>
      </c>
      <c r="B681" s="18">
        <v>107</v>
      </c>
      <c r="C681" s="19" t="s">
        <v>364</v>
      </c>
      <c r="D681" s="5" t="s">
        <v>365</v>
      </c>
      <c r="E681" s="9">
        <v>24.248</v>
      </c>
      <c r="F681" s="9">
        <v>83.096</v>
      </c>
      <c r="G681" s="20">
        <v>27</v>
      </c>
      <c r="H681" s="21">
        <v>1215</v>
      </c>
      <c r="I681" s="4">
        <v>296</v>
      </c>
      <c r="J681" s="13" t="s">
        <v>188</v>
      </c>
      <c r="K681" s="5" t="s">
        <v>182</v>
      </c>
      <c r="L681" s="4">
        <v>2013</v>
      </c>
      <c r="M681" s="4">
        <v>1</v>
      </c>
      <c r="N681" s="5" t="s">
        <v>79</v>
      </c>
      <c r="O681" s="36" t="s">
        <v>80</v>
      </c>
      <c r="P681" s="29">
        <v>6.36</v>
      </c>
      <c r="Q681" s="4">
        <v>21.7456</v>
      </c>
      <c r="R681" s="4">
        <v>1.2484</v>
      </c>
      <c r="S681" s="13">
        <v>17.4187760333227</v>
      </c>
      <c r="T681" s="21">
        <v>22</v>
      </c>
      <c r="U681" s="21">
        <v>22</v>
      </c>
      <c r="V681" s="21">
        <v>56</v>
      </c>
      <c r="W681" s="4"/>
      <c r="X681" s="4"/>
      <c r="Y681" s="5" t="s">
        <v>82</v>
      </c>
      <c r="Z681" s="4">
        <v>5</v>
      </c>
      <c r="AA681" s="4">
        <v>5</v>
      </c>
      <c r="AB681" s="9">
        <v>0.173977668675447</v>
      </c>
      <c r="AC681" s="9">
        <v>0.00116986613097475</v>
      </c>
      <c r="AD681" s="9">
        <v>0.257417816864844</v>
      </c>
      <c r="AE681" s="9">
        <v>0.00117863773776529</v>
      </c>
      <c r="AF681" s="9">
        <v>0.0834401481893929</v>
      </c>
      <c r="AG681" s="9">
        <v>0.00234850386874005</v>
      </c>
      <c r="AH681" s="9">
        <v>0.236529389486974</v>
      </c>
      <c r="AI681" s="9">
        <v>0.00258594078874899</v>
      </c>
      <c r="AJ681" s="4">
        <v>-0.0625517208115261</v>
      </c>
      <c r="AK681" s="4">
        <v>0.00375580691972373</v>
      </c>
      <c r="AL681" s="4">
        <v>0.0208884273778729</v>
      </c>
      <c r="AM681" s="4">
        <v>0.00376457852651427</v>
      </c>
      <c r="AN681" s="4">
        <v>0.0415764268457402</v>
      </c>
      <c r="AO681" s="4">
        <v>0.000593396003576341</v>
      </c>
      <c r="AP681" s="4">
        <v>0.273747726545023</v>
      </c>
      <c r="AQ681" s="4">
        <v>0.00136927279687572</v>
      </c>
      <c r="AR681" s="4">
        <v>0.233261681479794</v>
      </c>
      <c r="AS681" s="4">
        <v>0.0012559403689591</v>
      </c>
      <c r="AT681" s="4"/>
      <c r="AU681" s="4"/>
      <c r="AV681" s="4"/>
      <c r="AW681" s="4"/>
      <c r="AX681" s="4">
        <v>0.00850739856491231</v>
      </c>
      <c r="AY681" s="4">
        <v>0.00242949378633319</v>
      </c>
      <c r="BJ681" s="4">
        <v>-0.0800427076735365</v>
      </c>
      <c r="BK681" s="4">
        <v>0.00612261669953978</v>
      </c>
    </row>
    <row r="682" s="4" customFormat="1" spans="1:63">
      <c r="A682" s="4">
        <v>681</v>
      </c>
      <c r="B682" s="18">
        <v>107</v>
      </c>
      <c r="C682" s="19" t="s">
        <v>364</v>
      </c>
      <c r="D682" s="5" t="s">
        <v>365</v>
      </c>
      <c r="E682" s="9">
        <v>24.248</v>
      </c>
      <c r="F682" s="9">
        <v>83.096</v>
      </c>
      <c r="G682" s="20">
        <v>27</v>
      </c>
      <c r="H682" s="21">
        <v>1215</v>
      </c>
      <c r="I682" s="4">
        <v>338</v>
      </c>
      <c r="J682" s="13" t="s">
        <v>188</v>
      </c>
      <c r="K682" s="5" t="s">
        <v>182</v>
      </c>
      <c r="L682" s="4">
        <v>2013</v>
      </c>
      <c r="M682" s="4">
        <v>1</v>
      </c>
      <c r="N682" s="5" t="s">
        <v>79</v>
      </c>
      <c r="O682" s="28" t="s">
        <v>136</v>
      </c>
      <c r="P682" s="29">
        <v>6.79</v>
      </c>
      <c r="Q682" s="4">
        <v>13.7663</v>
      </c>
      <c r="R682" s="4">
        <v>0.6853</v>
      </c>
      <c r="S682" s="13">
        <v>20.0879906610244</v>
      </c>
      <c r="T682" s="21">
        <v>22</v>
      </c>
      <c r="U682" s="21">
        <v>22</v>
      </c>
      <c r="V682" s="21">
        <v>56</v>
      </c>
      <c r="W682" s="4"/>
      <c r="X682" s="4"/>
      <c r="Y682" s="5" t="s">
        <v>82</v>
      </c>
      <c r="Z682" s="4">
        <v>5</v>
      </c>
      <c r="AA682" s="4">
        <v>5</v>
      </c>
      <c r="AB682" s="9">
        <v>0.122102710832844</v>
      </c>
      <c r="AC682" s="9">
        <v>0.000876285759118057</v>
      </c>
      <c r="AD682" s="9">
        <v>0.183517661740783</v>
      </c>
      <c r="AE682" s="9">
        <v>0.00110312918122145</v>
      </c>
      <c r="AF682" s="9">
        <v>0.0614149509079388</v>
      </c>
      <c r="AG682" s="9">
        <v>0.0019794149403395</v>
      </c>
      <c r="AH682" s="9">
        <v>0.25977432940745</v>
      </c>
      <c r="AI682" s="9">
        <v>0.00108889957713452</v>
      </c>
      <c r="AJ682" s="4">
        <v>-0.137671618574605</v>
      </c>
      <c r="AK682" s="4">
        <v>0.00196518533625257</v>
      </c>
      <c r="AL682" s="4">
        <v>-0.0762566676666706</v>
      </c>
      <c r="AM682" s="4">
        <v>0.00219202875835596</v>
      </c>
      <c r="AN682" s="4">
        <v>0.0102565001671891</v>
      </c>
      <c r="AO682" s="4">
        <v>0.000536746178760853</v>
      </c>
      <c r="AP682" s="4">
        <v>0.278299215167604</v>
      </c>
      <c r="AQ682" s="4">
        <v>0.00129689103301475</v>
      </c>
      <c r="AR682" s="4">
        <v>0.222182984174552</v>
      </c>
      <c r="AS682" s="4">
        <v>0.000915934028002093</v>
      </c>
      <c r="AT682" s="4"/>
      <c r="AU682" s="4"/>
      <c r="AV682" s="4"/>
      <c r="AW682" s="4"/>
      <c r="AX682" s="4">
        <v>-0.00725748028865897</v>
      </c>
      <c r="AY682" s="4">
        <v>0.00274232471138589</v>
      </c>
      <c r="BJ682" s="4">
        <v>-0.0741079721537217</v>
      </c>
      <c r="BK682" s="4">
        <v>0.00220384011592803</v>
      </c>
    </row>
    <row r="683" s="4" customFormat="1" spans="1:63">
      <c r="A683" s="4">
        <v>682</v>
      </c>
      <c r="B683" s="18">
        <v>107</v>
      </c>
      <c r="C683" s="19" t="s">
        <v>364</v>
      </c>
      <c r="D683" s="5" t="s">
        <v>365</v>
      </c>
      <c r="E683" s="9">
        <v>24.248</v>
      </c>
      <c r="F683" s="9">
        <v>83.096</v>
      </c>
      <c r="G683" s="20">
        <v>27</v>
      </c>
      <c r="H683" s="21">
        <v>1215</v>
      </c>
      <c r="I683" s="4">
        <v>313</v>
      </c>
      <c r="J683" s="13" t="s">
        <v>188</v>
      </c>
      <c r="K683" s="5" t="s">
        <v>182</v>
      </c>
      <c r="L683" s="4">
        <v>2013</v>
      </c>
      <c r="M683" s="4">
        <v>1</v>
      </c>
      <c r="N683" s="5" t="s">
        <v>79</v>
      </c>
      <c r="O683" s="28" t="s">
        <v>136</v>
      </c>
      <c r="P683" s="29">
        <v>6.58</v>
      </c>
      <c r="Q683" s="4">
        <v>12.3466</v>
      </c>
      <c r="R683" s="4">
        <v>0.6256</v>
      </c>
      <c r="S683" s="13">
        <v>19.7356138107417</v>
      </c>
      <c r="T683" s="21">
        <v>22</v>
      </c>
      <c r="U683" s="21">
        <v>22</v>
      </c>
      <c r="V683" s="21">
        <v>56</v>
      </c>
      <c r="W683" s="4">
        <v>33</v>
      </c>
      <c r="X683" s="13" t="s">
        <v>141</v>
      </c>
      <c r="Y683" s="5" t="s">
        <v>82</v>
      </c>
      <c r="Z683" s="4">
        <v>5</v>
      </c>
      <c r="AA683" s="4">
        <v>5</v>
      </c>
      <c r="AB683" s="9">
        <v>0.251315012131653</v>
      </c>
      <c r="AC683" s="9">
        <v>0.000844836073345623</v>
      </c>
      <c r="AD683" s="9">
        <v>0.127500366306248</v>
      </c>
      <c r="AE683" s="9">
        <v>0.00100390644776688</v>
      </c>
      <c r="AF683" s="9">
        <v>-0.123814645825403</v>
      </c>
      <c r="AG683" s="9">
        <v>0.0018487425211125</v>
      </c>
      <c r="AH683" s="9">
        <v>0.266909517749561</v>
      </c>
      <c r="AI683" s="9">
        <v>0.00226577782624398</v>
      </c>
      <c r="AJ683" s="4">
        <v>-0.0155945056179102</v>
      </c>
      <c r="AK683" s="4">
        <v>0.0031106138995896</v>
      </c>
      <c r="AL683" s="4">
        <v>-0.139409151443314</v>
      </c>
      <c r="AM683" s="4">
        <v>0.00326968427401086</v>
      </c>
      <c r="AN683" s="4">
        <v>0.0240251795869898</v>
      </c>
      <c r="AO683" s="4">
        <v>0.000519663258197625</v>
      </c>
      <c r="AP683" s="4">
        <v>0.412367912557479</v>
      </c>
      <c r="AQ683" s="4">
        <v>0.00146683318753513</v>
      </c>
      <c r="AR683" s="4">
        <v>0.358639305451548</v>
      </c>
      <c r="AS683" s="4">
        <v>0.000991874782328513</v>
      </c>
      <c r="AT683" s="4"/>
      <c r="AU683" s="4"/>
      <c r="AV683" s="4"/>
      <c r="AW683" s="4"/>
      <c r="AX683" s="4">
        <v>0.000976994192487222</v>
      </c>
      <c r="AY683" s="4">
        <v>0.00304404457198006</v>
      </c>
      <c r="BJ683" s="4">
        <v>-0.0800427076735365</v>
      </c>
      <c r="BK683" s="4">
        <v>0.00612261669953978</v>
      </c>
    </row>
    <row r="684" s="4" customFormat="1" spans="1:63">
      <c r="A684" s="4">
        <v>683</v>
      </c>
      <c r="B684" s="18">
        <v>107</v>
      </c>
      <c r="C684" s="19" t="s">
        <v>364</v>
      </c>
      <c r="D684" s="5" t="s">
        <v>365</v>
      </c>
      <c r="E684" s="9">
        <v>24.248</v>
      </c>
      <c r="F684" s="9">
        <v>83.096</v>
      </c>
      <c r="G684" s="20">
        <v>27</v>
      </c>
      <c r="H684" s="21">
        <v>1215</v>
      </c>
      <c r="I684" s="4">
        <v>296</v>
      </c>
      <c r="J684" s="13" t="s">
        <v>188</v>
      </c>
      <c r="K684" s="5" t="s">
        <v>182</v>
      </c>
      <c r="L684" s="4">
        <v>2013</v>
      </c>
      <c r="M684" s="4">
        <v>1</v>
      </c>
      <c r="N684" s="5" t="s">
        <v>79</v>
      </c>
      <c r="O684" s="28" t="s">
        <v>136</v>
      </c>
      <c r="P684" s="29">
        <v>6.92</v>
      </c>
      <c r="Q684" s="4">
        <v>8.78633</v>
      </c>
      <c r="R684" s="4">
        <v>0.3583</v>
      </c>
      <c r="S684" s="13">
        <v>24.5222718392409</v>
      </c>
      <c r="T684" s="21">
        <v>22</v>
      </c>
      <c r="U684" s="21">
        <v>22</v>
      </c>
      <c r="V684" s="21">
        <v>56</v>
      </c>
      <c r="W684" s="4"/>
      <c r="X684" s="4"/>
      <c r="Y684" s="5" t="s">
        <v>82</v>
      </c>
      <c r="Z684" s="4">
        <v>5</v>
      </c>
      <c r="AA684" s="4">
        <v>5</v>
      </c>
      <c r="AB684" s="9">
        <v>0.327214039490651</v>
      </c>
      <c r="AC684" s="9">
        <v>0.00116705606581155</v>
      </c>
      <c r="AD684" s="9">
        <v>0.138514898873727</v>
      </c>
      <c r="AE684" s="9">
        <v>0.00105718301118538</v>
      </c>
      <c r="AF684" s="9">
        <v>-0.188699140616927</v>
      </c>
      <c r="AG684" s="9">
        <v>0.00222423907699695</v>
      </c>
      <c r="AH684" s="9">
        <v>0.249408518988229</v>
      </c>
      <c r="AI684" s="9">
        <v>0.000723368261010157</v>
      </c>
      <c r="AJ684" s="4">
        <v>0.0778055205024232</v>
      </c>
      <c r="AK684" s="4">
        <v>0.00189042432682171</v>
      </c>
      <c r="AL684" s="4">
        <v>-0.110893620114503</v>
      </c>
      <c r="AM684" s="4">
        <v>0.00178055127219554</v>
      </c>
      <c r="AN684" s="4">
        <v>0.00719945514285433</v>
      </c>
      <c r="AO684" s="4">
        <v>0.000369557635249713</v>
      </c>
      <c r="AP684" s="4">
        <v>0.352451693035088</v>
      </c>
      <c r="AQ684" s="4">
        <v>0.0010080053089113</v>
      </c>
      <c r="AR684" s="4">
        <v>0.280445226768962</v>
      </c>
      <c r="AS684" s="4">
        <v>0.00119286594915794</v>
      </c>
      <c r="AT684" s="4"/>
      <c r="AU684" s="4"/>
      <c r="AV684" s="4"/>
      <c r="AW684" s="4"/>
      <c r="AX684" s="4">
        <v>0.0126045313421448</v>
      </c>
      <c r="AY684" s="4">
        <v>0.00361888879436122</v>
      </c>
      <c r="BJ684" s="4">
        <v>-0.0741079721537217</v>
      </c>
      <c r="BK684" s="4">
        <v>0.00220384011592803</v>
      </c>
    </row>
    <row r="685" s="4" customFormat="1" spans="1:63">
      <c r="A685" s="4">
        <v>684</v>
      </c>
      <c r="B685" s="18">
        <v>107</v>
      </c>
      <c r="C685" s="19" t="s">
        <v>364</v>
      </c>
      <c r="D685" s="5" t="s">
        <v>365</v>
      </c>
      <c r="E685" s="9">
        <v>24.248</v>
      </c>
      <c r="F685" s="9">
        <v>83.096</v>
      </c>
      <c r="G685" s="20">
        <v>27</v>
      </c>
      <c r="H685" s="21">
        <v>1215</v>
      </c>
      <c r="I685" s="4">
        <v>338</v>
      </c>
      <c r="J685" s="13" t="s">
        <v>188</v>
      </c>
      <c r="K685" s="5" t="s">
        <v>182</v>
      </c>
      <c r="L685" s="4">
        <v>2013</v>
      </c>
      <c r="M685" s="4">
        <v>6</v>
      </c>
      <c r="N685" s="5" t="s">
        <v>96</v>
      </c>
      <c r="O685" s="36" t="s">
        <v>80</v>
      </c>
      <c r="P685" s="29">
        <v>6.51</v>
      </c>
      <c r="Q685" s="4">
        <v>14.8476</v>
      </c>
      <c r="R685" s="4">
        <v>1.0019</v>
      </c>
      <c r="S685" s="13">
        <v>14.8194430581894</v>
      </c>
      <c r="T685" s="21">
        <v>22</v>
      </c>
      <c r="U685" s="21">
        <v>22</v>
      </c>
      <c r="V685" s="21">
        <v>56</v>
      </c>
      <c r="W685" s="4"/>
      <c r="X685" s="4"/>
      <c r="Y685" s="5" t="s">
        <v>82</v>
      </c>
      <c r="Z685" s="4">
        <v>5</v>
      </c>
      <c r="AA685" s="4">
        <v>5</v>
      </c>
      <c r="AB685" s="9">
        <v>0.278848744071777</v>
      </c>
      <c r="AC685" s="9">
        <v>0.00126168548482838</v>
      </c>
      <c r="AD685" s="9">
        <v>0.188121174048189</v>
      </c>
      <c r="AE685" s="9">
        <v>0.00157880365860991</v>
      </c>
      <c r="AF685" s="9">
        <v>-0.0907275700235864</v>
      </c>
      <c r="AG685" s="9">
        <v>0.00284048914343828</v>
      </c>
      <c r="AH685" s="9">
        <v>0.170691149040297</v>
      </c>
      <c r="AI685" s="9">
        <v>0.00166191807240851</v>
      </c>
      <c r="AJ685" s="4">
        <v>0.10815759503148</v>
      </c>
      <c r="AK685" s="4">
        <v>0.0029236035572369</v>
      </c>
      <c r="AL685" s="4">
        <v>0.0174300250078931</v>
      </c>
      <c r="AM685" s="4">
        <v>0.00324072173101842</v>
      </c>
      <c r="AN685" s="4">
        <v>-0.0264606877713433</v>
      </c>
      <c r="AO685" s="4">
        <v>0.000797179441005291</v>
      </c>
      <c r="AP685" s="4">
        <v>0.0404905692087062</v>
      </c>
      <c r="AQ685" s="4">
        <v>0.0017299384046008</v>
      </c>
      <c r="AR685" s="4">
        <v>-0.279950491891797</v>
      </c>
      <c r="AS685" s="4">
        <v>0.0013770286166954</v>
      </c>
      <c r="AT685" s="4"/>
      <c r="AU685" s="4"/>
      <c r="AV685" s="4"/>
      <c r="AW685" s="4"/>
      <c r="AX685" s="4">
        <v>-0.0014380395161672</v>
      </c>
      <c r="AY685" s="4">
        <v>0.00352005296494366</v>
      </c>
      <c r="BJ685" s="4">
        <v>0</v>
      </c>
      <c r="BK685" s="4">
        <v>0.00236686390532544</v>
      </c>
    </row>
    <row r="686" s="4" customFormat="1" spans="1:63">
      <c r="A686" s="4">
        <v>685</v>
      </c>
      <c r="B686" s="18">
        <v>107</v>
      </c>
      <c r="C686" s="19" t="s">
        <v>364</v>
      </c>
      <c r="D686" s="5" t="s">
        <v>365</v>
      </c>
      <c r="E686" s="9">
        <v>24.248</v>
      </c>
      <c r="F686" s="9">
        <v>83.096</v>
      </c>
      <c r="G686" s="20">
        <v>27</v>
      </c>
      <c r="H686" s="21">
        <v>1215</v>
      </c>
      <c r="I686" s="4">
        <v>313</v>
      </c>
      <c r="J686" s="13" t="s">
        <v>188</v>
      </c>
      <c r="K686" s="5" t="s">
        <v>182</v>
      </c>
      <c r="L686" s="4">
        <v>2013</v>
      </c>
      <c r="M686" s="4">
        <v>6</v>
      </c>
      <c r="N686" s="5" t="s">
        <v>96</v>
      </c>
      <c r="O686" s="36" t="s">
        <v>80</v>
      </c>
      <c r="P686" s="29">
        <v>6.88</v>
      </c>
      <c r="Q686" s="4">
        <v>8.77105</v>
      </c>
      <c r="R686" s="4">
        <v>0.5323</v>
      </c>
      <c r="S686" s="13">
        <v>16.4776441856096</v>
      </c>
      <c r="T686" s="21">
        <v>22</v>
      </c>
      <c r="U686" s="21">
        <v>22</v>
      </c>
      <c r="V686" s="21">
        <v>56</v>
      </c>
      <c r="W686" s="4">
        <v>33</v>
      </c>
      <c r="X686" s="13" t="s">
        <v>141</v>
      </c>
      <c r="Y686" s="5" t="s">
        <v>82</v>
      </c>
      <c r="Z686" s="4">
        <v>5</v>
      </c>
      <c r="AA686" s="4">
        <v>5</v>
      </c>
      <c r="AB686" s="9">
        <v>0.256590909871826</v>
      </c>
      <c r="AC686" s="9">
        <v>0.0012626683659522</v>
      </c>
      <c r="AD686" s="9">
        <v>0.0975656020482886</v>
      </c>
      <c r="AE686" s="9">
        <v>0.00066582154283895</v>
      </c>
      <c r="AF686" s="9">
        <v>-0.159025307823537</v>
      </c>
      <c r="AG686" s="9">
        <v>0.00192848990879115</v>
      </c>
      <c r="AH686" s="9">
        <v>0.179051689166866</v>
      </c>
      <c r="AI686" s="9">
        <v>0.000815081915281702</v>
      </c>
      <c r="AJ686" s="4">
        <v>0.0775392207049608</v>
      </c>
      <c r="AK686" s="4">
        <v>0.0020777502812339</v>
      </c>
      <c r="AL686" s="4">
        <v>-0.0814860871185813</v>
      </c>
      <c r="AM686" s="4">
        <v>0.00148090345812065</v>
      </c>
      <c r="AN686" s="4">
        <v>-0.0370138477474811</v>
      </c>
      <c r="AO686" s="4">
        <v>0.000424167182098236</v>
      </c>
      <c r="AP686" s="4">
        <v>-0.051857045224618</v>
      </c>
      <c r="AQ686" s="4">
        <v>0.00110007306331205</v>
      </c>
      <c r="AR686" s="4">
        <v>-0.341085854954726</v>
      </c>
      <c r="AS686" s="4">
        <v>0.000900246285719044</v>
      </c>
      <c r="AT686" s="4"/>
      <c r="AU686" s="4"/>
      <c r="AV686" s="4"/>
      <c r="AW686" s="4"/>
      <c r="AX686" s="4">
        <v>-0.0637682998252854</v>
      </c>
      <c r="AY686" s="4">
        <v>0.00180393168512736</v>
      </c>
      <c r="BJ686" s="4">
        <v>0</v>
      </c>
      <c r="BK686" s="4">
        <v>0.00510204081632653</v>
      </c>
    </row>
    <row r="687" s="4" customFormat="1" spans="1:63">
      <c r="A687" s="4">
        <v>686</v>
      </c>
      <c r="B687" s="18">
        <v>107</v>
      </c>
      <c r="C687" s="19" t="s">
        <v>364</v>
      </c>
      <c r="D687" s="5" t="s">
        <v>365</v>
      </c>
      <c r="E687" s="9">
        <v>24.248</v>
      </c>
      <c r="F687" s="9">
        <v>83.096</v>
      </c>
      <c r="G687" s="20">
        <v>27</v>
      </c>
      <c r="H687" s="21">
        <v>1215</v>
      </c>
      <c r="I687" s="4">
        <v>296</v>
      </c>
      <c r="J687" s="13" t="s">
        <v>188</v>
      </c>
      <c r="K687" s="5" t="s">
        <v>182</v>
      </c>
      <c r="L687" s="4">
        <v>2013</v>
      </c>
      <c r="M687" s="4">
        <v>6</v>
      </c>
      <c r="N687" s="5" t="s">
        <v>96</v>
      </c>
      <c r="O687" s="36" t="s">
        <v>80</v>
      </c>
      <c r="P687" s="29">
        <v>6.41</v>
      </c>
      <c r="Q687" s="4">
        <v>17.2949</v>
      </c>
      <c r="R687" s="4">
        <v>1.1913</v>
      </c>
      <c r="S687" s="13">
        <v>14.5176697725174</v>
      </c>
      <c r="T687" s="21">
        <v>22</v>
      </c>
      <c r="U687" s="21">
        <v>22</v>
      </c>
      <c r="V687" s="21">
        <v>56</v>
      </c>
      <c r="W687" s="4"/>
      <c r="X687" s="4"/>
      <c r="Y687" s="5" t="s">
        <v>82</v>
      </c>
      <c r="Z687" s="4">
        <v>5</v>
      </c>
      <c r="AA687" s="4">
        <v>5</v>
      </c>
      <c r="AB687" s="9">
        <v>0.251312936216417</v>
      </c>
      <c r="AC687" s="9">
        <v>0.00098419796847178</v>
      </c>
      <c r="AD687" s="9">
        <v>0.113330648653291</v>
      </c>
      <c r="AE687" s="9">
        <v>0.00100145118431724</v>
      </c>
      <c r="AF687" s="9">
        <v>-0.137982287563128</v>
      </c>
      <c r="AG687" s="9">
        <v>0.00198564915278903</v>
      </c>
      <c r="AH687" s="9">
        <v>0.16040625061754</v>
      </c>
      <c r="AI687" s="9">
        <v>0.00214894769308363</v>
      </c>
      <c r="AJ687" s="4">
        <v>0.0909066855988769</v>
      </c>
      <c r="AK687" s="4">
        <v>0.00313314566155541</v>
      </c>
      <c r="AL687" s="4">
        <v>-0.0470756019642489</v>
      </c>
      <c r="AM687" s="4">
        <v>0.00315039887740087</v>
      </c>
      <c r="AN687" s="4">
        <v>-0.0365409994629794</v>
      </c>
      <c r="AO687" s="4">
        <v>0.000736598610412792</v>
      </c>
      <c r="AP687" s="4">
        <v>0.0300158959402656</v>
      </c>
      <c r="AQ687" s="4">
        <v>0.00144134567464517</v>
      </c>
      <c r="AR687" s="4">
        <v>-0.304035319847437</v>
      </c>
      <c r="AS687" s="4">
        <v>0.000974665455462369</v>
      </c>
      <c r="AT687" s="4"/>
      <c r="AU687" s="4"/>
      <c r="AV687" s="4"/>
      <c r="AW687" s="4"/>
      <c r="AX687" s="4">
        <v>-0.0372183370580532</v>
      </c>
      <c r="AY687" s="4">
        <v>0.00395521358562472</v>
      </c>
      <c r="BJ687" s="4">
        <v>0</v>
      </c>
      <c r="BK687" s="4">
        <v>0.00236686390532544</v>
      </c>
    </row>
    <row r="688" s="4" customFormat="1" spans="1:63">
      <c r="A688" s="4">
        <v>687</v>
      </c>
      <c r="B688" s="18">
        <v>107</v>
      </c>
      <c r="C688" s="19" t="s">
        <v>364</v>
      </c>
      <c r="D688" s="5" t="s">
        <v>365</v>
      </c>
      <c r="E688" s="9">
        <v>24.248</v>
      </c>
      <c r="F688" s="9">
        <v>83.096</v>
      </c>
      <c r="G688" s="20">
        <v>27</v>
      </c>
      <c r="H688" s="21">
        <v>1215</v>
      </c>
      <c r="I688" s="4">
        <v>338</v>
      </c>
      <c r="J688" s="13" t="s">
        <v>188</v>
      </c>
      <c r="K688" s="5" t="s">
        <v>182</v>
      </c>
      <c r="L688" s="4">
        <v>2013</v>
      </c>
      <c r="M688" s="4">
        <v>6</v>
      </c>
      <c r="N688" s="5" t="s">
        <v>96</v>
      </c>
      <c r="O688" s="28" t="s">
        <v>136</v>
      </c>
      <c r="P688" s="29">
        <v>6.83</v>
      </c>
      <c r="Q688" s="4">
        <v>9.86781</v>
      </c>
      <c r="R688" s="4">
        <v>0.6486</v>
      </c>
      <c r="S688" s="13">
        <v>15.2140148011101</v>
      </c>
      <c r="T688" s="21">
        <v>22</v>
      </c>
      <c r="U688" s="21">
        <v>22</v>
      </c>
      <c r="V688" s="21">
        <v>56</v>
      </c>
      <c r="W688" s="4"/>
      <c r="X688" s="4"/>
      <c r="Y688" s="5" t="s">
        <v>82</v>
      </c>
      <c r="Z688" s="4">
        <v>5</v>
      </c>
      <c r="AA688" s="4">
        <v>5</v>
      </c>
      <c r="AB688" s="9">
        <v>0.268633971276402</v>
      </c>
      <c r="AC688" s="9">
        <v>0.000802157186834583</v>
      </c>
      <c r="AD688" s="9">
        <v>0.0951686788904592</v>
      </c>
      <c r="AE688" s="9">
        <v>0.000941806036428727</v>
      </c>
      <c r="AF688" s="9">
        <v>-0.173465292385944</v>
      </c>
      <c r="AG688" s="9">
        <v>0.00174396322326331</v>
      </c>
      <c r="AH688" s="9">
        <v>0.197085976459076</v>
      </c>
      <c r="AI688" s="9">
        <v>0.00101708987863902</v>
      </c>
      <c r="AJ688" s="4">
        <v>0.0715479948173259</v>
      </c>
      <c r="AK688" s="4">
        <v>0.0018192470654736</v>
      </c>
      <c r="AL688" s="4">
        <v>-0.101917297568613</v>
      </c>
      <c r="AM688" s="4">
        <v>0.00195889591506774</v>
      </c>
      <c r="AN688" s="4">
        <v>-0.0418596239355381</v>
      </c>
      <c r="AO688" s="4">
        <v>0.000538309473144546</v>
      </c>
      <c r="AP688" s="4">
        <v>0.00507498205727622</v>
      </c>
      <c r="AQ688" s="4">
        <v>0.00164109228662068</v>
      </c>
      <c r="AR688" s="4">
        <v>-0.289677022072428</v>
      </c>
      <c r="AS688" s="4">
        <v>0.00128271549471893</v>
      </c>
      <c r="AT688" s="4"/>
      <c r="AU688" s="4"/>
      <c r="AV688" s="4"/>
      <c r="AW688" s="4"/>
      <c r="AX688" s="4">
        <v>-0.0185248857601543</v>
      </c>
      <c r="AY688" s="4">
        <v>0.00238579061014925</v>
      </c>
      <c r="BJ688" s="4">
        <v>0</v>
      </c>
      <c r="BK688" s="4">
        <v>0.00510204081632653</v>
      </c>
    </row>
    <row r="689" s="4" customFormat="1" spans="1:63">
      <c r="A689" s="4">
        <v>688</v>
      </c>
      <c r="B689" s="18">
        <v>107</v>
      </c>
      <c r="C689" s="19" t="s">
        <v>364</v>
      </c>
      <c r="D689" s="5" t="s">
        <v>365</v>
      </c>
      <c r="E689" s="9">
        <v>24.248</v>
      </c>
      <c r="F689" s="9">
        <v>83.096</v>
      </c>
      <c r="G689" s="20">
        <v>27</v>
      </c>
      <c r="H689" s="21">
        <v>1215</v>
      </c>
      <c r="I689" s="4">
        <v>313</v>
      </c>
      <c r="J689" s="13" t="s">
        <v>188</v>
      </c>
      <c r="K689" s="5" t="s">
        <v>182</v>
      </c>
      <c r="L689" s="4">
        <v>2013</v>
      </c>
      <c r="M689" s="4">
        <v>6</v>
      </c>
      <c r="N689" s="5" t="s">
        <v>96</v>
      </c>
      <c r="O689" s="28" t="s">
        <v>136</v>
      </c>
      <c r="P689" s="29">
        <v>6.68</v>
      </c>
      <c r="Q689" s="4">
        <v>9.73677</v>
      </c>
      <c r="R689" s="4">
        <v>0.5849</v>
      </c>
      <c r="S689" s="13">
        <v>16.6468969054539</v>
      </c>
      <c r="T689" s="21">
        <v>22</v>
      </c>
      <c r="U689" s="21">
        <v>22</v>
      </c>
      <c r="V689" s="21">
        <v>56</v>
      </c>
      <c r="W689" s="4">
        <v>33</v>
      </c>
      <c r="X689" s="13" t="s">
        <v>141</v>
      </c>
      <c r="Y689" s="5" t="s">
        <v>82</v>
      </c>
      <c r="Z689" s="4">
        <v>5</v>
      </c>
      <c r="AA689" s="4">
        <v>5</v>
      </c>
      <c r="AB689" s="9">
        <v>0.103677765227394</v>
      </c>
      <c r="AC689" s="9">
        <v>0.00110529695318106</v>
      </c>
      <c r="AD689" s="9">
        <v>0.175003226768732</v>
      </c>
      <c r="AE689" s="9">
        <v>0.000838641292922436</v>
      </c>
      <c r="AF689" s="9">
        <v>0.0713254615413398</v>
      </c>
      <c r="AG689" s="9">
        <v>0.00194393824610351</v>
      </c>
      <c r="AH689" s="9">
        <v>0.199527512932516</v>
      </c>
      <c r="AI689" s="9">
        <v>0.00270934255971706</v>
      </c>
      <c r="AJ689" s="4">
        <v>-0.0958497477051232</v>
      </c>
      <c r="AK689" s="4">
        <v>0.00381463951289812</v>
      </c>
      <c r="AL689" s="4">
        <v>-0.0245242861637802</v>
      </c>
      <c r="AM689" s="4">
        <v>0.00354798385263948</v>
      </c>
      <c r="AN689" s="4">
        <v>-0.00902261759963742</v>
      </c>
      <c r="AO689" s="4">
        <v>0.000543395535156288</v>
      </c>
      <c r="AP689" s="4">
        <v>0.108450283481514</v>
      </c>
      <c r="AQ689" s="4">
        <v>0.00135347156437167</v>
      </c>
      <c r="AR689" s="4">
        <v>-0.258087492271645</v>
      </c>
      <c r="AS689" s="4">
        <v>0.000976817705021748</v>
      </c>
      <c r="AT689" s="4"/>
      <c r="AU689" s="4"/>
      <c r="AV689" s="4"/>
      <c r="AW689" s="4"/>
      <c r="AX689" s="4">
        <v>-0.145458394807918</v>
      </c>
      <c r="AY689" s="4">
        <v>0.00373261101377911</v>
      </c>
      <c r="BJ689" s="4">
        <v>0</v>
      </c>
      <c r="BK689" s="4">
        <v>0.00236686390532544</v>
      </c>
    </row>
    <row r="690" s="4" customFormat="1" spans="1:63">
      <c r="A690" s="4">
        <v>689</v>
      </c>
      <c r="B690" s="18">
        <v>107</v>
      </c>
      <c r="C690" s="19" t="s">
        <v>364</v>
      </c>
      <c r="D690" s="5" t="s">
        <v>365</v>
      </c>
      <c r="E690" s="9">
        <v>24.248</v>
      </c>
      <c r="F690" s="9">
        <v>83.096</v>
      </c>
      <c r="G690" s="20">
        <v>27</v>
      </c>
      <c r="H690" s="21">
        <v>1215</v>
      </c>
      <c r="I690" s="4">
        <v>296</v>
      </c>
      <c r="J690" s="13" t="s">
        <v>188</v>
      </c>
      <c r="K690" s="5" t="s">
        <v>182</v>
      </c>
      <c r="L690" s="4">
        <v>2013</v>
      </c>
      <c r="M690" s="4">
        <v>6</v>
      </c>
      <c r="N690" s="5" t="s">
        <v>96</v>
      </c>
      <c r="O690" s="28" t="s">
        <v>136</v>
      </c>
      <c r="P690" s="29">
        <v>7.06</v>
      </c>
      <c r="Q690" s="4">
        <v>5.80875</v>
      </c>
      <c r="R690" s="4">
        <v>0.3217</v>
      </c>
      <c r="S690" s="13">
        <v>18.0564190239353</v>
      </c>
      <c r="T690" s="21">
        <v>22</v>
      </c>
      <c r="U690" s="21">
        <v>22</v>
      </c>
      <c r="V690" s="21">
        <v>56</v>
      </c>
      <c r="W690" s="4"/>
      <c r="X690" s="4"/>
      <c r="Y690" s="5" t="s">
        <v>82</v>
      </c>
      <c r="Z690" s="4">
        <v>5</v>
      </c>
      <c r="AA690" s="4">
        <v>5</v>
      </c>
      <c r="AB690" s="9">
        <v>0.0979776989475577</v>
      </c>
      <c r="AC690" s="9">
        <v>0.00095818991310555</v>
      </c>
      <c r="AD690" s="9">
        <v>0.152948094774873</v>
      </c>
      <c r="AE690" s="9">
        <v>0.00109599881293459</v>
      </c>
      <c r="AF690" s="9">
        <v>0.0549703958273158</v>
      </c>
      <c r="AG690" s="9">
        <v>0.00205418872604014</v>
      </c>
      <c r="AH690" s="9">
        <v>0.291485032154207</v>
      </c>
      <c r="AI690" s="9">
        <v>0.00087063721750639</v>
      </c>
      <c r="AJ690" s="4">
        <v>-0.193507333206647</v>
      </c>
      <c r="AK690" s="4">
        <v>0.00182882713061193</v>
      </c>
      <c r="AL690" s="4">
        <v>-0.138536937379332</v>
      </c>
      <c r="AM690" s="4">
        <v>0.00196663603044099</v>
      </c>
      <c r="AN690" s="4">
        <v>-0.0449025466207122</v>
      </c>
      <c r="AO690" s="4">
        <v>0.000321066191562984</v>
      </c>
      <c r="AP690" s="4">
        <v>0.0591424216676808</v>
      </c>
      <c r="AQ690" s="4">
        <v>0.000978540800361946</v>
      </c>
      <c r="AR690" s="4">
        <v>-0.326713556198248</v>
      </c>
      <c r="AS690" s="4">
        <v>0.00100435869657587</v>
      </c>
      <c r="AT690" s="4"/>
      <c r="AU690" s="4"/>
      <c r="AV690" s="4"/>
      <c r="AW690" s="4"/>
      <c r="AX690" s="4">
        <v>-0.103043174046861</v>
      </c>
      <c r="AY690" s="4">
        <v>0.00173137356992146</v>
      </c>
      <c r="BJ690" s="4">
        <v>0</v>
      </c>
      <c r="BK690" s="4">
        <v>0.00510204081632653</v>
      </c>
    </row>
    <row r="691" s="4" customFormat="1" spans="1:63">
      <c r="A691" s="4">
        <v>690</v>
      </c>
      <c r="B691" s="18">
        <v>107</v>
      </c>
      <c r="C691" s="19" t="s">
        <v>364</v>
      </c>
      <c r="D691" s="5" t="s">
        <v>365</v>
      </c>
      <c r="E691" s="9">
        <v>24.248</v>
      </c>
      <c r="F691" s="9">
        <v>83.096</v>
      </c>
      <c r="G691" s="20">
        <v>27</v>
      </c>
      <c r="H691" s="21">
        <v>1215</v>
      </c>
      <c r="I691" s="4">
        <v>338</v>
      </c>
      <c r="J691" s="13" t="s">
        <v>188</v>
      </c>
      <c r="K691" s="5" t="s">
        <v>182</v>
      </c>
      <c r="L691" s="4">
        <v>2013</v>
      </c>
      <c r="M691" s="4">
        <v>8</v>
      </c>
      <c r="N691" s="5" t="s">
        <v>96</v>
      </c>
      <c r="O691" s="36" t="s">
        <v>80</v>
      </c>
      <c r="P691" s="29">
        <v>6.89</v>
      </c>
      <c r="Q691" s="4">
        <v>13.8338</v>
      </c>
      <c r="R691" s="4">
        <v>0.9378</v>
      </c>
      <c r="S691" s="13">
        <v>14.7513329068032</v>
      </c>
      <c r="T691" s="21">
        <v>22</v>
      </c>
      <c r="U691" s="21">
        <v>22</v>
      </c>
      <c r="V691" s="21">
        <v>56</v>
      </c>
      <c r="W691" s="4"/>
      <c r="X691" s="4"/>
      <c r="Y691" s="5" t="s">
        <v>82</v>
      </c>
      <c r="Z691" s="4">
        <v>5</v>
      </c>
      <c r="AA691" s="4">
        <v>5</v>
      </c>
      <c r="AB691" s="9">
        <v>1.06598724253131</v>
      </c>
      <c r="AC691" s="9">
        <v>0.00100765133587829</v>
      </c>
      <c r="AD691" s="9">
        <v>0.694266575486586</v>
      </c>
      <c r="AE691" s="9">
        <v>0.00128731160465943</v>
      </c>
      <c r="AF691" s="9">
        <v>-0.371720667044725</v>
      </c>
      <c r="AG691" s="9">
        <v>0.00229496294053772</v>
      </c>
      <c r="AH691" s="9">
        <v>0.592080900739829</v>
      </c>
      <c r="AI691" s="9">
        <v>0.00217187992997597</v>
      </c>
      <c r="AJ691" s="4">
        <v>0.473906341791478</v>
      </c>
      <c r="AK691" s="4">
        <v>0.00317953126585426</v>
      </c>
      <c r="AL691" s="4">
        <v>0.102185674746755</v>
      </c>
      <c r="AM691" s="4">
        <v>0.00345919153463541</v>
      </c>
      <c r="AN691" s="4">
        <v>-0.0536641417372274</v>
      </c>
      <c r="AO691" s="4">
        <v>0.000584594092599746</v>
      </c>
      <c r="AP691" s="4">
        <v>0.422242605834679</v>
      </c>
      <c r="AQ691" s="4">
        <v>0.0018285870724569</v>
      </c>
      <c r="AR691" s="4">
        <v>-0.0300042779240419</v>
      </c>
      <c r="AS691" s="4">
        <v>0.000925930987929338</v>
      </c>
      <c r="AT691" s="4"/>
      <c r="AU691" s="4"/>
      <c r="AV691" s="4"/>
      <c r="AW691" s="4"/>
      <c r="AX691" s="4">
        <v>0.130200579831593</v>
      </c>
      <c r="AY691" s="4">
        <v>0.00339185647700932</v>
      </c>
      <c r="BJ691" s="4">
        <v>-0.0800427076735365</v>
      </c>
      <c r="BK691" s="4">
        <v>0.00257232084155161</v>
      </c>
    </row>
    <row r="692" s="4" customFormat="1" spans="1:63">
      <c r="A692" s="4">
        <v>691</v>
      </c>
      <c r="B692" s="18">
        <v>107</v>
      </c>
      <c r="C692" s="19" t="s">
        <v>364</v>
      </c>
      <c r="D692" s="5" t="s">
        <v>365</v>
      </c>
      <c r="E692" s="9">
        <v>24.248</v>
      </c>
      <c r="F692" s="9">
        <v>83.096</v>
      </c>
      <c r="G692" s="20">
        <v>27</v>
      </c>
      <c r="H692" s="21">
        <v>1215</v>
      </c>
      <c r="I692" s="4">
        <v>313</v>
      </c>
      <c r="J692" s="13" t="s">
        <v>188</v>
      </c>
      <c r="K692" s="5" t="s">
        <v>182</v>
      </c>
      <c r="L692" s="4">
        <v>2013</v>
      </c>
      <c r="M692" s="4">
        <v>8</v>
      </c>
      <c r="N692" s="5" t="s">
        <v>96</v>
      </c>
      <c r="O692" s="36" t="s">
        <v>80</v>
      </c>
      <c r="P692" s="29">
        <v>7.19</v>
      </c>
      <c r="Q692" s="4">
        <v>7.88006</v>
      </c>
      <c r="R692" s="4">
        <v>0.5019</v>
      </c>
      <c r="S692" s="13">
        <v>15.7004582586173</v>
      </c>
      <c r="T692" s="21">
        <v>22</v>
      </c>
      <c r="U692" s="21">
        <v>22</v>
      </c>
      <c r="V692" s="21">
        <v>56</v>
      </c>
      <c r="W692" s="4">
        <v>33</v>
      </c>
      <c r="X692" s="13" t="s">
        <v>141</v>
      </c>
      <c r="Y692" s="5" t="s">
        <v>82</v>
      </c>
      <c r="Z692" s="4">
        <v>5</v>
      </c>
      <c r="AA692" s="4">
        <v>5</v>
      </c>
      <c r="AB692" s="9">
        <v>1.20156066415443</v>
      </c>
      <c r="AC692" s="9">
        <v>0.00104352128116556</v>
      </c>
      <c r="AD692" s="9">
        <v>0.732837707922066</v>
      </c>
      <c r="AE692" s="9">
        <v>0.000645097561398545</v>
      </c>
      <c r="AF692" s="9">
        <v>-0.468722956232368</v>
      </c>
      <c r="AG692" s="9">
        <v>0.00168861884256409</v>
      </c>
      <c r="AH692" s="9">
        <v>0.830033794518263</v>
      </c>
      <c r="AI692" s="9">
        <v>0.000667578624215367</v>
      </c>
      <c r="AJ692" s="4">
        <v>0.37152686963617</v>
      </c>
      <c r="AK692" s="4">
        <v>0.00171109990538092</v>
      </c>
      <c r="AL692" s="4">
        <v>-0.0971960865962016</v>
      </c>
      <c r="AM692" s="4">
        <v>0.00131267618561391</v>
      </c>
      <c r="AN692" s="4">
        <v>-0.0528316998775846</v>
      </c>
      <c r="AO692" s="4">
        <v>0.00035948316224306</v>
      </c>
      <c r="AP692" s="4">
        <v>0.35959953344756</v>
      </c>
      <c r="AQ692" s="4">
        <v>0.00117109845195331</v>
      </c>
      <c r="AR692" s="4">
        <v>-0.117657099002354</v>
      </c>
      <c r="AS692" s="4">
        <v>0.000607816434400613</v>
      </c>
      <c r="AT692" s="4"/>
      <c r="AU692" s="4"/>
      <c r="AV692" s="4"/>
      <c r="AW692" s="4"/>
      <c r="AX692" s="4">
        <v>0.230908734391488</v>
      </c>
      <c r="AY692" s="4">
        <v>0.00191515497859376</v>
      </c>
      <c r="BJ692" s="4">
        <v>-0.0741079721537217</v>
      </c>
      <c r="BK692" s="4">
        <v>0.00220384011592803</v>
      </c>
    </row>
    <row r="693" s="4" customFormat="1" spans="1:63">
      <c r="A693" s="4">
        <v>692</v>
      </c>
      <c r="B693" s="18">
        <v>107</v>
      </c>
      <c r="C693" s="19" t="s">
        <v>364</v>
      </c>
      <c r="D693" s="5" t="s">
        <v>365</v>
      </c>
      <c r="E693" s="9">
        <v>24.248</v>
      </c>
      <c r="F693" s="9">
        <v>83.096</v>
      </c>
      <c r="G693" s="20">
        <v>27</v>
      </c>
      <c r="H693" s="21">
        <v>1215</v>
      </c>
      <c r="I693" s="4">
        <v>296</v>
      </c>
      <c r="J693" s="13" t="s">
        <v>188</v>
      </c>
      <c r="K693" s="5" t="s">
        <v>182</v>
      </c>
      <c r="L693" s="4">
        <v>2013</v>
      </c>
      <c r="M693" s="4">
        <v>8</v>
      </c>
      <c r="N693" s="5" t="s">
        <v>96</v>
      </c>
      <c r="O693" s="36" t="s">
        <v>80</v>
      </c>
      <c r="P693" s="29">
        <v>6.83</v>
      </c>
      <c r="Q693" s="4">
        <v>15.4836</v>
      </c>
      <c r="R693" s="4">
        <v>1.1564</v>
      </c>
      <c r="S693" s="13">
        <v>13.3894846074023</v>
      </c>
      <c r="T693" s="21">
        <v>22</v>
      </c>
      <c r="U693" s="21">
        <v>22</v>
      </c>
      <c r="V693" s="21">
        <v>56</v>
      </c>
      <c r="W693" s="4"/>
      <c r="X693" s="4"/>
      <c r="Y693" s="5" t="s">
        <v>82</v>
      </c>
      <c r="Z693" s="4">
        <v>5</v>
      </c>
      <c r="AA693" s="4">
        <v>5</v>
      </c>
      <c r="AB693" s="9">
        <v>1.06447569858744</v>
      </c>
      <c r="AC693" s="9">
        <v>0.000870165528953349</v>
      </c>
      <c r="AD693" s="9">
        <v>0.645943388689152</v>
      </c>
      <c r="AE693" s="9">
        <v>0.00106793063585113</v>
      </c>
      <c r="AF693" s="9">
        <v>-0.418532309898286</v>
      </c>
      <c r="AG693" s="9">
        <v>0.00193809616480449</v>
      </c>
      <c r="AH693" s="9">
        <v>0.646045120307761</v>
      </c>
      <c r="AI693" s="9">
        <v>0.00196484289002771</v>
      </c>
      <c r="AJ693" s="4">
        <v>0.418430578279674</v>
      </c>
      <c r="AK693" s="4">
        <v>0.00283500841898106</v>
      </c>
      <c r="AL693" s="4">
        <v>-0.000101731618609514</v>
      </c>
      <c r="AM693" s="4">
        <v>0.00303277352587885</v>
      </c>
      <c r="AN693" s="4">
        <v>-0.0681565762260002</v>
      </c>
      <c r="AO693" s="4">
        <v>0.000754760198239714</v>
      </c>
      <c r="AP693" s="4">
        <v>0.395499788096193</v>
      </c>
      <c r="AQ693" s="4">
        <v>0.00158936356636059</v>
      </c>
      <c r="AR693" s="4">
        <v>-0.056767485197629</v>
      </c>
      <c r="AS693" s="4">
        <v>0.000479523071690542</v>
      </c>
      <c r="AT693" s="4"/>
      <c r="AU693" s="4"/>
      <c r="AV693" s="4"/>
      <c r="AW693" s="4"/>
      <c r="AX693" s="4">
        <v>0.130390354677273</v>
      </c>
      <c r="AY693" s="4">
        <v>0.00359029336772881</v>
      </c>
      <c r="BJ693" s="4">
        <v>-0.0800427076735365</v>
      </c>
      <c r="BK693" s="4">
        <v>0.00257232084155161</v>
      </c>
    </row>
    <row r="694" s="4" customFormat="1" spans="1:63">
      <c r="A694" s="4">
        <v>693</v>
      </c>
      <c r="B694" s="18">
        <v>107</v>
      </c>
      <c r="C694" s="19" t="s">
        <v>364</v>
      </c>
      <c r="D694" s="5" t="s">
        <v>365</v>
      </c>
      <c r="E694" s="9">
        <v>24.248</v>
      </c>
      <c r="F694" s="9">
        <v>83.096</v>
      </c>
      <c r="G694" s="20">
        <v>27</v>
      </c>
      <c r="H694" s="21">
        <v>1215</v>
      </c>
      <c r="I694" s="4">
        <v>338</v>
      </c>
      <c r="J694" s="13" t="s">
        <v>188</v>
      </c>
      <c r="K694" s="5" t="s">
        <v>182</v>
      </c>
      <c r="L694" s="4">
        <v>2013</v>
      </c>
      <c r="M694" s="4">
        <v>8</v>
      </c>
      <c r="N694" s="5" t="s">
        <v>96</v>
      </c>
      <c r="O694" s="28" t="s">
        <v>136</v>
      </c>
      <c r="P694" s="29">
        <v>7.15</v>
      </c>
      <c r="Q694" s="4">
        <v>8.73166</v>
      </c>
      <c r="R694" s="4">
        <v>0.6191</v>
      </c>
      <c r="S694" s="13">
        <v>14.1037958326603</v>
      </c>
      <c r="T694" s="21">
        <v>22</v>
      </c>
      <c r="U694" s="21">
        <v>22</v>
      </c>
      <c r="V694" s="21">
        <v>56</v>
      </c>
      <c r="W694" s="4"/>
      <c r="X694" s="4"/>
      <c r="Y694" s="5" t="s">
        <v>82</v>
      </c>
      <c r="Z694" s="4">
        <v>5</v>
      </c>
      <c r="AA694" s="4">
        <v>5</v>
      </c>
      <c r="AB694" s="9">
        <v>1.11600648800444</v>
      </c>
      <c r="AC694" s="9">
        <v>0.00104179303901656</v>
      </c>
      <c r="AD694" s="9">
        <v>0.659120414517419</v>
      </c>
      <c r="AE694" s="9">
        <v>0.000971271786387582</v>
      </c>
      <c r="AF694" s="9">
        <v>-0.456886073487016</v>
      </c>
      <c r="AG694" s="9">
        <v>0.00201306482540413</v>
      </c>
      <c r="AH694" s="9">
        <v>0.860382023393133</v>
      </c>
      <c r="AI694" s="9">
        <v>0.00138624947009919</v>
      </c>
      <c r="AJ694" s="4">
        <v>0.255624464611303</v>
      </c>
      <c r="AK694" s="4">
        <v>0.00242804250911575</v>
      </c>
      <c r="AL694" s="4">
        <v>-0.201261608875711</v>
      </c>
      <c r="AM694" s="4">
        <v>0.00235752125648677</v>
      </c>
      <c r="AN694" s="4">
        <v>-0.0560894666510437</v>
      </c>
      <c r="AO694" s="4">
        <v>0.00052119908063964</v>
      </c>
      <c r="AP694" s="4">
        <v>0.430928277841574</v>
      </c>
      <c r="AQ694" s="4">
        <v>0.00137496440778921</v>
      </c>
      <c r="AR694" s="4">
        <v>-0.0230208354588886</v>
      </c>
      <c r="AS694" s="4">
        <v>0.000766202303116375</v>
      </c>
      <c r="AT694" s="4"/>
      <c r="AU694" s="4"/>
      <c r="AV694" s="4"/>
      <c r="AW694" s="4"/>
      <c r="AX694" s="4">
        <v>0.192010994401798</v>
      </c>
      <c r="AY694" s="4">
        <v>0.0026581821652597</v>
      </c>
      <c r="BJ694" s="4">
        <v>-0.0741079721537217</v>
      </c>
      <c r="BK694" s="4">
        <v>0.00220384011592803</v>
      </c>
    </row>
    <row r="695" s="4" customFormat="1" spans="1:63">
      <c r="A695" s="4">
        <v>694</v>
      </c>
      <c r="B695" s="18">
        <v>107</v>
      </c>
      <c r="C695" s="19" t="s">
        <v>364</v>
      </c>
      <c r="D695" s="5" t="s">
        <v>365</v>
      </c>
      <c r="E695" s="9">
        <v>24.248</v>
      </c>
      <c r="F695" s="9">
        <v>83.096</v>
      </c>
      <c r="G695" s="20">
        <v>27</v>
      </c>
      <c r="H695" s="21">
        <v>1215</v>
      </c>
      <c r="I695" s="4">
        <v>313</v>
      </c>
      <c r="J695" s="13" t="s">
        <v>188</v>
      </c>
      <c r="K695" s="5" t="s">
        <v>182</v>
      </c>
      <c r="L695" s="4">
        <v>2013</v>
      </c>
      <c r="M695" s="4">
        <v>8</v>
      </c>
      <c r="N695" s="5" t="s">
        <v>96</v>
      </c>
      <c r="O695" s="28" t="s">
        <v>136</v>
      </c>
      <c r="P695" s="29">
        <v>6.96</v>
      </c>
      <c r="Q695" s="4">
        <v>8.04874</v>
      </c>
      <c r="R695" s="4">
        <v>0.5965</v>
      </c>
      <c r="S695" s="13">
        <v>13.4932774518022</v>
      </c>
      <c r="T695" s="21">
        <v>22</v>
      </c>
      <c r="U695" s="21">
        <v>22</v>
      </c>
      <c r="V695" s="21">
        <v>56</v>
      </c>
      <c r="W695" s="4">
        <v>33</v>
      </c>
      <c r="X695" s="13" t="s">
        <v>141</v>
      </c>
      <c r="Y695" s="5" t="s">
        <v>82</v>
      </c>
      <c r="Z695" s="4">
        <v>5</v>
      </c>
      <c r="AA695" s="4">
        <v>5</v>
      </c>
      <c r="AB695" s="9">
        <v>1.17980143942812</v>
      </c>
      <c r="AC695" s="9">
        <v>0.00100696013134546</v>
      </c>
      <c r="AD695" s="9">
        <v>0.482705006780173</v>
      </c>
      <c r="AE695" s="9">
        <v>0.00120126227540984</v>
      </c>
      <c r="AF695" s="9">
        <v>-0.697096432647947</v>
      </c>
      <c r="AG695" s="9">
        <v>0.0022082224067553</v>
      </c>
      <c r="AH695" s="9">
        <v>0.733903075593491</v>
      </c>
      <c r="AI695" s="9">
        <v>0.00358104001498064</v>
      </c>
      <c r="AJ695" s="4">
        <v>0.445898363834625</v>
      </c>
      <c r="AK695" s="4">
        <v>0.00458800014632609</v>
      </c>
      <c r="AL695" s="4">
        <v>-0.251198068813313</v>
      </c>
      <c r="AM695" s="4">
        <v>0.00478230229039052</v>
      </c>
      <c r="AN695" s="4">
        <v>-0.0425596144187959</v>
      </c>
      <c r="AO695" s="4">
        <v>0.000522303347326836</v>
      </c>
      <c r="AP695" s="4">
        <v>0.480634266096901</v>
      </c>
      <c r="AQ695" s="4">
        <v>0.0016330247692882</v>
      </c>
      <c r="AR695" s="4">
        <v>0.114916250099554</v>
      </c>
      <c r="AS695" s="4">
        <v>0.000733074823068036</v>
      </c>
      <c r="AT695" s="4"/>
      <c r="AU695" s="4"/>
      <c r="AV695" s="4"/>
      <c r="AW695" s="4"/>
      <c r="AX695" s="4">
        <v>0.091077229451001</v>
      </c>
      <c r="AY695" s="4">
        <v>0.00406281412408875</v>
      </c>
      <c r="BJ695" s="4">
        <v>-0.0800427076735365</v>
      </c>
      <c r="BK695" s="4">
        <v>0.00257232084155161</v>
      </c>
    </row>
    <row r="696" s="4" customFormat="1" spans="1:63">
      <c r="A696" s="4">
        <v>695</v>
      </c>
      <c r="B696" s="18">
        <v>107</v>
      </c>
      <c r="C696" s="19" t="s">
        <v>364</v>
      </c>
      <c r="D696" s="5" t="s">
        <v>365</v>
      </c>
      <c r="E696" s="9">
        <v>24.248</v>
      </c>
      <c r="F696" s="9">
        <v>83.096</v>
      </c>
      <c r="G696" s="20">
        <v>27</v>
      </c>
      <c r="H696" s="21">
        <v>1215</v>
      </c>
      <c r="I696" s="4">
        <v>296</v>
      </c>
      <c r="J696" s="13" t="s">
        <v>188</v>
      </c>
      <c r="K696" s="5" t="s">
        <v>182</v>
      </c>
      <c r="L696" s="4">
        <v>2013</v>
      </c>
      <c r="M696" s="4">
        <v>8</v>
      </c>
      <c r="N696" s="5" t="s">
        <v>96</v>
      </c>
      <c r="O696" s="28" t="s">
        <v>136</v>
      </c>
      <c r="P696" s="29">
        <v>7.25</v>
      </c>
      <c r="Q696" s="4">
        <v>5.04089</v>
      </c>
      <c r="R696" s="4">
        <v>0.3225</v>
      </c>
      <c r="S696" s="13">
        <v>15.6306666666667</v>
      </c>
      <c r="T696" s="21">
        <v>22</v>
      </c>
      <c r="U696" s="21">
        <v>22</v>
      </c>
      <c r="V696" s="21">
        <v>56</v>
      </c>
      <c r="W696" s="4"/>
      <c r="X696" s="4"/>
      <c r="Y696" s="5" t="s">
        <v>82</v>
      </c>
      <c r="Z696" s="4">
        <v>5</v>
      </c>
      <c r="AA696" s="4">
        <v>5</v>
      </c>
      <c r="AB696" s="9">
        <v>1.12011584171868</v>
      </c>
      <c r="AC696" s="9">
        <v>0.000740217239817887</v>
      </c>
      <c r="AD696" s="9">
        <v>0.714498036747873</v>
      </c>
      <c r="AE696" s="9">
        <v>0.00105736831276779</v>
      </c>
      <c r="AF696" s="9">
        <v>-0.405617804970804</v>
      </c>
      <c r="AG696" s="9">
        <v>0.00179758555258568</v>
      </c>
      <c r="AH696" s="9">
        <v>0.87582938903655</v>
      </c>
      <c r="AI696" s="9">
        <v>0.00139669677598593</v>
      </c>
      <c r="AJ696" s="4">
        <v>0.244286452682127</v>
      </c>
      <c r="AK696" s="4">
        <v>0.00213691401580382</v>
      </c>
      <c r="AL696" s="4">
        <v>-0.161331352288677</v>
      </c>
      <c r="AM696" s="4">
        <v>0.00245406508875372</v>
      </c>
      <c r="AN696" s="4">
        <v>-0.0509303838410162</v>
      </c>
      <c r="AO696" s="4">
        <v>0.000356109005722495</v>
      </c>
      <c r="AP696" s="4">
        <v>0.442297760425061</v>
      </c>
      <c r="AQ696" s="4">
        <v>0.0011437164217936</v>
      </c>
      <c r="AR696" s="4">
        <v>-0.0313920665605158</v>
      </c>
      <c r="AS696" s="4">
        <v>0.00117904312698582</v>
      </c>
      <c r="AT696" s="4"/>
      <c r="AU696" s="4"/>
      <c r="AV696" s="4"/>
      <c r="AW696" s="4"/>
      <c r="AX696" s="4">
        <v>0.232342610486528</v>
      </c>
      <c r="AY696" s="4">
        <v>0.00184917801786834</v>
      </c>
      <c r="BJ696" s="4">
        <v>-0.0741079721537217</v>
      </c>
      <c r="BK696" s="4">
        <v>0.00220384011592803</v>
      </c>
    </row>
    <row r="697" s="4" customFormat="1" spans="1:71">
      <c r="A697" s="4">
        <v>696</v>
      </c>
      <c r="B697" s="18">
        <v>109</v>
      </c>
      <c r="C697" s="19" t="s">
        <v>366</v>
      </c>
      <c r="D697" s="5" t="s">
        <v>367</v>
      </c>
      <c r="E697" s="9">
        <v>-2.3975</v>
      </c>
      <c r="F697" s="9">
        <v>-44.404</v>
      </c>
      <c r="G697" s="20">
        <v>26.7708339691162</v>
      </c>
      <c r="H697" s="21">
        <v>2370</v>
      </c>
      <c r="I697" s="4">
        <v>32</v>
      </c>
      <c r="J697" s="13" t="s">
        <v>188</v>
      </c>
      <c r="K697" s="5" t="s">
        <v>182</v>
      </c>
      <c r="L697" s="4">
        <v>2015</v>
      </c>
      <c r="M697" s="4">
        <v>11</v>
      </c>
      <c r="N697" s="5" t="s">
        <v>113</v>
      </c>
      <c r="O697" s="36" t="s">
        <v>80</v>
      </c>
      <c r="P697" s="29">
        <v>3.9</v>
      </c>
      <c r="Q697" s="4">
        <f>31*0.58</f>
        <v>17.98</v>
      </c>
      <c r="R697" s="12"/>
      <c r="S697" s="13"/>
      <c r="T697" s="21">
        <v>27</v>
      </c>
      <c r="U697" s="21">
        <v>30</v>
      </c>
      <c r="V697" s="21">
        <v>43</v>
      </c>
      <c r="W697" s="4"/>
      <c r="X697" s="4"/>
      <c r="Y697" s="5" t="s">
        <v>82</v>
      </c>
      <c r="Z697" s="4">
        <v>3</v>
      </c>
      <c r="AA697" s="4">
        <v>3</v>
      </c>
      <c r="AB697" s="9">
        <v>0.0658132185695718</v>
      </c>
      <c r="AC697" s="9">
        <v>0.000256361683990306</v>
      </c>
      <c r="AD697" s="9">
        <v>0.157525161317288</v>
      </c>
      <c r="AE697" s="9">
        <v>0.00533448946951658</v>
      </c>
      <c r="AF697" s="9">
        <v>0.091711942747716</v>
      </c>
      <c r="AG697" s="9">
        <v>0.00559085115350687</v>
      </c>
      <c r="AH697" s="9">
        <v>-0.145585316968335</v>
      </c>
      <c r="AI697" s="9">
        <v>0.00694155213105649</v>
      </c>
      <c r="AJ697" s="4">
        <v>0.211398535537909</v>
      </c>
      <c r="AK697" s="4">
        <v>0.00719791381504681</v>
      </c>
      <c r="AL697" s="4">
        <v>0.303110478285623</v>
      </c>
      <c r="AM697" s="4">
        <v>0.0122760416005731</v>
      </c>
      <c r="AN697" s="4">
        <v>0.165079750359449</v>
      </c>
      <c r="AO697" s="4">
        <v>0.0019495307658751</v>
      </c>
      <c r="AP697" s="4"/>
      <c r="AQ697" s="4"/>
      <c r="AR697" s="4"/>
      <c r="AS697" s="4"/>
      <c r="AT697" s="4"/>
      <c r="AU697" s="4"/>
      <c r="AV697" s="4"/>
      <c r="AW697" s="4"/>
      <c r="AX697" s="4">
        <v>0.169838294905146</v>
      </c>
      <c r="AY697" s="4">
        <v>0.00400046700243285</v>
      </c>
      <c r="BR697" s="4">
        <v>0.688165486158753</v>
      </c>
      <c r="BS697" s="4">
        <v>0.000184641945194593</v>
      </c>
    </row>
    <row r="698" s="4" customFormat="1" spans="1:71">
      <c r="A698" s="4">
        <v>697</v>
      </c>
      <c r="B698" s="18">
        <v>109</v>
      </c>
      <c r="C698" s="19" t="s">
        <v>366</v>
      </c>
      <c r="D698" s="5" t="s">
        <v>367</v>
      </c>
      <c r="E698" s="9">
        <v>-2.3975</v>
      </c>
      <c r="F698" s="9">
        <v>-44.404</v>
      </c>
      <c r="G698" s="20">
        <v>26.7708339691162</v>
      </c>
      <c r="H698" s="21">
        <v>2370</v>
      </c>
      <c r="I698" s="4">
        <v>32</v>
      </c>
      <c r="J698" s="13" t="s">
        <v>188</v>
      </c>
      <c r="K698" s="5" t="s">
        <v>182</v>
      </c>
      <c r="L698" s="4">
        <v>2016</v>
      </c>
      <c r="M698" s="4">
        <v>5</v>
      </c>
      <c r="N698" s="5" t="s">
        <v>108</v>
      </c>
      <c r="O698" s="36" t="s">
        <v>80</v>
      </c>
      <c r="P698" s="29">
        <v>3.9</v>
      </c>
      <c r="Q698" s="4">
        <v>17.98</v>
      </c>
      <c r="R698" s="12"/>
      <c r="S698" s="13"/>
      <c r="T698" s="21">
        <v>27</v>
      </c>
      <c r="U698" s="21">
        <v>30</v>
      </c>
      <c r="V698" s="21">
        <v>43</v>
      </c>
      <c r="W698" s="4"/>
      <c r="X698" s="4"/>
      <c r="Y698" s="5" t="s">
        <v>82</v>
      </c>
      <c r="Z698" s="4">
        <v>3</v>
      </c>
      <c r="AA698" s="4">
        <v>3</v>
      </c>
      <c r="AB698" s="9">
        <v>0.151230969723923</v>
      </c>
      <c r="AC698" s="9">
        <v>0.000256361683990305</v>
      </c>
      <c r="AD698" s="9">
        <v>0.261501741054011</v>
      </c>
      <c r="AE698" s="9">
        <v>0.00533448946951658</v>
      </c>
      <c r="AF698" s="9">
        <v>0.110270771330086</v>
      </c>
      <c r="AG698" s="9">
        <v>0.00559085115350688</v>
      </c>
      <c r="AH698" s="9">
        <v>0.0685626714372967</v>
      </c>
      <c r="AI698" s="9">
        <v>0.00694155213105649</v>
      </c>
      <c r="AJ698" s="4">
        <v>0.0826682982866271</v>
      </c>
      <c r="AK698" s="4">
        <v>0.0071979138150468</v>
      </c>
      <c r="AL698" s="4">
        <v>0.192939069616714</v>
      </c>
      <c r="AM698" s="4">
        <v>0.0122760416005731</v>
      </c>
      <c r="AN698" s="4">
        <v>0.0976384695639161</v>
      </c>
      <c r="AO698" s="4">
        <v>0.000600004480272402</v>
      </c>
      <c r="AP698" s="4"/>
      <c r="AQ698" s="4"/>
      <c r="AR698" s="4"/>
      <c r="AS698" s="4"/>
      <c r="AT698" s="4"/>
      <c r="AU698" s="4"/>
      <c r="AV698" s="4"/>
      <c r="AW698" s="4"/>
      <c r="AX698" s="4">
        <v>0.470434261070701</v>
      </c>
      <c r="AY698" s="4">
        <v>0.00183867707616866</v>
      </c>
      <c r="BR698" s="4">
        <v>0.199065372486217</v>
      </c>
      <c r="BS698" s="4">
        <v>0.000343356970317354</v>
      </c>
    </row>
    <row r="699" s="4" customFormat="1" spans="1:71">
      <c r="A699" s="4">
        <v>698</v>
      </c>
      <c r="B699" s="18">
        <v>109</v>
      </c>
      <c r="C699" s="19" t="s">
        <v>366</v>
      </c>
      <c r="D699" s="5" t="s">
        <v>367</v>
      </c>
      <c r="E699" s="9">
        <v>-2.3975</v>
      </c>
      <c r="F699" s="9">
        <v>-44.404</v>
      </c>
      <c r="G699" s="20">
        <v>26.7708339691162</v>
      </c>
      <c r="H699" s="21">
        <v>2370</v>
      </c>
      <c r="I699" s="4">
        <v>32</v>
      </c>
      <c r="J699" s="13" t="s">
        <v>188</v>
      </c>
      <c r="K699" s="5" t="s">
        <v>182</v>
      </c>
      <c r="L699" s="4">
        <v>2015</v>
      </c>
      <c r="M699" s="4">
        <v>11</v>
      </c>
      <c r="N699" s="5" t="s">
        <v>113</v>
      </c>
      <c r="O699" s="36" t="s">
        <v>80</v>
      </c>
      <c r="P699" s="29">
        <v>3.9</v>
      </c>
      <c r="Q699" s="4">
        <f>26*0.58</f>
        <v>15.08</v>
      </c>
      <c r="R699" s="12"/>
      <c r="S699" s="13"/>
      <c r="T699" s="21">
        <v>27</v>
      </c>
      <c r="U699" s="21">
        <v>30</v>
      </c>
      <c r="V699" s="21">
        <v>43</v>
      </c>
      <c r="W699" s="4"/>
      <c r="X699" s="4"/>
      <c r="Y699" s="5" t="s">
        <v>82</v>
      </c>
      <c r="Z699" s="4">
        <v>3</v>
      </c>
      <c r="AA699" s="4">
        <v>3</v>
      </c>
      <c r="AB699" s="9">
        <v>0.153386445934502</v>
      </c>
      <c r="AC699" s="9">
        <v>0.000256361683990305</v>
      </c>
      <c r="AD699" s="9">
        <v>0.289973024198337</v>
      </c>
      <c r="AE699" s="9">
        <v>0.00533448946951659</v>
      </c>
      <c r="AF699" s="9">
        <v>0.136586578263835</v>
      </c>
      <c r="AG699" s="9">
        <v>0.00559085115350689</v>
      </c>
      <c r="AH699" s="9">
        <v>0.0114724011622368</v>
      </c>
      <c r="AI699" s="9">
        <v>0.00694155213105651</v>
      </c>
      <c r="AJ699" s="4">
        <v>0.141914044772264</v>
      </c>
      <c r="AK699" s="4">
        <v>0.00719791381504678</v>
      </c>
      <c r="AL699" s="4">
        <v>0.2785006230361</v>
      </c>
      <c r="AM699" s="4">
        <v>0.0122760416005731</v>
      </c>
      <c r="AN699" s="4">
        <v>0.120627987788615</v>
      </c>
      <c r="AO699" s="4">
        <v>0.00272357789840307</v>
      </c>
      <c r="AP699" s="4"/>
      <c r="AQ699" s="4"/>
      <c r="AR699" s="4"/>
      <c r="AS699" s="4"/>
      <c r="AT699" s="4"/>
      <c r="AU699" s="4"/>
      <c r="AV699" s="4"/>
      <c r="AW699" s="4"/>
      <c r="AX699" s="4">
        <v>0.250545332211567</v>
      </c>
      <c r="AY699" s="4">
        <v>0.0035542064563883</v>
      </c>
      <c r="BR699" s="4">
        <v>0.64291420672414</v>
      </c>
      <c r="BS699" s="4">
        <v>0.000179977186193899</v>
      </c>
    </row>
    <row r="700" s="4" customFormat="1" spans="1:71">
      <c r="A700" s="4">
        <v>699</v>
      </c>
      <c r="B700" s="18">
        <v>109</v>
      </c>
      <c r="C700" s="19" t="s">
        <v>366</v>
      </c>
      <c r="D700" s="5" t="s">
        <v>367</v>
      </c>
      <c r="E700" s="9">
        <v>-2.3975</v>
      </c>
      <c r="F700" s="9">
        <v>-44.404</v>
      </c>
      <c r="G700" s="20">
        <v>26.7708339691162</v>
      </c>
      <c r="H700" s="21">
        <v>2370</v>
      </c>
      <c r="I700" s="4">
        <v>32</v>
      </c>
      <c r="J700" s="13" t="s">
        <v>188</v>
      </c>
      <c r="K700" s="5" t="s">
        <v>182</v>
      </c>
      <c r="L700" s="4">
        <v>2016</v>
      </c>
      <c r="M700" s="4">
        <v>5</v>
      </c>
      <c r="N700" s="5" t="s">
        <v>108</v>
      </c>
      <c r="O700" s="36" t="s">
        <v>80</v>
      </c>
      <c r="P700" s="29">
        <v>3.9</v>
      </c>
      <c r="Q700" s="4">
        <v>15.08</v>
      </c>
      <c r="R700" s="12"/>
      <c r="S700" s="13"/>
      <c r="T700" s="21">
        <v>27</v>
      </c>
      <c r="U700" s="21">
        <v>30</v>
      </c>
      <c r="V700" s="21">
        <v>43</v>
      </c>
      <c r="W700" s="4"/>
      <c r="X700" s="4"/>
      <c r="Y700" s="5" t="s">
        <v>82</v>
      </c>
      <c r="Z700" s="4">
        <v>3</v>
      </c>
      <c r="AA700" s="4">
        <v>3</v>
      </c>
      <c r="AB700" s="9">
        <v>-0.486176488491337</v>
      </c>
      <c r="AC700" s="9">
        <v>0.000256361683990305</v>
      </c>
      <c r="AD700" s="9">
        <v>-0.0279087881170766</v>
      </c>
      <c r="AE700" s="9">
        <v>0.00533448946951658</v>
      </c>
      <c r="AF700" s="9">
        <v>0.45826770037426</v>
      </c>
      <c r="AG700" s="9">
        <v>0.00559085115350689</v>
      </c>
      <c r="AH700" s="9">
        <v>-0.0553500950831648</v>
      </c>
      <c r="AI700" s="9">
        <v>0.0069415521310565</v>
      </c>
      <c r="AJ700" s="4">
        <v>-0.430826393408173</v>
      </c>
      <c r="AK700" s="4">
        <v>0.00719791381504678</v>
      </c>
      <c r="AL700" s="4">
        <v>0.0274413069660876</v>
      </c>
      <c r="AM700" s="4">
        <v>0.0122760416005731</v>
      </c>
      <c r="AN700" s="4">
        <v>0.074107972153722</v>
      </c>
      <c r="AO700" s="4">
        <v>0.00122435561996002</v>
      </c>
      <c r="AP700" s="4"/>
      <c r="AQ700" s="4"/>
      <c r="AR700" s="4"/>
      <c r="AS700" s="4"/>
      <c r="AT700" s="4"/>
      <c r="AU700" s="4"/>
      <c r="AV700" s="4"/>
      <c r="AW700" s="4"/>
      <c r="AX700" s="4">
        <v>0.429453745551558</v>
      </c>
      <c r="AY700" s="4">
        <v>0.00276121387788842</v>
      </c>
      <c r="BR700" s="4">
        <v>-0.180955256084245</v>
      </c>
      <c r="BS700" s="4">
        <v>0.000465411976828817</v>
      </c>
    </row>
    <row r="701" s="3" customFormat="1" spans="1:57">
      <c r="A701" s="4">
        <v>700</v>
      </c>
      <c r="B701" s="6">
        <v>110</v>
      </c>
      <c r="C701" s="24" t="s">
        <v>215</v>
      </c>
      <c r="D701" s="13" t="s">
        <v>368</v>
      </c>
      <c r="E701" s="25">
        <v>23.4451563244573</v>
      </c>
      <c r="F701" s="25">
        <v>85.3120079040527</v>
      </c>
      <c r="G701" s="26">
        <v>23.1</v>
      </c>
      <c r="H701" s="27">
        <v>1450</v>
      </c>
      <c r="I701" s="3"/>
      <c r="J701" s="13" t="s">
        <v>94</v>
      </c>
      <c r="K701" s="5" t="s">
        <v>78</v>
      </c>
      <c r="L701" s="3">
        <v>2015</v>
      </c>
      <c r="M701" s="3">
        <v>4</v>
      </c>
      <c r="N701" s="13" t="s">
        <v>113</v>
      </c>
      <c r="O701" s="28" t="s">
        <v>80</v>
      </c>
      <c r="P701" s="7">
        <v>5.3</v>
      </c>
      <c r="Q701" s="12"/>
      <c r="R701" s="12"/>
      <c r="S701" s="13"/>
      <c r="T701" s="8">
        <v>25.4</v>
      </c>
      <c r="U701" s="8">
        <v>8.4</v>
      </c>
      <c r="V701" s="8">
        <v>66.2</v>
      </c>
      <c r="W701" s="6">
        <v>43</v>
      </c>
      <c r="X701" s="13" t="s">
        <v>141</v>
      </c>
      <c r="Y701" s="13" t="s">
        <v>82</v>
      </c>
      <c r="Z701" s="3">
        <v>3</v>
      </c>
      <c r="AA701" s="3">
        <v>3</v>
      </c>
      <c r="AB701" s="9">
        <v>0.061991676027968</v>
      </c>
      <c r="AC701" s="9">
        <v>0.000256361683990305</v>
      </c>
      <c r="AD701" s="25"/>
      <c r="AE701" s="25"/>
      <c r="AF701" s="9"/>
      <c r="AG701" s="9"/>
      <c r="AH701" s="9">
        <v>1e-6</v>
      </c>
      <c r="AI701" s="25">
        <v>0.00694155213105651</v>
      </c>
      <c r="AJ701" s="4">
        <v>0.061991676027968</v>
      </c>
      <c r="AK701" s="4">
        <v>0.00719791381504683</v>
      </c>
      <c r="AL701" s="3"/>
      <c r="AM701" s="3"/>
      <c r="AN701" s="4"/>
      <c r="AO701" s="4"/>
      <c r="AP701" s="3"/>
      <c r="AQ701" s="3"/>
      <c r="AR701" s="4"/>
      <c r="AS701" s="4"/>
      <c r="AT701" s="3"/>
      <c r="AU701" s="3"/>
      <c r="AV701" s="4">
        <v>0.325422400434628</v>
      </c>
      <c r="AW701" s="4">
        <v>0.00559950665344732</v>
      </c>
      <c r="AX701" s="3">
        <v>0.25326880949659</v>
      </c>
      <c r="AY701" s="3">
        <v>0.00521406478426879</v>
      </c>
      <c r="AZ701" s="3">
        <v>-0.0645385211375711</v>
      </c>
      <c r="BA701" s="3">
        <v>0.0041757577659659</v>
      </c>
      <c r="BD701" s="3">
        <v>0</v>
      </c>
      <c r="BE701" s="3">
        <v>0.00694155213105651</v>
      </c>
    </row>
    <row r="702" s="3" customFormat="1" spans="1:51">
      <c r="A702" s="4">
        <v>701</v>
      </c>
      <c r="B702" s="6">
        <v>110</v>
      </c>
      <c r="C702" s="24" t="s">
        <v>215</v>
      </c>
      <c r="D702" s="13" t="s">
        <v>368</v>
      </c>
      <c r="E702" s="25">
        <v>23.4451563244573</v>
      </c>
      <c r="F702" s="25">
        <v>85.3120079040527</v>
      </c>
      <c r="G702" s="26">
        <v>23.1</v>
      </c>
      <c r="H702" s="27">
        <v>1450</v>
      </c>
      <c r="I702" s="3"/>
      <c r="J702" s="13" t="s">
        <v>94</v>
      </c>
      <c r="K702" s="5" t="s">
        <v>78</v>
      </c>
      <c r="L702" s="3">
        <v>2015</v>
      </c>
      <c r="M702" s="3">
        <v>4</v>
      </c>
      <c r="N702" s="13" t="s">
        <v>113</v>
      </c>
      <c r="O702" s="28" t="s">
        <v>80</v>
      </c>
      <c r="P702" s="7">
        <v>5.3</v>
      </c>
      <c r="Q702" s="12"/>
      <c r="R702" s="12"/>
      <c r="S702" s="13"/>
      <c r="T702" s="8">
        <v>25.4</v>
      </c>
      <c r="U702" s="8">
        <v>8.4</v>
      </c>
      <c r="V702" s="8">
        <v>66.2</v>
      </c>
      <c r="W702" s="6">
        <v>43</v>
      </c>
      <c r="X702" s="13" t="s">
        <v>141</v>
      </c>
      <c r="Y702" s="13" t="s">
        <v>82</v>
      </c>
      <c r="Z702" s="3">
        <v>3</v>
      </c>
      <c r="AA702" s="3">
        <v>3</v>
      </c>
      <c r="AB702" s="9">
        <v>0.522521663529182</v>
      </c>
      <c r="AC702" s="9">
        <v>0.000256361683990305</v>
      </c>
      <c r="AD702" s="25"/>
      <c r="AE702" s="25"/>
      <c r="AF702" s="9"/>
      <c r="AG702" s="9"/>
      <c r="AH702" s="9">
        <v>1e-6</v>
      </c>
      <c r="AI702" s="25">
        <v>0.00694155213105651</v>
      </c>
      <c r="AJ702" s="4">
        <v>0.522521663529182</v>
      </c>
      <c r="AK702" s="4">
        <v>0.00719791381504683</v>
      </c>
      <c r="AL702" s="3"/>
      <c r="AM702" s="3"/>
      <c r="AN702" s="4"/>
      <c r="AO702" s="4"/>
      <c r="AP702" s="3"/>
      <c r="AQ702" s="3"/>
      <c r="AR702" s="4"/>
      <c r="AS702" s="4"/>
      <c r="AT702" s="3"/>
      <c r="AU702" s="3"/>
      <c r="AV702" s="4">
        <v>0.325422400434628</v>
      </c>
      <c r="AW702" s="4">
        <v>0.00559950665344732</v>
      </c>
      <c r="AX702" s="3">
        <v>0.433531628611487</v>
      </c>
      <c r="AY702" s="3">
        <v>0.00254041319777951</v>
      </c>
    </row>
    <row r="703" s="3" customFormat="1" spans="1:49">
      <c r="A703" s="4">
        <v>702</v>
      </c>
      <c r="B703" s="6">
        <v>110</v>
      </c>
      <c r="C703" s="24" t="s">
        <v>215</v>
      </c>
      <c r="D703" s="13" t="s">
        <v>368</v>
      </c>
      <c r="E703" s="25">
        <v>23.4451563244573</v>
      </c>
      <c r="F703" s="25">
        <v>85.3120079040527</v>
      </c>
      <c r="G703" s="26">
        <v>23.1</v>
      </c>
      <c r="H703" s="27">
        <v>1450</v>
      </c>
      <c r="I703" s="3"/>
      <c r="J703" s="13" t="s">
        <v>94</v>
      </c>
      <c r="K703" s="5" t="s">
        <v>78</v>
      </c>
      <c r="L703" s="3">
        <v>2015</v>
      </c>
      <c r="M703" s="3">
        <v>4</v>
      </c>
      <c r="N703" s="13" t="s">
        <v>113</v>
      </c>
      <c r="O703" s="28" t="s">
        <v>80</v>
      </c>
      <c r="P703" s="7">
        <v>5.3</v>
      </c>
      <c r="Q703" s="12"/>
      <c r="R703" s="12"/>
      <c r="S703" s="13"/>
      <c r="T703" s="8">
        <v>25.4</v>
      </c>
      <c r="U703" s="8">
        <v>8.4</v>
      </c>
      <c r="V703" s="8">
        <v>66.2</v>
      </c>
      <c r="W703" s="6">
        <v>43</v>
      </c>
      <c r="X703" s="13" t="s">
        <v>141</v>
      </c>
      <c r="Y703" s="13" t="s">
        <v>82</v>
      </c>
      <c r="Z703" s="3">
        <v>3</v>
      </c>
      <c r="AA703" s="3">
        <v>3</v>
      </c>
      <c r="AB703" s="9">
        <v>0.610560589550671</v>
      </c>
      <c r="AC703" s="9">
        <v>0.000256361683990305</v>
      </c>
      <c r="AD703" s="25"/>
      <c r="AE703" s="25"/>
      <c r="AF703" s="9"/>
      <c r="AG703" s="9"/>
      <c r="AH703" s="25">
        <v>1e-6</v>
      </c>
      <c r="AI703" s="25">
        <v>0.00694155213105651</v>
      </c>
      <c r="AJ703" s="4">
        <v>0.610560589550671</v>
      </c>
      <c r="AK703" s="4">
        <v>0.00719791381504681</v>
      </c>
      <c r="AL703" s="3"/>
      <c r="AM703" s="3"/>
      <c r="AN703" s="4"/>
      <c r="AO703" s="4"/>
      <c r="AP703" s="3"/>
      <c r="AQ703" s="3"/>
      <c r="AR703" s="4"/>
      <c r="AS703" s="4"/>
      <c r="AT703" s="3"/>
      <c r="AU703" s="3"/>
      <c r="AV703" s="4">
        <v>0.325422400434628</v>
      </c>
      <c r="AW703" s="4">
        <v>0.00559950665344732</v>
      </c>
    </row>
    <row r="704" s="3" customFormat="1" spans="1:57">
      <c r="A704" s="4">
        <v>703</v>
      </c>
      <c r="B704" s="6">
        <v>110</v>
      </c>
      <c r="C704" s="24" t="s">
        <v>215</v>
      </c>
      <c r="D704" s="13" t="s">
        <v>368</v>
      </c>
      <c r="E704" s="25">
        <v>23.4451563244573</v>
      </c>
      <c r="F704" s="25">
        <v>85.3120079040527</v>
      </c>
      <c r="G704" s="26">
        <v>23.1</v>
      </c>
      <c r="H704" s="27">
        <v>1450</v>
      </c>
      <c r="I704" s="3"/>
      <c r="J704" s="13" t="s">
        <v>94</v>
      </c>
      <c r="K704" s="5" t="s">
        <v>78</v>
      </c>
      <c r="L704" s="3">
        <v>2015</v>
      </c>
      <c r="M704" s="3">
        <v>4</v>
      </c>
      <c r="N704" s="13" t="s">
        <v>113</v>
      </c>
      <c r="O704" s="28" t="s">
        <v>136</v>
      </c>
      <c r="P704" s="7">
        <v>5.3</v>
      </c>
      <c r="Q704" s="12"/>
      <c r="R704" s="12"/>
      <c r="S704" s="13"/>
      <c r="T704" s="8">
        <v>25.4</v>
      </c>
      <c r="U704" s="8">
        <v>8.4</v>
      </c>
      <c r="V704" s="8">
        <v>66.2</v>
      </c>
      <c r="W704" s="6">
        <v>43</v>
      </c>
      <c r="X704" s="13" t="s">
        <v>141</v>
      </c>
      <c r="Y704" s="13" t="s">
        <v>82</v>
      </c>
      <c r="Z704" s="3">
        <v>3</v>
      </c>
      <c r="AA704" s="3">
        <v>3</v>
      </c>
      <c r="AB704" s="9">
        <v>1.06666068886151</v>
      </c>
      <c r="AC704" s="9">
        <v>0.000256361683990305</v>
      </c>
      <c r="AD704" s="25"/>
      <c r="AE704" s="25"/>
      <c r="AF704" s="9"/>
      <c r="AG704" s="9"/>
      <c r="AH704" s="25">
        <v>0.133531392624523</v>
      </c>
      <c r="AI704" s="25">
        <v>0.00694155213105648</v>
      </c>
      <c r="AJ704" s="4">
        <v>0.933129296236987</v>
      </c>
      <c r="AK704" s="4">
        <v>0.00719791381504678</v>
      </c>
      <c r="AL704" s="3"/>
      <c r="AM704" s="3"/>
      <c r="AN704" s="4"/>
      <c r="AO704" s="4"/>
      <c r="AP704" s="3"/>
      <c r="AQ704" s="3"/>
      <c r="AR704" s="4"/>
      <c r="AS704" s="4"/>
      <c r="AT704" s="3"/>
      <c r="AU704" s="3"/>
      <c r="AV704" s="4">
        <v>0.0953101798043249</v>
      </c>
      <c r="AW704" s="4">
        <v>0.00559950665344731</v>
      </c>
      <c r="AX704" s="3"/>
      <c r="AY704" s="3"/>
      <c r="AZ704" s="3">
        <v>0.211843996060276</v>
      </c>
      <c r="BA704" s="3">
        <v>0.0041757577659659</v>
      </c>
      <c r="BD704" s="3">
        <v>0.00236127618567991</v>
      </c>
      <c r="BE704" s="3">
        <v>0.0069415521310565</v>
      </c>
    </row>
    <row r="705" s="3" customFormat="1" spans="1:49">
      <c r="A705" s="4">
        <v>704</v>
      </c>
      <c r="B705" s="6">
        <v>110</v>
      </c>
      <c r="C705" s="24" t="s">
        <v>215</v>
      </c>
      <c r="D705" s="13" t="s">
        <v>368</v>
      </c>
      <c r="E705" s="25">
        <v>23.4451563244573</v>
      </c>
      <c r="F705" s="25">
        <v>85.3120079040527</v>
      </c>
      <c r="G705" s="26">
        <v>23.1</v>
      </c>
      <c r="H705" s="27">
        <v>1450</v>
      </c>
      <c r="I705" s="3"/>
      <c r="J705" s="13" t="s">
        <v>94</v>
      </c>
      <c r="K705" s="5" t="s">
        <v>78</v>
      </c>
      <c r="L705" s="3">
        <v>2015</v>
      </c>
      <c r="M705" s="3">
        <v>4</v>
      </c>
      <c r="N705" s="13" t="s">
        <v>113</v>
      </c>
      <c r="O705" s="28" t="s">
        <v>136</v>
      </c>
      <c r="P705" s="7">
        <v>5.3</v>
      </c>
      <c r="Q705" s="12"/>
      <c r="R705" s="12"/>
      <c r="S705" s="13"/>
      <c r="T705" s="8">
        <v>25.4</v>
      </c>
      <c r="U705" s="8">
        <v>8.4</v>
      </c>
      <c r="V705" s="8">
        <v>66.2</v>
      </c>
      <c r="W705" s="6">
        <v>43</v>
      </c>
      <c r="X705" s="13" t="s">
        <v>141</v>
      </c>
      <c r="Y705" s="13" t="s">
        <v>82</v>
      </c>
      <c r="Z705" s="3">
        <v>3</v>
      </c>
      <c r="AA705" s="3">
        <v>3</v>
      </c>
      <c r="AB705" s="9">
        <v>0.636634970296603</v>
      </c>
      <c r="AC705" s="9">
        <v>0.000256361683990305</v>
      </c>
      <c r="AD705" s="25"/>
      <c r="AE705" s="25"/>
      <c r="AF705" s="9"/>
      <c r="AG705" s="9"/>
      <c r="AH705" s="25">
        <v>0.133531392624523</v>
      </c>
      <c r="AI705" s="25">
        <v>0.00694155213105648</v>
      </c>
      <c r="AJ705" s="4">
        <v>0.503103577672081</v>
      </c>
      <c r="AK705" s="4">
        <v>0.00719791381504679</v>
      </c>
      <c r="AL705" s="3"/>
      <c r="AM705" s="3"/>
      <c r="AN705" s="4"/>
      <c r="AO705" s="4"/>
      <c r="AP705" s="3"/>
      <c r="AQ705" s="3"/>
      <c r="AR705" s="4"/>
      <c r="AS705" s="4"/>
      <c r="AT705" s="3"/>
      <c r="AU705" s="3"/>
      <c r="AV705" s="4">
        <v>0.0953101798043249</v>
      </c>
      <c r="AW705" s="4">
        <v>0.00559950665344731</v>
      </c>
    </row>
    <row r="706" s="3" customFormat="1" spans="1:49">
      <c r="A706" s="4">
        <v>705</v>
      </c>
      <c r="B706" s="6">
        <v>110</v>
      </c>
      <c r="C706" s="24" t="s">
        <v>215</v>
      </c>
      <c r="D706" s="13" t="s">
        <v>368</v>
      </c>
      <c r="E706" s="25">
        <v>23.4451563244573</v>
      </c>
      <c r="F706" s="25">
        <v>85.3120079040527</v>
      </c>
      <c r="G706" s="26">
        <v>23.1</v>
      </c>
      <c r="H706" s="27">
        <v>1450</v>
      </c>
      <c r="I706" s="3"/>
      <c r="J706" s="13" t="s">
        <v>94</v>
      </c>
      <c r="K706" s="5" t="s">
        <v>78</v>
      </c>
      <c r="L706" s="3">
        <v>2015</v>
      </c>
      <c r="M706" s="3">
        <v>4</v>
      </c>
      <c r="N706" s="13" t="s">
        <v>113</v>
      </c>
      <c r="O706" s="28" t="s">
        <v>136</v>
      </c>
      <c r="P706" s="7">
        <v>5.3</v>
      </c>
      <c r="Q706" s="12"/>
      <c r="R706" s="12"/>
      <c r="S706" s="13"/>
      <c r="T706" s="8">
        <v>25.4</v>
      </c>
      <c r="U706" s="8">
        <v>8.4</v>
      </c>
      <c r="V706" s="8">
        <v>66.2</v>
      </c>
      <c r="W706" s="6">
        <v>43</v>
      </c>
      <c r="X706" s="13" t="s">
        <v>141</v>
      </c>
      <c r="Y706" s="13" t="s">
        <v>82</v>
      </c>
      <c r="Z706" s="3">
        <v>3</v>
      </c>
      <c r="AA706" s="3">
        <v>3</v>
      </c>
      <c r="AB706" s="9">
        <v>0.964022134695345</v>
      </c>
      <c r="AC706" s="9">
        <v>0.000256361683990305</v>
      </c>
      <c r="AD706" s="25"/>
      <c r="AE706" s="25"/>
      <c r="AF706" s="9"/>
      <c r="AG706" s="9"/>
      <c r="AH706" s="25">
        <v>0.133531392624523</v>
      </c>
      <c r="AI706" s="25">
        <v>0.00694155213105648</v>
      </c>
      <c r="AJ706" s="4">
        <v>0.830490742070824</v>
      </c>
      <c r="AK706" s="4">
        <v>0.00719791381504681</v>
      </c>
      <c r="AL706" s="3"/>
      <c r="AM706" s="3"/>
      <c r="AN706" s="4"/>
      <c r="AO706" s="4"/>
      <c r="AP706" s="3"/>
      <c r="AQ706" s="3"/>
      <c r="AR706" s="4"/>
      <c r="AS706" s="4"/>
      <c r="AT706" s="3"/>
      <c r="AU706" s="3"/>
      <c r="AV706" s="4">
        <v>0.0953101798043249</v>
      </c>
      <c r="AW706" s="4">
        <v>0.00559950665344731</v>
      </c>
    </row>
    <row r="707" s="3" customFormat="1" spans="1:57">
      <c r="A707" s="4">
        <v>706</v>
      </c>
      <c r="B707" s="6">
        <v>110</v>
      </c>
      <c r="C707" s="24" t="s">
        <v>215</v>
      </c>
      <c r="D707" s="13" t="s">
        <v>368</v>
      </c>
      <c r="E707" s="25">
        <v>23.4451563244573</v>
      </c>
      <c r="F707" s="25">
        <v>85.3120079040527</v>
      </c>
      <c r="G707" s="26">
        <v>23.1</v>
      </c>
      <c r="H707" s="27">
        <v>1450</v>
      </c>
      <c r="I707" s="3"/>
      <c r="J707" s="13" t="s">
        <v>95</v>
      </c>
      <c r="K707" s="5" t="s">
        <v>78</v>
      </c>
      <c r="L707" s="3">
        <v>2015</v>
      </c>
      <c r="M707" s="3">
        <v>4</v>
      </c>
      <c r="N707" s="13" t="s">
        <v>113</v>
      </c>
      <c r="O707" s="28" t="s">
        <v>80</v>
      </c>
      <c r="P707" s="7">
        <v>5.3</v>
      </c>
      <c r="Q707" s="12"/>
      <c r="R707" s="12"/>
      <c r="S707" s="13"/>
      <c r="T707" s="8">
        <v>25.4</v>
      </c>
      <c r="U707" s="8">
        <v>8.4</v>
      </c>
      <c r="V707" s="8">
        <v>66.2</v>
      </c>
      <c r="W707" s="6">
        <v>43</v>
      </c>
      <c r="X707" s="13" t="s">
        <v>141</v>
      </c>
      <c r="Y707" s="13" t="s">
        <v>82</v>
      </c>
      <c r="Z707" s="3">
        <v>3</v>
      </c>
      <c r="AA707" s="3">
        <v>3</v>
      </c>
      <c r="AB707" s="9">
        <v>0.22314355131421</v>
      </c>
      <c r="AC707" s="9">
        <v>0.000256361683990305</v>
      </c>
      <c r="AD707" s="25"/>
      <c r="AE707" s="25"/>
      <c r="AF707" s="9"/>
      <c r="AG707" s="9"/>
      <c r="AH707" s="25">
        <v>0.149531733970964</v>
      </c>
      <c r="AI707" s="25">
        <v>0.0069415521310565</v>
      </c>
      <c r="AJ707" s="4">
        <v>0.0736118173432462</v>
      </c>
      <c r="AK707" s="4">
        <v>0.00719791381504682</v>
      </c>
      <c r="AL707" s="3"/>
      <c r="AM707" s="3"/>
      <c r="AN707" s="4"/>
      <c r="AO707" s="4"/>
      <c r="AP707" s="3"/>
      <c r="AQ707" s="3"/>
      <c r="AR707" s="4"/>
      <c r="AS707" s="4"/>
      <c r="AT707" s="3"/>
      <c r="AU707" s="3"/>
      <c r="AV707" s="4">
        <v>0.325422400434628</v>
      </c>
      <c r="AW707" s="4">
        <v>0.00559950665344732</v>
      </c>
      <c r="AX707" s="3"/>
      <c r="AY707" s="3"/>
      <c r="AZ707" s="3">
        <v>-0.0104712998672954</v>
      </c>
      <c r="BA707" s="3">
        <v>0.0041757577659659</v>
      </c>
      <c r="BD707" s="3">
        <v>0.0804106929582776</v>
      </c>
      <c r="BE707" s="3">
        <v>0.00694155213105651</v>
      </c>
    </row>
    <row r="708" s="3" customFormat="1" spans="1:49">
      <c r="A708" s="4">
        <v>707</v>
      </c>
      <c r="B708" s="6">
        <v>110</v>
      </c>
      <c r="C708" s="24" t="s">
        <v>215</v>
      </c>
      <c r="D708" s="13" t="s">
        <v>368</v>
      </c>
      <c r="E708" s="25">
        <v>23.4451563244573</v>
      </c>
      <c r="F708" s="25">
        <v>85.3120079040527</v>
      </c>
      <c r="G708" s="26">
        <v>23.1</v>
      </c>
      <c r="H708" s="27">
        <v>1450</v>
      </c>
      <c r="I708" s="3"/>
      <c r="J708" s="13" t="s">
        <v>95</v>
      </c>
      <c r="K708" s="5" t="s">
        <v>78</v>
      </c>
      <c r="L708" s="3">
        <v>2015</v>
      </c>
      <c r="M708" s="3">
        <v>4</v>
      </c>
      <c r="N708" s="13" t="s">
        <v>113</v>
      </c>
      <c r="O708" s="28" t="s">
        <v>80</v>
      </c>
      <c r="P708" s="7">
        <v>5.3</v>
      </c>
      <c r="Q708" s="12"/>
      <c r="R708" s="12"/>
      <c r="S708" s="13"/>
      <c r="T708" s="8">
        <v>25.4</v>
      </c>
      <c r="U708" s="8">
        <v>8.4</v>
      </c>
      <c r="V708" s="8">
        <v>66.2</v>
      </c>
      <c r="W708" s="6">
        <v>43</v>
      </c>
      <c r="X708" s="13" t="s">
        <v>141</v>
      </c>
      <c r="Y708" s="13" t="s">
        <v>82</v>
      </c>
      <c r="Z708" s="3">
        <v>3</v>
      </c>
      <c r="AA708" s="3">
        <v>3</v>
      </c>
      <c r="AB708" s="9">
        <v>0.70290335550531</v>
      </c>
      <c r="AC708" s="9">
        <v>0.000256361683990305</v>
      </c>
      <c r="AD708" s="25"/>
      <c r="AE708" s="25"/>
      <c r="AF708" s="9"/>
      <c r="AG708" s="9"/>
      <c r="AH708" s="25">
        <v>0.149531733970964</v>
      </c>
      <c r="AI708" s="25">
        <v>0.0069415521310565</v>
      </c>
      <c r="AJ708" s="4">
        <v>0.553371621534346</v>
      </c>
      <c r="AK708" s="4">
        <v>0.00719791381504682</v>
      </c>
      <c r="AL708" s="3"/>
      <c r="AM708" s="3"/>
      <c r="AN708" s="4"/>
      <c r="AO708" s="4"/>
      <c r="AP708" s="3"/>
      <c r="AQ708" s="3"/>
      <c r="AR708" s="4"/>
      <c r="AS708" s="4"/>
      <c r="AT708" s="3"/>
      <c r="AU708" s="3"/>
      <c r="AV708" s="4">
        <v>0.325422400434628</v>
      </c>
      <c r="AW708" s="4">
        <v>0.00559950665344732</v>
      </c>
    </row>
    <row r="709" s="3" customFormat="1" spans="1:49">
      <c r="A709" s="4">
        <v>708</v>
      </c>
      <c r="B709" s="6">
        <v>110</v>
      </c>
      <c r="C709" s="24" t="s">
        <v>215</v>
      </c>
      <c r="D709" s="13" t="s">
        <v>368</v>
      </c>
      <c r="E709" s="25">
        <v>23.4451563244573</v>
      </c>
      <c r="F709" s="25">
        <v>85.3120079040527</v>
      </c>
      <c r="G709" s="26">
        <v>23.1</v>
      </c>
      <c r="H709" s="27">
        <v>1450</v>
      </c>
      <c r="I709" s="3"/>
      <c r="J709" s="13" t="s">
        <v>95</v>
      </c>
      <c r="K709" s="5" t="s">
        <v>78</v>
      </c>
      <c r="L709" s="3">
        <v>2015</v>
      </c>
      <c r="M709" s="3">
        <v>4</v>
      </c>
      <c r="N709" s="13" t="s">
        <v>113</v>
      </c>
      <c r="O709" s="28" t="s">
        <v>80</v>
      </c>
      <c r="P709" s="7">
        <v>5.3</v>
      </c>
      <c r="Q709" s="12"/>
      <c r="R709" s="12"/>
      <c r="S709" s="13"/>
      <c r="T709" s="8">
        <v>25.4</v>
      </c>
      <c r="U709" s="8">
        <v>8.4</v>
      </c>
      <c r="V709" s="8">
        <v>66.2</v>
      </c>
      <c r="W709" s="6">
        <v>43</v>
      </c>
      <c r="X709" s="13" t="s">
        <v>141</v>
      </c>
      <c r="Y709" s="13" t="s">
        <v>82</v>
      </c>
      <c r="Z709" s="3">
        <v>3</v>
      </c>
      <c r="AA709" s="3">
        <v>3</v>
      </c>
      <c r="AB709" s="9">
        <v>0.786237603625957</v>
      </c>
      <c r="AC709" s="9">
        <v>0.000256361683990305</v>
      </c>
      <c r="AD709" s="25"/>
      <c r="AE709" s="25"/>
      <c r="AF709" s="9"/>
      <c r="AG709" s="9"/>
      <c r="AH709" s="25">
        <v>0.149531733970964</v>
      </c>
      <c r="AI709" s="25">
        <v>0.0069415521310565</v>
      </c>
      <c r="AJ709" s="4">
        <v>0.636705869654994</v>
      </c>
      <c r="AK709" s="4">
        <v>0.0071979138150468</v>
      </c>
      <c r="AL709" s="3"/>
      <c r="AM709" s="3"/>
      <c r="AN709" s="4"/>
      <c r="AO709" s="4"/>
      <c r="AP709" s="3"/>
      <c r="AQ709" s="3"/>
      <c r="AR709" s="4"/>
      <c r="AS709" s="4"/>
      <c r="AT709" s="3"/>
      <c r="AU709" s="3"/>
      <c r="AV709" s="4">
        <v>0.325422400434628</v>
      </c>
      <c r="AW709" s="4">
        <v>0.00559950665344732</v>
      </c>
    </row>
    <row r="710" s="3" customFormat="1" spans="1:57">
      <c r="A710" s="4">
        <v>709</v>
      </c>
      <c r="B710" s="6">
        <v>110</v>
      </c>
      <c r="C710" s="24" t="s">
        <v>215</v>
      </c>
      <c r="D710" s="13" t="s">
        <v>368</v>
      </c>
      <c r="E710" s="25">
        <v>23.4451563244573</v>
      </c>
      <c r="F710" s="25">
        <v>85.3120079040527</v>
      </c>
      <c r="G710" s="26">
        <v>23.1</v>
      </c>
      <c r="H710" s="27">
        <v>1450</v>
      </c>
      <c r="I710" s="3"/>
      <c r="J710" s="13" t="s">
        <v>95</v>
      </c>
      <c r="K710" s="5" t="s">
        <v>78</v>
      </c>
      <c r="L710" s="3">
        <v>2015</v>
      </c>
      <c r="M710" s="3">
        <v>4</v>
      </c>
      <c r="N710" s="13" t="s">
        <v>113</v>
      </c>
      <c r="O710" s="28" t="s">
        <v>136</v>
      </c>
      <c r="P710" s="7">
        <v>5.3</v>
      </c>
      <c r="Q710" s="12"/>
      <c r="R710" s="12"/>
      <c r="S710" s="13"/>
      <c r="T710" s="8">
        <v>25.4</v>
      </c>
      <c r="U710" s="8">
        <v>8.4</v>
      </c>
      <c r="V710" s="8">
        <v>66.2</v>
      </c>
      <c r="W710" s="6">
        <v>43</v>
      </c>
      <c r="X710" s="13" t="s">
        <v>141</v>
      </c>
      <c r="Y710" s="13" t="s">
        <v>82</v>
      </c>
      <c r="Z710" s="3">
        <v>3</v>
      </c>
      <c r="AA710" s="3">
        <v>3</v>
      </c>
      <c r="AB710" s="9">
        <v>1.28720345847566</v>
      </c>
      <c r="AC710" s="9">
        <v>0.000256361683990305</v>
      </c>
      <c r="AD710" s="25"/>
      <c r="AE710" s="25"/>
      <c r="AF710" s="9"/>
      <c r="AG710" s="9"/>
      <c r="AH710" s="25">
        <v>0.251314428280906</v>
      </c>
      <c r="AI710" s="25">
        <v>0.0069415521310565</v>
      </c>
      <c r="AJ710" s="4">
        <v>1.03588903019476</v>
      </c>
      <c r="AK710" s="4">
        <v>0.00719791381504681</v>
      </c>
      <c r="AL710" s="3"/>
      <c r="AM710" s="3"/>
      <c r="AN710" s="4"/>
      <c r="AO710" s="4"/>
      <c r="AP710" s="3"/>
      <c r="AQ710" s="3"/>
      <c r="AR710" s="4"/>
      <c r="AS710" s="4"/>
      <c r="AT710" s="3"/>
      <c r="AU710" s="3"/>
      <c r="AV710" s="4">
        <v>0.0953101798043249</v>
      </c>
      <c r="AW710" s="4">
        <v>0.00559950665344731</v>
      </c>
      <c r="AX710" s="3"/>
      <c r="AY710" s="3"/>
      <c r="AZ710" s="3">
        <v>0.155754529409233</v>
      </c>
      <c r="BA710" s="3">
        <v>0.0041757577659659</v>
      </c>
      <c r="BD710" s="3">
        <v>0.0685199464367561</v>
      </c>
      <c r="BE710" s="3">
        <v>0.0069415521310565</v>
      </c>
    </row>
    <row r="711" s="3" customFormat="1" spans="1:49">
      <c r="A711" s="4">
        <v>710</v>
      </c>
      <c r="B711" s="6">
        <v>110</v>
      </c>
      <c r="C711" s="24" t="s">
        <v>215</v>
      </c>
      <c r="D711" s="13" t="s">
        <v>368</v>
      </c>
      <c r="E711" s="25">
        <v>23.4451563244573</v>
      </c>
      <c r="F711" s="25">
        <v>85.3120079040527</v>
      </c>
      <c r="G711" s="26">
        <v>23.1</v>
      </c>
      <c r="H711" s="27">
        <v>1450</v>
      </c>
      <c r="I711" s="3"/>
      <c r="J711" s="13" t="s">
        <v>95</v>
      </c>
      <c r="K711" s="5" t="s">
        <v>78</v>
      </c>
      <c r="L711" s="3">
        <v>2015</v>
      </c>
      <c r="M711" s="3">
        <v>4</v>
      </c>
      <c r="N711" s="13" t="s">
        <v>113</v>
      </c>
      <c r="O711" s="28" t="s">
        <v>136</v>
      </c>
      <c r="P711" s="7">
        <v>5.3</v>
      </c>
      <c r="Q711" s="12"/>
      <c r="R711" s="12"/>
      <c r="S711" s="13"/>
      <c r="T711" s="8">
        <v>25.4</v>
      </c>
      <c r="U711" s="8">
        <v>8.4</v>
      </c>
      <c r="V711" s="8">
        <v>66.2</v>
      </c>
      <c r="W711" s="6">
        <v>43</v>
      </c>
      <c r="X711" s="13" t="s">
        <v>141</v>
      </c>
      <c r="Y711" s="13" t="s">
        <v>82</v>
      </c>
      <c r="Z711" s="3">
        <v>3</v>
      </c>
      <c r="AA711" s="3">
        <v>3</v>
      </c>
      <c r="AB711" s="9">
        <v>0.736164565643636</v>
      </c>
      <c r="AC711" s="9">
        <v>0.000256361683990305</v>
      </c>
      <c r="AD711" s="25"/>
      <c r="AE711" s="25"/>
      <c r="AF711" s="9"/>
      <c r="AG711" s="9"/>
      <c r="AH711" s="25">
        <v>0.251314428280906</v>
      </c>
      <c r="AI711" s="25">
        <v>0.0069415521310565</v>
      </c>
      <c r="AJ711" s="4">
        <v>0.484850137362731</v>
      </c>
      <c r="AK711" s="4">
        <v>0.00719791381504682</v>
      </c>
      <c r="AL711" s="3"/>
      <c r="AM711" s="3"/>
      <c r="AN711" s="4"/>
      <c r="AO711" s="4"/>
      <c r="AP711" s="3"/>
      <c r="AQ711" s="3"/>
      <c r="AR711" s="4"/>
      <c r="AS711" s="4"/>
      <c r="AT711" s="3"/>
      <c r="AU711" s="3"/>
      <c r="AV711" s="4">
        <v>0.0953101798043249</v>
      </c>
      <c r="AW711" s="4">
        <v>0.00559950665344731</v>
      </c>
    </row>
    <row r="712" s="3" customFormat="1" spans="1:49">
      <c r="A712" s="4">
        <v>711</v>
      </c>
      <c r="B712" s="6">
        <v>110</v>
      </c>
      <c r="C712" s="24" t="s">
        <v>215</v>
      </c>
      <c r="D712" s="13" t="s">
        <v>368</v>
      </c>
      <c r="E712" s="25">
        <v>23.4451563244573</v>
      </c>
      <c r="F712" s="25">
        <v>85.3120079040527</v>
      </c>
      <c r="G712" s="26">
        <v>23.1</v>
      </c>
      <c r="H712" s="27">
        <v>1450</v>
      </c>
      <c r="I712" s="3"/>
      <c r="J712" s="13" t="s">
        <v>95</v>
      </c>
      <c r="K712" s="5" t="s">
        <v>78</v>
      </c>
      <c r="L712" s="3">
        <v>2015</v>
      </c>
      <c r="M712" s="3">
        <v>4</v>
      </c>
      <c r="N712" s="13" t="s">
        <v>113</v>
      </c>
      <c r="O712" s="28" t="s">
        <v>136</v>
      </c>
      <c r="P712" s="7">
        <v>5.3</v>
      </c>
      <c r="Q712" s="12"/>
      <c r="R712" s="12"/>
      <c r="S712" s="13"/>
      <c r="T712" s="8">
        <v>25.4</v>
      </c>
      <c r="U712" s="8">
        <v>8.4</v>
      </c>
      <c r="V712" s="8">
        <v>66.2</v>
      </c>
      <c r="W712" s="6">
        <v>43</v>
      </c>
      <c r="X712" s="13" t="s">
        <v>141</v>
      </c>
      <c r="Y712" s="13" t="s">
        <v>82</v>
      </c>
      <c r="Z712" s="3">
        <v>3</v>
      </c>
      <c r="AA712" s="3">
        <v>3</v>
      </c>
      <c r="AB712" s="9">
        <v>1.21721803107596</v>
      </c>
      <c r="AC712" s="9">
        <v>0.000256361683990305</v>
      </c>
      <c r="AD712" s="25"/>
      <c r="AE712" s="25"/>
      <c r="AF712" s="9"/>
      <c r="AG712" s="9"/>
      <c r="AH712" s="25">
        <v>0.251314428280906</v>
      </c>
      <c r="AI712" s="25">
        <v>0.0069415521310565</v>
      </c>
      <c r="AJ712" s="4">
        <v>0.965903602795052</v>
      </c>
      <c r="AK712" s="4">
        <v>0.00719791381504683</v>
      </c>
      <c r="AL712" s="3"/>
      <c r="AM712" s="3"/>
      <c r="AN712" s="4"/>
      <c r="AO712" s="4"/>
      <c r="AP712" s="3"/>
      <c r="AQ712" s="3"/>
      <c r="AR712" s="4"/>
      <c r="AS712" s="4"/>
      <c r="AT712" s="3"/>
      <c r="AU712" s="3"/>
      <c r="AV712" s="4">
        <v>0.0953101798043249</v>
      </c>
      <c r="AW712" s="4">
        <v>0.00559950665344731</v>
      </c>
    </row>
    <row r="713" s="3" customFormat="1" spans="1:57">
      <c r="A713" s="4">
        <v>712</v>
      </c>
      <c r="B713" s="6">
        <v>110</v>
      </c>
      <c r="C713" s="24" t="s">
        <v>215</v>
      </c>
      <c r="D713" s="13" t="s">
        <v>368</v>
      </c>
      <c r="E713" s="25">
        <v>23.4451563244573</v>
      </c>
      <c r="F713" s="25">
        <v>85.3120079040527</v>
      </c>
      <c r="G713" s="26">
        <v>23.1</v>
      </c>
      <c r="H713" s="27">
        <v>1450</v>
      </c>
      <c r="I713" s="3"/>
      <c r="J713" s="13" t="s">
        <v>90</v>
      </c>
      <c r="K713" s="5" t="s">
        <v>78</v>
      </c>
      <c r="L713" s="3">
        <v>2015</v>
      </c>
      <c r="M713" s="3">
        <v>4</v>
      </c>
      <c r="N713" s="13" t="s">
        <v>113</v>
      </c>
      <c r="O713" s="28" t="s">
        <v>80</v>
      </c>
      <c r="P713" s="7">
        <v>5.3</v>
      </c>
      <c r="Q713" s="12"/>
      <c r="R713" s="12"/>
      <c r="S713" s="13"/>
      <c r="T713" s="8">
        <v>25.4</v>
      </c>
      <c r="U713" s="8">
        <v>8.4</v>
      </c>
      <c r="V713" s="8">
        <v>66.2</v>
      </c>
      <c r="W713" s="6">
        <v>43</v>
      </c>
      <c r="X713" s="13" t="s">
        <v>141</v>
      </c>
      <c r="Y713" s="13" t="s">
        <v>82</v>
      </c>
      <c r="Z713" s="3">
        <v>3</v>
      </c>
      <c r="AA713" s="3">
        <v>3</v>
      </c>
      <c r="AB713" s="9">
        <v>0.312091037330706</v>
      </c>
      <c r="AC713" s="9">
        <v>0.000256361683990305</v>
      </c>
      <c r="AD713" s="25"/>
      <c r="AE713" s="25"/>
      <c r="AF713" s="9"/>
      <c r="AG713" s="9"/>
      <c r="AH713" s="25">
        <v>0.203598955241239</v>
      </c>
      <c r="AI713" s="25">
        <v>0.0069415521310565</v>
      </c>
      <c r="AJ713" s="4">
        <v>0.108492082089467</v>
      </c>
      <c r="AK713" s="4">
        <v>0.00719791381504681</v>
      </c>
      <c r="AL713" s="3"/>
      <c r="AM713" s="3"/>
      <c r="AN713" s="4"/>
      <c r="AO713" s="4"/>
      <c r="AP713" s="3"/>
      <c r="AQ713" s="3"/>
      <c r="AR713" s="4"/>
      <c r="AS713" s="4"/>
      <c r="AT713" s="3"/>
      <c r="AU713" s="3"/>
      <c r="AV713" s="4">
        <v>0.479573080261886</v>
      </c>
      <c r="AW713" s="4">
        <v>0.0055995066534473</v>
      </c>
      <c r="AX713" s="3"/>
      <c r="AY713" s="3"/>
      <c r="AZ713" s="3">
        <v>0.099090902644231</v>
      </c>
      <c r="BA713" s="3">
        <v>0.0041757577659659</v>
      </c>
      <c r="BD713" s="3">
        <v>0.202843192514752</v>
      </c>
      <c r="BE713" s="3">
        <v>0.00694155213105651</v>
      </c>
    </row>
    <row r="714" s="3" customFormat="1" spans="1:49">
      <c r="A714" s="4">
        <v>713</v>
      </c>
      <c r="B714" s="6">
        <v>110</v>
      </c>
      <c r="C714" s="24" t="s">
        <v>215</v>
      </c>
      <c r="D714" s="13" t="s">
        <v>368</v>
      </c>
      <c r="E714" s="25">
        <v>23.4451563244573</v>
      </c>
      <c r="F714" s="25">
        <v>85.3120079040527</v>
      </c>
      <c r="G714" s="26">
        <v>23.1</v>
      </c>
      <c r="H714" s="27">
        <v>1450</v>
      </c>
      <c r="I714" s="3"/>
      <c r="J714" s="13" t="s">
        <v>90</v>
      </c>
      <c r="K714" s="5" t="s">
        <v>78</v>
      </c>
      <c r="L714" s="3">
        <v>2015</v>
      </c>
      <c r="M714" s="3">
        <v>4</v>
      </c>
      <c r="N714" s="13" t="s">
        <v>113</v>
      </c>
      <c r="O714" s="28" t="s">
        <v>80</v>
      </c>
      <c r="P714" s="7">
        <v>5.3</v>
      </c>
      <c r="Q714" s="12"/>
      <c r="R714" s="12"/>
      <c r="S714" s="13"/>
      <c r="T714" s="8">
        <v>25.4</v>
      </c>
      <c r="U714" s="8">
        <v>8.4</v>
      </c>
      <c r="V714" s="8">
        <v>66.2</v>
      </c>
      <c r="W714" s="6">
        <v>43</v>
      </c>
      <c r="X714" s="13" t="s">
        <v>141</v>
      </c>
      <c r="Y714" s="13" t="s">
        <v>82</v>
      </c>
      <c r="Z714" s="3">
        <v>3</v>
      </c>
      <c r="AA714" s="3">
        <v>3</v>
      </c>
      <c r="AB714" s="9">
        <v>1.10836846361347</v>
      </c>
      <c r="AC714" s="9">
        <v>0.000256361683990305</v>
      </c>
      <c r="AD714" s="25"/>
      <c r="AE714" s="25"/>
      <c r="AF714" s="9"/>
      <c r="AG714" s="9"/>
      <c r="AH714" s="25">
        <v>0.203598955241239</v>
      </c>
      <c r="AI714" s="25">
        <v>0.0069415521310565</v>
      </c>
      <c r="AJ714" s="4">
        <v>0.904769508372235</v>
      </c>
      <c r="AK714" s="4">
        <v>0.00719791381504682</v>
      </c>
      <c r="AL714" s="3"/>
      <c r="AM714" s="3"/>
      <c r="AN714" s="4"/>
      <c r="AO714" s="4"/>
      <c r="AP714" s="3"/>
      <c r="AQ714" s="3"/>
      <c r="AR714" s="4"/>
      <c r="AS714" s="4"/>
      <c r="AT714" s="3"/>
      <c r="AU714" s="3"/>
      <c r="AV714" s="4">
        <v>0.479573080261886</v>
      </c>
      <c r="AW714" s="4">
        <v>0.0055995066534473</v>
      </c>
    </row>
    <row r="715" s="3" customFormat="1" spans="1:49">
      <c r="A715" s="4">
        <v>714</v>
      </c>
      <c r="B715" s="6">
        <v>110</v>
      </c>
      <c r="C715" s="24" t="s">
        <v>215</v>
      </c>
      <c r="D715" s="13" t="s">
        <v>368</v>
      </c>
      <c r="E715" s="25">
        <v>23.4451563244573</v>
      </c>
      <c r="F715" s="25">
        <v>85.3120079040527</v>
      </c>
      <c r="G715" s="26">
        <v>23.1</v>
      </c>
      <c r="H715" s="27">
        <v>1450</v>
      </c>
      <c r="I715" s="3"/>
      <c r="J715" s="13" t="s">
        <v>90</v>
      </c>
      <c r="K715" s="5" t="s">
        <v>78</v>
      </c>
      <c r="L715" s="3">
        <v>2015</v>
      </c>
      <c r="M715" s="3">
        <v>4</v>
      </c>
      <c r="N715" s="13" t="s">
        <v>113</v>
      </c>
      <c r="O715" s="28" t="s">
        <v>80</v>
      </c>
      <c r="P715" s="7">
        <v>5.3</v>
      </c>
      <c r="Q715" s="12"/>
      <c r="R715" s="12"/>
      <c r="S715" s="13"/>
      <c r="T715" s="8">
        <v>25.4</v>
      </c>
      <c r="U715" s="8">
        <v>8.4</v>
      </c>
      <c r="V715" s="8">
        <v>66.2</v>
      </c>
      <c r="W715" s="6">
        <v>43</v>
      </c>
      <c r="X715" s="13" t="s">
        <v>141</v>
      </c>
      <c r="Y715" s="13" t="s">
        <v>82</v>
      </c>
      <c r="Z715" s="3">
        <v>3</v>
      </c>
      <c r="AA715" s="3">
        <v>3</v>
      </c>
      <c r="AB715" s="9">
        <v>1.06974430466726</v>
      </c>
      <c r="AC715" s="9">
        <v>0.000256361683990305</v>
      </c>
      <c r="AD715" s="25"/>
      <c r="AE715" s="25"/>
      <c r="AF715" s="9"/>
      <c r="AG715" s="9"/>
      <c r="AH715" s="25">
        <v>0.203598955241239</v>
      </c>
      <c r="AI715" s="25">
        <v>0.0069415521310565</v>
      </c>
      <c r="AJ715" s="4">
        <v>0.866145349426019</v>
      </c>
      <c r="AK715" s="4">
        <v>0.0071979138150468</v>
      </c>
      <c r="AL715" s="3"/>
      <c r="AM715" s="3"/>
      <c r="AN715" s="4"/>
      <c r="AO715" s="4"/>
      <c r="AP715" s="3"/>
      <c r="AQ715" s="3"/>
      <c r="AR715" s="4"/>
      <c r="AS715" s="4"/>
      <c r="AT715" s="3"/>
      <c r="AU715" s="3"/>
      <c r="AV715" s="4">
        <v>0.479573080261886</v>
      </c>
      <c r="AW715" s="4">
        <v>0.0055995066534473</v>
      </c>
    </row>
    <row r="716" s="3" customFormat="1" spans="1:57">
      <c r="A716" s="4">
        <v>715</v>
      </c>
      <c r="B716" s="6">
        <v>110</v>
      </c>
      <c r="C716" s="24" t="s">
        <v>215</v>
      </c>
      <c r="D716" s="13" t="s">
        <v>368</v>
      </c>
      <c r="E716" s="25">
        <v>23.4451563244573</v>
      </c>
      <c r="F716" s="25">
        <v>85.3120079040527</v>
      </c>
      <c r="G716" s="26">
        <v>23.1</v>
      </c>
      <c r="H716" s="27">
        <v>1450</v>
      </c>
      <c r="I716" s="3"/>
      <c r="J716" s="13" t="s">
        <v>90</v>
      </c>
      <c r="K716" s="5" t="s">
        <v>78</v>
      </c>
      <c r="L716" s="3">
        <v>2015</v>
      </c>
      <c r="M716" s="3">
        <v>4</v>
      </c>
      <c r="N716" s="13" t="s">
        <v>113</v>
      </c>
      <c r="O716" s="28" t="s">
        <v>136</v>
      </c>
      <c r="P716" s="7">
        <v>5.3</v>
      </c>
      <c r="Q716" s="12"/>
      <c r="R716" s="12"/>
      <c r="S716" s="13"/>
      <c r="T716" s="8">
        <v>25.4</v>
      </c>
      <c r="U716" s="8">
        <v>8.4</v>
      </c>
      <c r="V716" s="8">
        <v>66.2</v>
      </c>
      <c r="W716" s="6">
        <v>43</v>
      </c>
      <c r="X716" s="13" t="s">
        <v>141</v>
      </c>
      <c r="Y716" s="13" t="s">
        <v>82</v>
      </c>
      <c r="Z716" s="3">
        <v>3</v>
      </c>
      <c r="AA716" s="3">
        <v>3</v>
      </c>
      <c r="AB716" s="9">
        <v>1.39568410146973</v>
      </c>
      <c r="AC716" s="9">
        <v>0.000256361683990305</v>
      </c>
      <c r="AD716" s="25"/>
      <c r="AE716" s="25"/>
      <c r="AF716" s="9"/>
      <c r="AG716" s="9"/>
      <c r="AH716" s="25">
        <v>0.389464766761723</v>
      </c>
      <c r="AI716" s="25">
        <v>0.0069415521310565</v>
      </c>
      <c r="AJ716" s="4">
        <v>1.00621933470801</v>
      </c>
      <c r="AK716" s="4">
        <v>0.0071979138150468</v>
      </c>
      <c r="AL716" s="3"/>
      <c r="AM716" s="3"/>
      <c r="AN716" s="4"/>
      <c r="AO716" s="4"/>
      <c r="AP716" s="3"/>
      <c r="AQ716" s="3"/>
      <c r="AR716" s="4"/>
      <c r="AS716" s="4"/>
      <c r="AT716" s="3"/>
      <c r="AU716" s="3"/>
      <c r="AV716" s="4">
        <v>0.262364264467491</v>
      </c>
      <c r="AW716" s="4">
        <v>0.00559950665344731</v>
      </c>
      <c r="AX716" s="3"/>
      <c r="AY716" s="3"/>
      <c r="AZ716" s="3">
        <v>0.211843996060276</v>
      </c>
      <c r="BA716" s="3">
        <v>0.0041757577659659</v>
      </c>
      <c r="BD716" s="3">
        <v>0.171227940645451</v>
      </c>
      <c r="BE716" s="3">
        <v>0.0069415521310565</v>
      </c>
    </row>
    <row r="717" s="3" customFormat="1" spans="1:49">
      <c r="A717" s="4">
        <v>716</v>
      </c>
      <c r="B717" s="6">
        <v>110</v>
      </c>
      <c r="C717" s="24" t="s">
        <v>215</v>
      </c>
      <c r="D717" s="13" t="s">
        <v>368</v>
      </c>
      <c r="E717" s="25">
        <v>23.4451563244573</v>
      </c>
      <c r="F717" s="25">
        <v>85.3120079040527</v>
      </c>
      <c r="G717" s="26">
        <v>23.1</v>
      </c>
      <c r="H717" s="27">
        <v>1450</v>
      </c>
      <c r="I717" s="3"/>
      <c r="J717" s="13" t="s">
        <v>90</v>
      </c>
      <c r="K717" s="5" t="s">
        <v>78</v>
      </c>
      <c r="L717" s="3">
        <v>2015</v>
      </c>
      <c r="M717" s="3">
        <v>4</v>
      </c>
      <c r="N717" s="13" t="s">
        <v>113</v>
      </c>
      <c r="O717" s="28" t="s">
        <v>136</v>
      </c>
      <c r="P717" s="7">
        <v>5.3</v>
      </c>
      <c r="Q717" s="12"/>
      <c r="R717" s="12"/>
      <c r="S717" s="13"/>
      <c r="T717" s="8">
        <v>25.4</v>
      </c>
      <c r="U717" s="8">
        <v>8.4</v>
      </c>
      <c r="V717" s="8">
        <v>66.2</v>
      </c>
      <c r="W717" s="6">
        <v>43</v>
      </c>
      <c r="X717" s="13" t="s">
        <v>141</v>
      </c>
      <c r="Y717" s="13" t="s">
        <v>82</v>
      </c>
      <c r="Z717" s="3">
        <v>3</v>
      </c>
      <c r="AA717" s="3">
        <v>3</v>
      </c>
      <c r="AB717" s="9">
        <v>0.855116508505001</v>
      </c>
      <c r="AC717" s="9">
        <v>0.000256361683990305</v>
      </c>
      <c r="AD717" s="25"/>
      <c r="AE717" s="25"/>
      <c r="AF717" s="9"/>
      <c r="AG717" s="9"/>
      <c r="AH717" s="25">
        <v>0.389464766761723</v>
      </c>
      <c r="AI717" s="25">
        <v>0.0069415521310565</v>
      </c>
      <c r="AJ717" s="4">
        <v>0.465651741743279</v>
      </c>
      <c r="AK717" s="4">
        <v>0.00719791381504681</v>
      </c>
      <c r="AL717" s="3"/>
      <c r="AM717" s="3"/>
      <c r="AN717" s="4"/>
      <c r="AO717" s="4"/>
      <c r="AP717" s="3"/>
      <c r="AQ717" s="3"/>
      <c r="AR717" s="4"/>
      <c r="AS717" s="4"/>
      <c r="AT717" s="3"/>
      <c r="AU717" s="3"/>
      <c r="AV717" s="4">
        <v>0.262364264467491</v>
      </c>
      <c r="AW717" s="4">
        <v>0.00559950665344731</v>
      </c>
    </row>
    <row r="718" s="3" customFormat="1" spans="1:49">
      <c r="A718" s="4">
        <v>717</v>
      </c>
      <c r="B718" s="6">
        <v>110</v>
      </c>
      <c r="C718" s="24" t="s">
        <v>215</v>
      </c>
      <c r="D718" s="13" t="s">
        <v>368</v>
      </c>
      <c r="E718" s="25">
        <v>23.4451563244573</v>
      </c>
      <c r="F718" s="25">
        <v>85.3120079040527</v>
      </c>
      <c r="G718" s="26">
        <v>23.1</v>
      </c>
      <c r="H718" s="27">
        <v>1450</v>
      </c>
      <c r="I718" s="3"/>
      <c r="J718" s="13" t="s">
        <v>90</v>
      </c>
      <c r="K718" s="5" t="s">
        <v>78</v>
      </c>
      <c r="L718" s="3">
        <v>2015</v>
      </c>
      <c r="M718" s="3">
        <v>4</v>
      </c>
      <c r="N718" s="13" t="s">
        <v>113</v>
      </c>
      <c r="O718" s="28" t="s">
        <v>136</v>
      </c>
      <c r="P718" s="7">
        <v>5.3</v>
      </c>
      <c r="Q718" s="12"/>
      <c r="R718" s="12"/>
      <c r="S718" s="13"/>
      <c r="T718" s="8">
        <v>25.4</v>
      </c>
      <c r="U718" s="8">
        <v>8.4</v>
      </c>
      <c r="V718" s="8">
        <v>66.2</v>
      </c>
      <c r="W718" s="6">
        <v>43</v>
      </c>
      <c r="X718" s="13" t="s">
        <v>141</v>
      </c>
      <c r="Y718" s="13" t="s">
        <v>82</v>
      </c>
      <c r="Z718" s="3">
        <v>3</v>
      </c>
      <c r="AA718" s="3">
        <v>3</v>
      </c>
      <c r="AB718" s="9">
        <v>1.28708771103644</v>
      </c>
      <c r="AC718" s="9">
        <v>0.000256361683990305</v>
      </c>
      <c r="AD718" s="25"/>
      <c r="AE718" s="25"/>
      <c r="AF718" s="9"/>
      <c r="AG718" s="9"/>
      <c r="AH718" s="25">
        <v>0.389464766761723</v>
      </c>
      <c r="AI718" s="25">
        <v>0.0069415521310565</v>
      </c>
      <c r="AJ718" s="4">
        <v>0.89762294427472</v>
      </c>
      <c r="AK718" s="4">
        <v>0.00719791381504683</v>
      </c>
      <c r="AL718" s="3"/>
      <c r="AM718" s="3"/>
      <c r="AN718" s="4"/>
      <c r="AO718" s="4"/>
      <c r="AP718" s="3"/>
      <c r="AQ718" s="3"/>
      <c r="AR718" s="4"/>
      <c r="AS718" s="4"/>
      <c r="AT718" s="3"/>
      <c r="AU718" s="3"/>
      <c r="AV718" s="4">
        <v>0.262364264467491</v>
      </c>
      <c r="AW718" s="4">
        <v>0.00559950665344731</v>
      </c>
    </row>
    <row r="719" s="3" customFormat="1" spans="1:57">
      <c r="A719" s="4">
        <v>718</v>
      </c>
      <c r="B719" s="6">
        <v>110</v>
      </c>
      <c r="C719" s="24" t="s">
        <v>215</v>
      </c>
      <c r="D719" s="13" t="s">
        <v>368</v>
      </c>
      <c r="E719" s="25">
        <v>23.4451563244573</v>
      </c>
      <c r="F719" s="25">
        <v>85.3120079040527</v>
      </c>
      <c r="G719" s="26">
        <v>23.1</v>
      </c>
      <c r="H719" s="27">
        <v>1450</v>
      </c>
      <c r="I719" s="3"/>
      <c r="J719" s="13" t="s">
        <v>90</v>
      </c>
      <c r="K719" s="5" t="s">
        <v>78</v>
      </c>
      <c r="L719" s="3">
        <v>2015</v>
      </c>
      <c r="M719" s="3">
        <v>4</v>
      </c>
      <c r="N719" s="13" t="s">
        <v>113</v>
      </c>
      <c r="O719" s="28" t="s">
        <v>80</v>
      </c>
      <c r="P719" s="7">
        <v>5.3</v>
      </c>
      <c r="Q719" s="12"/>
      <c r="R719" s="12"/>
      <c r="S719" s="13"/>
      <c r="T719" s="8">
        <v>25.4</v>
      </c>
      <c r="U719" s="8">
        <v>8.4</v>
      </c>
      <c r="V719" s="8">
        <v>66.2</v>
      </c>
      <c r="W719" s="6">
        <v>43</v>
      </c>
      <c r="X719" s="13" t="s">
        <v>141</v>
      </c>
      <c r="Y719" s="13" t="s">
        <v>82</v>
      </c>
      <c r="Z719" s="3">
        <v>3</v>
      </c>
      <c r="AA719" s="3">
        <v>3</v>
      </c>
      <c r="AB719" s="9">
        <v>0.432235349172769</v>
      </c>
      <c r="AC719" s="9">
        <v>0.000256361683990305</v>
      </c>
      <c r="AD719" s="25"/>
      <c r="AE719" s="25"/>
      <c r="AF719" s="9"/>
      <c r="AG719" s="9"/>
      <c r="AH719" s="25">
        <v>0.327212911208416</v>
      </c>
      <c r="AI719" s="25">
        <v>0.00694155213105651</v>
      </c>
      <c r="AJ719" s="4">
        <v>0.105022437964354</v>
      </c>
      <c r="AK719" s="4">
        <v>0.00719791381504681</v>
      </c>
      <c r="AL719" s="3"/>
      <c r="AM719" s="3"/>
      <c r="AN719" s="4"/>
      <c r="AO719" s="4"/>
      <c r="AP719" s="3"/>
      <c r="AQ719" s="3"/>
      <c r="AR719" s="4"/>
      <c r="AS719" s="4"/>
      <c r="AT719" s="3"/>
      <c r="AU719" s="3"/>
      <c r="AV719" s="4">
        <v>0.613104472886409</v>
      </c>
      <c r="AW719" s="4">
        <v>0.00559950665344731</v>
      </c>
      <c r="AX719" s="3"/>
      <c r="AY719" s="3"/>
      <c r="AZ719" s="3">
        <v>0.145182009844498</v>
      </c>
      <c r="BA719" s="3">
        <v>0.0041757577659659</v>
      </c>
      <c r="BD719" s="3">
        <v>0.263467814331186</v>
      </c>
      <c r="BE719" s="3">
        <v>0.0069415521310565</v>
      </c>
    </row>
    <row r="720" s="3" customFormat="1" spans="1:49">
      <c r="A720" s="4">
        <v>719</v>
      </c>
      <c r="B720" s="6">
        <v>110</v>
      </c>
      <c r="C720" s="24" t="s">
        <v>215</v>
      </c>
      <c r="D720" s="13" t="s">
        <v>368</v>
      </c>
      <c r="E720" s="25">
        <v>23.4451563244573</v>
      </c>
      <c r="F720" s="25">
        <v>85.3120079040527</v>
      </c>
      <c r="G720" s="26">
        <v>23.1</v>
      </c>
      <c r="H720" s="27">
        <v>1450</v>
      </c>
      <c r="I720" s="3"/>
      <c r="J720" s="13" t="s">
        <v>90</v>
      </c>
      <c r="K720" s="5" t="s">
        <v>78</v>
      </c>
      <c r="L720" s="3">
        <v>2015</v>
      </c>
      <c r="M720" s="3">
        <v>4</v>
      </c>
      <c r="N720" s="13" t="s">
        <v>113</v>
      </c>
      <c r="O720" s="28" t="s">
        <v>80</v>
      </c>
      <c r="P720" s="7">
        <v>5.3</v>
      </c>
      <c r="Q720" s="12"/>
      <c r="R720" s="12"/>
      <c r="S720" s="13"/>
      <c r="T720" s="8">
        <v>25.4</v>
      </c>
      <c r="U720" s="8">
        <v>8.4</v>
      </c>
      <c r="V720" s="8">
        <v>66.2</v>
      </c>
      <c r="W720" s="6">
        <v>43</v>
      </c>
      <c r="X720" s="13" t="s">
        <v>141</v>
      </c>
      <c r="Y720" s="13" t="s">
        <v>82</v>
      </c>
      <c r="Z720" s="3">
        <v>3</v>
      </c>
      <c r="AA720" s="3">
        <v>3</v>
      </c>
      <c r="AB720" s="9">
        <v>1.18616817969243</v>
      </c>
      <c r="AC720" s="9">
        <v>0.000256361683990305</v>
      </c>
      <c r="AD720" s="25"/>
      <c r="AE720" s="25"/>
      <c r="AF720" s="9"/>
      <c r="AG720" s="9"/>
      <c r="AH720" s="25">
        <v>0.327212911208416</v>
      </c>
      <c r="AI720" s="25">
        <v>0.00694155213105651</v>
      </c>
      <c r="AJ720" s="4">
        <v>0.858955268484014</v>
      </c>
      <c r="AK720" s="4">
        <v>0.00719791381504683</v>
      </c>
      <c r="AL720" s="3"/>
      <c r="AM720" s="3"/>
      <c r="AN720" s="4"/>
      <c r="AO720" s="4"/>
      <c r="AP720" s="3"/>
      <c r="AQ720" s="3"/>
      <c r="AR720" s="4"/>
      <c r="AS720" s="4"/>
      <c r="AT720" s="3"/>
      <c r="AU720" s="3"/>
      <c r="AV720" s="4">
        <v>0.613104472886409</v>
      </c>
      <c r="AW720" s="4">
        <v>0.00559950665344731</v>
      </c>
    </row>
    <row r="721" s="3" customFormat="1" spans="1:49">
      <c r="A721" s="4">
        <v>720</v>
      </c>
      <c r="B721" s="6">
        <v>110</v>
      </c>
      <c r="C721" s="24" t="s">
        <v>215</v>
      </c>
      <c r="D721" s="13" t="s">
        <v>368</v>
      </c>
      <c r="E721" s="25">
        <v>23.4451563244573</v>
      </c>
      <c r="F721" s="25">
        <v>85.3120079040527</v>
      </c>
      <c r="G721" s="26">
        <v>23.1</v>
      </c>
      <c r="H721" s="27">
        <v>1450</v>
      </c>
      <c r="I721" s="3"/>
      <c r="J721" s="13" t="s">
        <v>90</v>
      </c>
      <c r="K721" s="5" t="s">
        <v>78</v>
      </c>
      <c r="L721" s="3">
        <v>2015</v>
      </c>
      <c r="M721" s="3">
        <v>4</v>
      </c>
      <c r="N721" s="13" t="s">
        <v>113</v>
      </c>
      <c r="O721" s="28" t="s">
        <v>80</v>
      </c>
      <c r="P721" s="7">
        <v>5.3</v>
      </c>
      <c r="Q721" s="12"/>
      <c r="R721" s="12"/>
      <c r="S721" s="13"/>
      <c r="T721" s="8">
        <v>25.4</v>
      </c>
      <c r="U721" s="8">
        <v>8.4</v>
      </c>
      <c r="V721" s="8">
        <v>66.2</v>
      </c>
      <c r="W721" s="6">
        <v>43</v>
      </c>
      <c r="X721" s="13" t="s">
        <v>141</v>
      </c>
      <c r="Y721" s="13" t="s">
        <v>82</v>
      </c>
      <c r="Z721" s="3">
        <v>3</v>
      </c>
      <c r="AA721" s="3">
        <v>3</v>
      </c>
      <c r="AB721" s="9">
        <v>1.11073364920045</v>
      </c>
      <c r="AC721" s="9">
        <v>0.000256361683990305</v>
      </c>
      <c r="AD721" s="25"/>
      <c r="AE721" s="25"/>
      <c r="AF721" s="9"/>
      <c r="AG721" s="9"/>
      <c r="AH721" s="25">
        <v>0.327212911208416</v>
      </c>
      <c r="AI721" s="25">
        <v>0.00694155213105651</v>
      </c>
      <c r="AJ721" s="4">
        <v>0.783520737992039</v>
      </c>
      <c r="AK721" s="4">
        <v>0.0071979138150468</v>
      </c>
      <c r="AL721" s="3"/>
      <c r="AM721" s="3"/>
      <c r="AN721" s="4"/>
      <c r="AO721" s="4"/>
      <c r="AP721" s="3"/>
      <c r="AQ721" s="3"/>
      <c r="AR721" s="4"/>
      <c r="AS721" s="4"/>
      <c r="AT721" s="3"/>
      <c r="AU721" s="3"/>
      <c r="AV721" s="4">
        <v>0.613104472886409</v>
      </c>
      <c r="AW721" s="4">
        <v>0.00559950665344731</v>
      </c>
    </row>
    <row r="722" s="3" customFormat="1" spans="1:57">
      <c r="A722" s="4">
        <v>721</v>
      </c>
      <c r="B722" s="6">
        <v>110</v>
      </c>
      <c r="C722" s="24" t="s">
        <v>215</v>
      </c>
      <c r="D722" s="13" t="s">
        <v>368</v>
      </c>
      <c r="E722" s="25">
        <v>23.4451563244573</v>
      </c>
      <c r="F722" s="25">
        <v>85.3120079040527</v>
      </c>
      <c r="G722" s="26">
        <v>23.1</v>
      </c>
      <c r="H722" s="27">
        <v>1450</v>
      </c>
      <c r="I722" s="3"/>
      <c r="J722" s="13" t="s">
        <v>90</v>
      </c>
      <c r="K722" s="5" t="s">
        <v>78</v>
      </c>
      <c r="L722" s="3">
        <v>2015</v>
      </c>
      <c r="M722" s="3">
        <v>4</v>
      </c>
      <c r="N722" s="13" t="s">
        <v>113</v>
      </c>
      <c r="O722" s="28" t="s">
        <v>136</v>
      </c>
      <c r="P722" s="7">
        <v>5.3</v>
      </c>
      <c r="Q722" s="12"/>
      <c r="R722" s="12"/>
      <c r="S722" s="13"/>
      <c r="T722" s="8">
        <v>25.4</v>
      </c>
      <c r="U722" s="8">
        <v>8.4</v>
      </c>
      <c r="V722" s="8">
        <v>66.2</v>
      </c>
      <c r="W722" s="6">
        <v>43</v>
      </c>
      <c r="X722" s="13" t="s">
        <v>141</v>
      </c>
      <c r="Y722" s="13" t="s">
        <v>82</v>
      </c>
      <c r="Z722" s="3">
        <v>3</v>
      </c>
      <c r="AA722" s="3">
        <v>3</v>
      </c>
      <c r="AB722" s="9">
        <v>1.40034611457554</v>
      </c>
      <c r="AC722" s="9">
        <v>0.000256361683990305</v>
      </c>
      <c r="AD722" s="25"/>
      <c r="AE722" s="25"/>
      <c r="AF722" s="9"/>
      <c r="AG722" s="9"/>
      <c r="AH722" s="25">
        <v>0.356674943938732</v>
      </c>
      <c r="AI722" s="25">
        <v>0.0069415521310565</v>
      </c>
      <c r="AJ722" s="4">
        <v>1.04367117063681</v>
      </c>
      <c r="AK722" s="4">
        <v>0.0071979138150468</v>
      </c>
      <c r="AL722" s="3"/>
      <c r="AM722" s="3"/>
      <c r="AN722" s="4"/>
      <c r="AO722" s="4"/>
      <c r="AP722" s="3"/>
      <c r="AQ722" s="3"/>
      <c r="AR722" s="4"/>
      <c r="AS722" s="4"/>
      <c r="AT722" s="3"/>
      <c r="AU722" s="3"/>
      <c r="AV722" s="4">
        <v>0.405465108108164</v>
      </c>
      <c r="AW722" s="4">
        <v>0.0055995066534473</v>
      </c>
      <c r="AX722" s="3"/>
      <c r="AY722" s="3"/>
      <c r="AZ722" s="3">
        <v>0.247562078662355</v>
      </c>
      <c r="BA722" s="3">
        <v>0.0041757577659659</v>
      </c>
      <c r="BD722" s="3">
        <v>0.210295408836361</v>
      </c>
      <c r="BE722" s="3">
        <v>0.0069415521310565</v>
      </c>
    </row>
    <row r="723" s="3" customFormat="1" spans="1:49">
      <c r="A723" s="4">
        <v>722</v>
      </c>
      <c r="B723" s="6">
        <v>110</v>
      </c>
      <c r="C723" s="24" t="s">
        <v>215</v>
      </c>
      <c r="D723" s="13" t="s">
        <v>368</v>
      </c>
      <c r="E723" s="25">
        <v>23.4451563244573</v>
      </c>
      <c r="F723" s="25">
        <v>85.3120079040527</v>
      </c>
      <c r="G723" s="26">
        <v>23.1</v>
      </c>
      <c r="H723" s="27">
        <v>1450</v>
      </c>
      <c r="I723" s="3"/>
      <c r="J723" s="13" t="s">
        <v>90</v>
      </c>
      <c r="K723" s="5" t="s">
        <v>78</v>
      </c>
      <c r="L723" s="3">
        <v>2015</v>
      </c>
      <c r="M723" s="3">
        <v>4</v>
      </c>
      <c r="N723" s="13" t="s">
        <v>113</v>
      </c>
      <c r="O723" s="28" t="s">
        <v>136</v>
      </c>
      <c r="P723" s="7">
        <v>5.3</v>
      </c>
      <c r="Q723" s="12"/>
      <c r="R723" s="12"/>
      <c r="S723" s="13"/>
      <c r="T723" s="8">
        <v>25.4</v>
      </c>
      <c r="U723" s="8">
        <v>8.4</v>
      </c>
      <c r="V723" s="8">
        <v>66.2</v>
      </c>
      <c r="W723" s="6">
        <v>43</v>
      </c>
      <c r="X723" s="13" t="s">
        <v>141</v>
      </c>
      <c r="Y723" s="13" t="s">
        <v>82</v>
      </c>
      <c r="Z723" s="3">
        <v>3</v>
      </c>
      <c r="AA723" s="3">
        <v>3</v>
      </c>
      <c r="AB723" s="9">
        <v>0.92286249703739</v>
      </c>
      <c r="AC723" s="9">
        <v>0.000256361683990305</v>
      </c>
      <c r="AD723" s="25"/>
      <c r="AE723" s="25"/>
      <c r="AF723" s="9"/>
      <c r="AG723" s="9"/>
      <c r="AH723" s="25">
        <v>0.356674943938732</v>
      </c>
      <c r="AI723" s="25">
        <v>0.0069415521310565</v>
      </c>
      <c r="AJ723" s="4">
        <v>0.566187553098657</v>
      </c>
      <c r="AK723" s="4">
        <v>0.00719791381504682</v>
      </c>
      <c r="AL723" s="3"/>
      <c r="AM723" s="3"/>
      <c r="AN723" s="4"/>
      <c r="AO723" s="4"/>
      <c r="AP723" s="3"/>
      <c r="AQ723" s="3"/>
      <c r="AR723" s="4"/>
      <c r="AS723" s="4"/>
      <c r="AT723" s="3"/>
      <c r="AU723" s="3"/>
      <c r="AV723" s="4">
        <v>0.405465108108164</v>
      </c>
      <c r="AW723" s="4">
        <v>0.0055995066534473</v>
      </c>
    </row>
    <row r="724" s="3" customFormat="1" spans="1:49">
      <c r="A724" s="4">
        <v>723</v>
      </c>
      <c r="B724" s="6">
        <v>110</v>
      </c>
      <c r="C724" s="24" t="s">
        <v>215</v>
      </c>
      <c r="D724" s="13" t="s">
        <v>368</v>
      </c>
      <c r="E724" s="25">
        <v>23.4451563244573</v>
      </c>
      <c r="F724" s="25">
        <v>85.3120079040527</v>
      </c>
      <c r="G724" s="26">
        <v>23.1</v>
      </c>
      <c r="H724" s="27">
        <v>1450</v>
      </c>
      <c r="I724" s="3"/>
      <c r="J724" s="13" t="s">
        <v>90</v>
      </c>
      <c r="K724" s="5" t="s">
        <v>78</v>
      </c>
      <c r="L724" s="3">
        <v>2015</v>
      </c>
      <c r="M724" s="3">
        <v>4</v>
      </c>
      <c r="N724" s="13" t="s">
        <v>113</v>
      </c>
      <c r="O724" s="28" t="s">
        <v>136</v>
      </c>
      <c r="P724" s="7">
        <v>5.3</v>
      </c>
      <c r="Q724" s="12"/>
      <c r="R724" s="12"/>
      <c r="S724" s="13"/>
      <c r="T724" s="8">
        <v>25.4</v>
      </c>
      <c r="U724" s="8">
        <v>8.4</v>
      </c>
      <c r="V724" s="8">
        <v>66.2</v>
      </c>
      <c r="W724" s="6">
        <v>43</v>
      </c>
      <c r="X724" s="13" t="s">
        <v>141</v>
      </c>
      <c r="Y724" s="13" t="s">
        <v>82</v>
      </c>
      <c r="Z724" s="3">
        <v>3</v>
      </c>
      <c r="AA724" s="3">
        <v>3</v>
      </c>
      <c r="AB724" s="9">
        <v>1.29928298413026</v>
      </c>
      <c r="AC724" s="9">
        <v>0.000256361683990305</v>
      </c>
      <c r="AD724" s="25"/>
      <c r="AE724" s="25"/>
      <c r="AF724" s="9"/>
      <c r="AG724" s="9"/>
      <c r="AH724" s="25">
        <v>0.356674943938732</v>
      </c>
      <c r="AI724" s="25">
        <v>0.0069415521310565</v>
      </c>
      <c r="AJ724" s="4">
        <v>0.94260804019153</v>
      </c>
      <c r="AK724" s="4">
        <v>0.00719791381504683</v>
      </c>
      <c r="AL724" s="3"/>
      <c r="AM724" s="3"/>
      <c r="AN724" s="4"/>
      <c r="AO724" s="4"/>
      <c r="AP724" s="3"/>
      <c r="AQ724" s="3"/>
      <c r="AR724" s="4"/>
      <c r="AS724" s="4"/>
      <c r="AT724" s="3"/>
      <c r="AU724" s="3"/>
      <c r="AV724" s="4">
        <v>0.405465108108164</v>
      </c>
      <c r="AW724" s="4">
        <v>0.0055995066534473</v>
      </c>
    </row>
    <row r="725" s="4" customFormat="1" spans="1:63">
      <c r="A725" s="4">
        <v>724</v>
      </c>
      <c r="B725" s="18">
        <v>111</v>
      </c>
      <c r="C725" s="19" t="s">
        <v>369</v>
      </c>
      <c r="D725" s="5" t="s">
        <v>370</v>
      </c>
      <c r="E725" s="9">
        <v>42.400278</v>
      </c>
      <c r="F725" s="9">
        <v>127.783611</v>
      </c>
      <c r="G725" s="20">
        <v>3.6</v>
      </c>
      <c r="H725" s="21">
        <v>740</v>
      </c>
      <c r="I725" s="4"/>
      <c r="J725" s="5" t="s">
        <v>94</v>
      </c>
      <c r="K725" s="5" t="s">
        <v>78</v>
      </c>
      <c r="L725" s="4">
        <v>2014</v>
      </c>
      <c r="M725" s="4">
        <v>5</v>
      </c>
      <c r="N725" s="5" t="s">
        <v>113</v>
      </c>
      <c r="O725" s="28" t="s">
        <v>80</v>
      </c>
      <c r="P725" s="29">
        <v>5.59</v>
      </c>
      <c r="Q725" s="4">
        <v>12.69</v>
      </c>
      <c r="R725" s="4">
        <v>0.849397590361446</v>
      </c>
      <c r="S725" s="13">
        <v>14.94</v>
      </c>
      <c r="T725" s="21">
        <v>15</v>
      </c>
      <c r="U725" s="21">
        <v>45</v>
      </c>
      <c r="V725" s="21">
        <v>40</v>
      </c>
      <c r="W725" s="4">
        <v>5</v>
      </c>
      <c r="X725" s="5" t="s">
        <v>81</v>
      </c>
      <c r="Y725" s="5" t="s">
        <v>82</v>
      </c>
      <c r="Z725" s="4">
        <v>3</v>
      </c>
      <c r="AA725" s="4">
        <v>3</v>
      </c>
      <c r="AB725" s="9">
        <v>-0.189066259755597</v>
      </c>
      <c r="AC725" s="9">
        <v>0.000256361683990306</v>
      </c>
      <c r="AD725" s="9">
        <v>-0.0569891874839935</v>
      </c>
      <c r="AE725" s="9">
        <v>0.00533448946951658</v>
      </c>
      <c r="AF725" s="9">
        <v>0.132077072271604</v>
      </c>
      <c r="AG725" s="9">
        <v>0.00559085115350689</v>
      </c>
      <c r="AH725" s="9">
        <v>0.121540960113784</v>
      </c>
      <c r="AI725" s="9">
        <v>0.00179533007998758</v>
      </c>
      <c r="AJ725" s="4">
        <v>-0.310607219869382</v>
      </c>
      <c r="AK725" s="4">
        <v>0.00205169176397788</v>
      </c>
      <c r="AL725" s="4">
        <v>-0.178530147597777</v>
      </c>
      <c r="AM725" s="4">
        <v>0.00712981954950414</v>
      </c>
      <c r="AN725" s="4">
        <v>0.0590449258426263</v>
      </c>
      <c r="AO725" s="4">
        <v>0.016320795972257</v>
      </c>
      <c r="AP725" s="4">
        <v>0.097076930148863</v>
      </c>
      <c r="AQ725" s="4">
        <v>1.55410845478488</v>
      </c>
      <c r="AR725" s="4"/>
      <c r="AS725" s="4"/>
      <c r="AT725" s="4"/>
      <c r="AU725" s="4"/>
      <c r="AV725" s="4">
        <v>-0.00565931294777614</v>
      </c>
      <c r="AW725" s="4">
        <v>0.0151824669220905</v>
      </c>
      <c r="AX725" s="4"/>
      <c r="AY725" s="4"/>
      <c r="AZ725" s="4">
        <v>-0.173618965447601</v>
      </c>
      <c r="BA725" s="4">
        <v>0.00417575776596589</v>
      </c>
      <c r="BJ725" s="4">
        <v>0.0266682470821613</v>
      </c>
      <c r="BK725" s="4">
        <v>0.0123798838143377</v>
      </c>
    </row>
    <row r="726" s="4" customFormat="1" spans="1:63">
      <c r="A726" s="4">
        <v>725</v>
      </c>
      <c r="B726" s="18">
        <v>111</v>
      </c>
      <c r="C726" s="19" t="s">
        <v>369</v>
      </c>
      <c r="D726" s="5" t="s">
        <v>370</v>
      </c>
      <c r="E726" s="9">
        <v>42.400278</v>
      </c>
      <c r="F726" s="9">
        <v>127.783611</v>
      </c>
      <c r="G726" s="20">
        <v>3.6</v>
      </c>
      <c r="H726" s="21">
        <v>740</v>
      </c>
      <c r="I726" s="4"/>
      <c r="J726" s="5" t="s">
        <v>83</v>
      </c>
      <c r="K726" s="5" t="s">
        <v>78</v>
      </c>
      <c r="L726" s="4">
        <v>2014</v>
      </c>
      <c r="M726" s="4">
        <v>5</v>
      </c>
      <c r="N726" s="5" t="s">
        <v>113</v>
      </c>
      <c r="O726" s="28" t="s">
        <v>80</v>
      </c>
      <c r="P726" s="29">
        <v>5.59</v>
      </c>
      <c r="Q726" s="4">
        <v>12.69</v>
      </c>
      <c r="R726" s="4">
        <v>0.849397590361446</v>
      </c>
      <c r="S726" s="13">
        <v>14.94</v>
      </c>
      <c r="T726" s="21">
        <v>15</v>
      </c>
      <c r="U726" s="21">
        <v>45</v>
      </c>
      <c r="V726" s="21">
        <v>40</v>
      </c>
      <c r="W726" s="4">
        <v>5</v>
      </c>
      <c r="X726" s="5" t="s">
        <v>81</v>
      </c>
      <c r="Y726" s="5" t="s">
        <v>82</v>
      </c>
      <c r="Z726" s="4">
        <v>3</v>
      </c>
      <c r="AA726" s="4">
        <v>3</v>
      </c>
      <c r="AB726" s="9">
        <v>-0.265074574096966</v>
      </c>
      <c r="AC726" s="9">
        <v>0.000256361683990306</v>
      </c>
      <c r="AD726" s="9">
        <v>-0.131921339846041</v>
      </c>
      <c r="AE726" s="9">
        <v>0.00533448946951658</v>
      </c>
      <c r="AF726" s="9">
        <v>0.133153234250926</v>
      </c>
      <c r="AG726" s="9">
        <v>0.00559085115350687</v>
      </c>
      <c r="AH726" s="9">
        <v>0.2721963550124</v>
      </c>
      <c r="AI726" s="9">
        <v>0.00577155381928548</v>
      </c>
      <c r="AJ726" s="4">
        <v>-0.537270929109367</v>
      </c>
      <c r="AK726" s="4">
        <v>0.0060279155032758</v>
      </c>
      <c r="AL726" s="4">
        <v>-0.404117694858444</v>
      </c>
      <c r="AM726" s="4">
        <v>0.0111060432888021</v>
      </c>
      <c r="AN726" s="4">
        <v>0.0264799231644673</v>
      </c>
      <c r="AO726" s="4">
        <v>0.0161180110328716</v>
      </c>
      <c r="AP726" s="4">
        <v>0.249693750978693</v>
      </c>
      <c r="AQ726" s="4">
        <v>1.41003613209627</v>
      </c>
      <c r="AR726" s="4"/>
      <c r="AS726" s="4"/>
      <c r="AT726" s="4"/>
      <c r="AU726" s="4"/>
      <c r="AV726" s="4">
        <v>0.0485590247741357</v>
      </c>
      <c r="AW726" s="4">
        <v>0.0294245003863698</v>
      </c>
      <c r="AX726" s="4"/>
      <c r="AY726" s="4"/>
      <c r="AZ726" s="4">
        <v>-0.0398823071478442</v>
      </c>
      <c r="BA726" s="4">
        <v>0.0041757577659659</v>
      </c>
      <c r="BJ726" s="4">
        <v>-0.0555698511548108</v>
      </c>
      <c r="BK726" s="4">
        <v>0.0190343018142246</v>
      </c>
    </row>
    <row r="727" s="4" customFormat="1" spans="1:63">
      <c r="A727" s="4">
        <v>726</v>
      </c>
      <c r="B727" s="18">
        <v>111</v>
      </c>
      <c r="C727" s="19" t="s">
        <v>369</v>
      </c>
      <c r="D727" s="5" t="s">
        <v>370</v>
      </c>
      <c r="E727" s="9">
        <v>42.400278</v>
      </c>
      <c r="F727" s="9">
        <v>127.783611</v>
      </c>
      <c r="G727" s="20">
        <v>3.6</v>
      </c>
      <c r="H727" s="21">
        <v>740</v>
      </c>
      <c r="I727" s="4"/>
      <c r="J727" s="5" t="s">
        <v>83</v>
      </c>
      <c r="K727" s="5" t="s">
        <v>78</v>
      </c>
      <c r="L727" s="4">
        <v>2014</v>
      </c>
      <c r="M727" s="4">
        <v>5</v>
      </c>
      <c r="N727" s="5" t="s">
        <v>113</v>
      </c>
      <c r="O727" s="28" t="s">
        <v>80</v>
      </c>
      <c r="P727" s="29">
        <v>5.59</v>
      </c>
      <c r="Q727" s="4">
        <v>12.69</v>
      </c>
      <c r="R727" s="4">
        <v>0.935989549314174</v>
      </c>
      <c r="S727" s="13">
        <v>13.5578436845778</v>
      </c>
      <c r="T727" s="21">
        <v>15</v>
      </c>
      <c r="U727" s="21">
        <v>45</v>
      </c>
      <c r="V727" s="21">
        <v>40</v>
      </c>
      <c r="W727" s="4">
        <v>5</v>
      </c>
      <c r="X727" s="5" t="s">
        <v>81</v>
      </c>
      <c r="Y727" s="5" t="s">
        <v>82</v>
      </c>
      <c r="Z727" s="4">
        <v>3</v>
      </c>
      <c r="AA727" s="4">
        <v>3</v>
      </c>
      <c r="AB727" s="9">
        <v>-0.411562762780085</v>
      </c>
      <c r="AC727" s="9">
        <v>0.000256361683990303</v>
      </c>
      <c r="AD727" s="9">
        <v>-0.380553617771423</v>
      </c>
      <c r="AE727" s="9">
        <v>0.00533448946951658</v>
      </c>
      <c r="AF727" s="9">
        <v>0.0310091450086617</v>
      </c>
      <c r="AG727" s="9">
        <v>0.00559085115350688</v>
      </c>
      <c r="AH727" s="9">
        <v>-0.0559686945143706</v>
      </c>
      <c r="AI727" s="9">
        <v>0.0114420079506788</v>
      </c>
      <c r="AJ727" s="4">
        <v>-0.355594068265713</v>
      </c>
      <c r="AK727" s="4">
        <v>0.0116983696346691</v>
      </c>
      <c r="AL727" s="4">
        <v>-0.324584923257056</v>
      </c>
      <c r="AM727" s="4">
        <v>0.0167764974201954</v>
      </c>
      <c r="AN727" s="4">
        <v>-0.0101695791696289</v>
      </c>
      <c r="AO727" s="4">
        <v>0.0169645844942591</v>
      </c>
      <c r="AP727" s="4">
        <v>-0.000921241177369492</v>
      </c>
      <c r="AQ727" s="4">
        <v>1.87571517834577</v>
      </c>
      <c r="AR727" s="4"/>
      <c r="AS727" s="4"/>
      <c r="AT727" s="4"/>
      <c r="AU727" s="4"/>
      <c r="AV727" s="4">
        <v>-0.0515209686143219</v>
      </c>
      <c r="AW727" s="4">
        <v>0.0276735317739004</v>
      </c>
      <c r="AX727" s="4"/>
      <c r="AY727" s="4"/>
      <c r="AZ727" s="4">
        <v>-0.00942701313423904</v>
      </c>
      <c r="BA727" s="4">
        <v>0.0041757577659659</v>
      </c>
      <c r="BJ727" s="4">
        <v>0.123613955967177</v>
      </c>
      <c r="BK727" s="4">
        <v>0.0142133428416049</v>
      </c>
    </row>
    <row r="728" s="3" customFormat="1" spans="1:69">
      <c r="A728" s="4">
        <v>727</v>
      </c>
      <c r="B728" s="6">
        <v>112</v>
      </c>
      <c r="C728" s="24" t="s">
        <v>215</v>
      </c>
      <c r="D728" s="13" t="s">
        <v>371</v>
      </c>
      <c r="E728" s="25">
        <v>36.7497222</v>
      </c>
      <c r="F728" s="25">
        <v>109.26527</v>
      </c>
      <c r="G728" s="26">
        <v>8.8</v>
      </c>
      <c r="H728" s="27">
        <v>549.1</v>
      </c>
      <c r="I728" s="3">
        <v>1274</v>
      </c>
      <c r="J728" s="13" t="s">
        <v>193</v>
      </c>
      <c r="K728" s="5" t="s">
        <v>182</v>
      </c>
      <c r="L728" s="3">
        <v>2016</v>
      </c>
      <c r="M728" s="3">
        <v>9</v>
      </c>
      <c r="N728" s="13" t="s">
        <v>108</v>
      </c>
      <c r="O728" s="36" t="s">
        <v>80</v>
      </c>
      <c r="P728" s="7">
        <v>8.48</v>
      </c>
      <c r="Q728" s="3">
        <v>5.49138</v>
      </c>
      <c r="R728" s="3">
        <v>0.499015</v>
      </c>
      <c r="S728" s="13">
        <v>11.0044387443263</v>
      </c>
      <c r="T728" s="8">
        <v>7.69</v>
      </c>
      <c r="U728" s="8">
        <v>57.4</v>
      </c>
      <c r="V728" s="8">
        <v>34.9</v>
      </c>
      <c r="W728" s="3"/>
      <c r="X728" s="3"/>
      <c r="Y728" s="13" t="s">
        <v>82</v>
      </c>
      <c r="Z728" s="3">
        <v>3</v>
      </c>
      <c r="AA728" s="3">
        <v>3</v>
      </c>
      <c r="AB728" s="9">
        <v>-0.661778836731968</v>
      </c>
      <c r="AC728" s="9">
        <v>0.000313396899410188</v>
      </c>
      <c r="AD728" s="25">
        <v>-0.035267723412713</v>
      </c>
      <c r="AE728" s="25">
        <v>0.00433551251480491</v>
      </c>
      <c r="AF728" s="9">
        <v>0.626511113319254</v>
      </c>
      <c r="AG728" s="9">
        <v>0.0046489094142151</v>
      </c>
      <c r="AH728" s="25">
        <v>-0.0482407265099557</v>
      </c>
      <c r="AI728" s="25">
        <v>0.00139119349066142</v>
      </c>
      <c r="AJ728" s="4">
        <v>-0.613538110222013</v>
      </c>
      <c r="AK728" s="4">
        <v>0.00170459039007162</v>
      </c>
      <c r="AL728" s="3">
        <v>0.0129730030972434</v>
      </c>
      <c r="AM728" s="3">
        <v>0.00572670600546633</v>
      </c>
      <c r="AN728" s="4">
        <v>0</v>
      </c>
      <c r="AO728" s="4">
        <v>9.64162810015427e-5</v>
      </c>
      <c r="AP728" s="3">
        <v>-0.114395594943895</v>
      </c>
      <c r="AQ728" s="3">
        <v>0.000216414330142636</v>
      </c>
      <c r="AR728" s="4">
        <v>-0.0290289478618713</v>
      </c>
      <c r="AS728" s="4">
        <v>0.00168336754077829</v>
      </c>
      <c r="AT728" s="3"/>
      <c r="AU728" s="3"/>
      <c r="AV728" s="4"/>
      <c r="AW728" s="4"/>
      <c r="AX728" s="3"/>
      <c r="AY728" s="3"/>
      <c r="BF728" s="3">
        <v>0.0334651562945467</v>
      </c>
      <c r="BG728" s="3">
        <v>0.00622159489427758</v>
      </c>
      <c r="BH728" s="3">
        <v>0.58236659743278</v>
      </c>
      <c r="BI728" s="3">
        <v>0.0245665787610757</v>
      </c>
      <c r="BJ728" s="3">
        <v>0.0363676441708748</v>
      </c>
      <c r="BK728" s="3">
        <v>0.00699168556311414</v>
      </c>
      <c r="BP728" s="3">
        <v>-0.110177387120749</v>
      </c>
      <c r="BQ728" s="3">
        <v>0.00666666666666667</v>
      </c>
    </row>
    <row r="729" s="3" customFormat="1" spans="1:69">
      <c r="A729" s="4">
        <v>728</v>
      </c>
      <c r="B729" s="6">
        <v>112</v>
      </c>
      <c r="C729" s="24" t="s">
        <v>215</v>
      </c>
      <c r="D729" s="13" t="s">
        <v>371</v>
      </c>
      <c r="E729" s="25">
        <v>36.7497222</v>
      </c>
      <c r="F729" s="25">
        <v>109.26527</v>
      </c>
      <c r="G729" s="26">
        <v>8.8</v>
      </c>
      <c r="H729" s="27">
        <v>549.1</v>
      </c>
      <c r="I729" s="3">
        <v>1303</v>
      </c>
      <c r="J729" s="13" t="s">
        <v>193</v>
      </c>
      <c r="K729" s="5" t="s">
        <v>182</v>
      </c>
      <c r="L729" s="3">
        <v>2016</v>
      </c>
      <c r="M729" s="3">
        <v>9</v>
      </c>
      <c r="N729" s="13" t="s">
        <v>108</v>
      </c>
      <c r="O729" s="36" t="s">
        <v>80</v>
      </c>
      <c r="P729" s="7">
        <v>8.48</v>
      </c>
      <c r="Q729" s="3">
        <v>5.49138</v>
      </c>
      <c r="R729" s="3">
        <v>0.499015</v>
      </c>
      <c r="S729" s="13">
        <v>11.0044387443263</v>
      </c>
      <c r="T729" s="8">
        <v>7.69</v>
      </c>
      <c r="U729" s="8">
        <v>57.4</v>
      </c>
      <c r="V729" s="8">
        <v>34.9</v>
      </c>
      <c r="W729" s="3"/>
      <c r="X729" s="3"/>
      <c r="Y729" s="13" t="s">
        <v>82</v>
      </c>
      <c r="Z729" s="3">
        <v>3</v>
      </c>
      <c r="AA729" s="3">
        <v>3</v>
      </c>
      <c r="AB729" s="9">
        <v>-0.840072646982737</v>
      </c>
      <c r="AC729" s="9">
        <v>0.000439288386262115</v>
      </c>
      <c r="AD729" s="25">
        <v>0.0435902998439608</v>
      </c>
      <c r="AE729" s="25">
        <v>0.00316960707841886</v>
      </c>
      <c r="AF729" s="9">
        <v>0.883662946826695</v>
      </c>
      <c r="AG729" s="9">
        <v>0.00360889546468098</v>
      </c>
      <c r="AH729" s="25">
        <v>-0.495763719888355</v>
      </c>
      <c r="AI729" s="25">
        <v>0.00776259161232883</v>
      </c>
      <c r="AJ729" s="4">
        <v>-0.344308927094381</v>
      </c>
      <c r="AK729" s="4">
        <v>0.00820187999859094</v>
      </c>
      <c r="AL729" s="3">
        <v>0.539354019732319</v>
      </c>
      <c r="AM729" s="3">
        <v>0.0109321986907477</v>
      </c>
      <c r="AN729" s="4">
        <v>0.00587891169977584</v>
      </c>
      <c r="AO729" s="4">
        <v>3.69964921508815e-5</v>
      </c>
      <c r="AP729" s="3">
        <v>-0.861550832333276</v>
      </c>
      <c r="AQ729" s="3">
        <v>0.0030900402818591</v>
      </c>
      <c r="AR729" s="4">
        <v>0.0598053118595303</v>
      </c>
      <c r="AS729" s="4">
        <v>0.00164065333900382</v>
      </c>
      <c r="AT729" s="3"/>
      <c r="AU729" s="3"/>
      <c r="AV729" s="4"/>
      <c r="AW729" s="4"/>
      <c r="AX729" s="3"/>
      <c r="AY729" s="3"/>
      <c r="BF729" s="3">
        <v>-0.16622149466562</v>
      </c>
      <c r="BG729" s="3">
        <v>0.00895330286151732</v>
      </c>
      <c r="BH729" s="3">
        <v>0.327162627103211</v>
      </c>
      <c r="BI729" s="3">
        <v>0.0255878347606559</v>
      </c>
      <c r="BJ729" s="3">
        <v>0.0434851119397387</v>
      </c>
      <c r="BK729" s="3">
        <v>0.00163237932364234</v>
      </c>
      <c r="BP729" s="3">
        <v>0.0262989270843925</v>
      </c>
      <c r="BQ729" s="3">
        <v>0.00666666666666667</v>
      </c>
    </row>
    <row r="730" s="3" customFormat="1" spans="1:69">
      <c r="A730" s="4">
        <v>729</v>
      </c>
      <c r="B730" s="6">
        <v>112</v>
      </c>
      <c r="C730" s="24" t="s">
        <v>215</v>
      </c>
      <c r="D730" s="13" t="s">
        <v>371</v>
      </c>
      <c r="E730" s="25">
        <v>36.7497222</v>
      </c>
      <c r="F730" s="25">
        <v>109.26527</v>
      </c>
      <c r="G730" s="26">
        <v>8.8</v>
      </c>
      <c r="H730" s="27">
        <v>549.1</v>
      </c>
      <c r="I730" s="3">
        <v>1276</v>
      </c>
      <c r="J730" s="13" t="s">
        <v>193</v>
      </c>
      <c r="K730" s="5" t="s">
        <v>182</v>
      </c>
      <c r="L730" s="3">
        <v>2016</v>
      </c>
      <c r="M730" s="3">
        <v>9</v>
      </c>
      <c r="N730" s="13" t="s">
        <v>108</v>
      </c>
      <c r="O730" s="36" t="s">
        <v>80</v>
      </c>
      <c r="P730" s="7">
        <v>8.48</v>
      </c>
      <c r="Q730" s="3">
        <v>5.49138</v>
      </c>
      <c r="R730" s="3">
        <v>0.499015</v>
      </c>
      <c r="S730" s="13">
        <v>11.0044387443263</v>
      </c>
      <c r="T730" s="8">
        <v>7.69</v>
      </c>
      <c r="U730" s="8">
        <v>57.4</v>
      </c>
      <c r="V730" s="8">
        <v>34.9</v>
      </c>
      <c r="W730" s="3"/>
      <c r="X730" s="3"/>
      <c r="Y730" s="13" t="s">
        <v>82</v>
      </c>
      <c r="Z730" s="3">
        <v>3</v>
      </c>
      <c r="AA730" s="3">
        <v>3</v>
      </c>
      <c r="AB730" s="9">
        <v>-0.546904556063184</v>
      </c>
      <c r="AC730" s="9">
        <v>0.000355878368496106</v>
      </c>
      <c r="AD730" s="25">
        <v>-0.172467969145186</v>
      </c>
      <c r="AE730" s="25">
        <v>0.00435201835047706</v>
      </c>
      <c r="AF730" s="9">
        <v>0.374436586917999</v>
      </c>
      <c r="AG730" s="9">
        <v>0.0047078967189732</v>
      </c>
      <c r="AH730" s="25">
        <v>-0.480419379477261</v>
      </c>
      <c r="AI730" s="25">
        <v>0.00931863407721811</v>
      </c>
      <c r="AJ730" s="4">
        <v>-0.066485176585923</v>
      </c>
      <c r="AK730" s="4">
        <v>0.00967451244571425</v>
      </c>
      <c r="AL730" s="3">
        <v>0.307951410332076</v>
      </c>
      <c r="AM730" s="3">
        <v>0.0136706524276952</v>
      </c>
      <c r="AN730" s="4">
        <v>0.00822083314485707</v>
      </c>
      <c r="AO730" s="4">
        <v>5.88493164876445e-5</v>
      </c>
      <c r="AP730" s="3">
        <v>-0.893599914791393</v>
      </c>
      <c r="AQ730" s="3">
        <v>0.0163485646908182</v>
      </c>
      <c r="AR730" s="4">
        <v>0.120796271643665</v>
      </c>
      <c r="AS730" s="4">
        <v>0.00197107305761662</v>
      </c>
      <c r="AT730" s="3"/>
      <c r="AU730" s="3"/>
      <c r="AV730" s="4"/>
      <c r="AW730" s="4"/>
      <c r="AX730" s="3"/>
      <c r="AY730" s="3"/>
      <c r="BF730" s="3">
        <v>-0.0468940571578623</v>
      </c>
      <c r="BG730" s="3">
        <v>0.00509978465524405</v>
      </c>
      <c r="BH730" s="3">
        <v>0.510393097807691</v>
      </c>
      <c r="BI730" s="3">
        <v>0.0159679328156778</v>
      </c>
      <c r="BJ730" s="3">
        <v>-0.0849932128333927</v>
      </c>
      <c r="BK730" s="3">
        <v>0.00323746483215786</v>
      </c>
      <c r="BP730" s="3">
        <v>-0.0575245841220428</v>
      </c>
      <c r="BQ730" s="3">
        <v>0.00666666666666667</v>
      </c>
    </row>
    <row r="731" s="3" customFormat="1" spans="1:69">
      <c r="A731" s="4">
        <v>730</v>
      </c>
      <c r="B731" s="6">
        <v>112</v>
      </c>
      <c r="C731" s="24" t="s">
        <v>215</v>
      </c>
      <c r="D731" s="13" t="s">
        <v>371</v>
      </c>
      <c r="E731" s="25">
        <v>36.7497222</v>
      </c>
      <c r="F731" s="25">
        <v>109.26527</v>
      </c>
      <c r="G731" s="26">
        <v>8.8</v>
      </c>
      <c r="H731" s="27">
        <v>549.1</v>
      </c>
      <c r="I731" s="3">
        <v>1307</v>
      </c>
      <c r="J731" s="13" t="s">
        <v>193</v>
      </c>
      <c r="K731" s="5" t="s">
        <v>182</v>
      </c>
      <c r="L731" s="3">
        <v>2016</v>
      </c>
      <c r="M731" s="3">
        <v>9</v>
      </c>
      <c r="N731" s="13" t="s">
        <v>108</v>
      </c>
      <c r="O731" s="36" t="s">
        <v>80</v>
      </c>
      <c r="P731" s="7">
        <v>8.48</v>
      </c>
      <c r="Q731" s="3">
        <v>5.49138</v>
      </c>
      <c r="R731" s="3">
        <v>0.499015</v>
      </c>
      <c r="S731" s="13">
        <v>11.0044387443263</v>
      </c>
      <c r="T731" s="8">
        <v>7.69</v>
      </c>
      <c r="U731" s="8">
        <v>57.4</v>
      </c>
      <c r="V731" s="8">
        <v>34.9</v>
      </c>
      <c r="W731" s="3"/>
      <c r="X731" s="3"/>
      <c r="Y731" s="13" t="s">
        <v>82</v>
      </c>
      <c r="Z731" s="3">
        <v>3</v>
      </c>
      <c r="AA731" s="3">
        <v>3</v>
      </c>
      <c r="AB731" s="9">
        <v>-0.5311492695302</v>
      </c>
      <c r="AC731" s="9">
        <v>0.000130465984991316</v>
      </c>
      <c r="AD731" s="25">
        <v>-0.479955277130494</v>
      </c>
      <c r="AE731" s="25">
        <v>0.00627297041815891</v>
      </c>
      <c r="AF731" s="9">
        <v>0.0511939923997067</v>
      </c>
      <c r="AG731" s="9">
        <v>0.00640343640315023</v>
      </c>
      <c r="AH731" s="25">
        <v>-0.70737552136806</v>
      </c>
      <c r="AI731" s="25">
        <v>0.00569275473522602</v>
      </c>
      <c r="AJ731" s="4">
        <v>0.176226251837864</v>
      </c>
      <c r="AK731" s="4">
        <v>0.00582322072021731</v>
      </c>
      <c r="AL731" s="3">
        <v>0.227420244237566</v>
      </c>
      <c r="AM731" s="3">
        <v>0.0119657251533849</v>
      </c>
      <c r="AN731" s="4">
        <v>0.0011785505194442</v>
      </c>
      <c r="AO731" s="4">
        <v>4.12277602259479e-5</v>
      </c>
      <c r="AP731" s="3">
        <v>-0.820354969549712</v>
      </c>
      <c r="AQ731" s="3">
        <v>0.0160356938990772</v>
      </c>
      <c r="AR731" s="4">
        <v>0.196527653299312</v>
      </c>
      <c r="AS731" s="4">
        <v>0.00180024354658349</v>
      </c>
      <c r="AT731" s="3"/>
      <c r="AU731" s="3"/>
      <c r="AV731" s="4"/>
      <c r="AW731" s="4"/>
      <c r="AX731" s="3">
        <v>0.0244640299649212</v>
      </c>
      <c r="AY731" s="3">
        <v>1.55590378486487</v>
      </c>
      <c r="BF731" s="3">
        <v>-0.19443653246608</v>
      </c>
      <c r="BG731" s="3">
        <v>0.006031113902816</v>
      </c>
      <c r="BH731" s="3">
        <v>0.72086750559291</v>
      </c>
      <c r="BI731" s="3">
        <v>0.0206608351826236</v>
      </c>
      <c r="BJ731" s="3">
        <v>-0.0930904230660121</v>
      </c>
      <c r="BK731" s="3">
        <v>0.00326613347434287</v>
      </c>
      <c r="BP731" s="3">
        <v>0.0259062670818131</v>
      </c>
      <c r="BQ731" s="3">
        <v>0.00666666666666667</v>
      </c>
    </row>
    <row r="732" s="3" customFormat="1" spans="1:69">
      <c r="A732" s="4">
        <v>731</v>
      </c>
      <c r="B732" s="6">
        <v>112</v>
      </c>
      <c r="C732" s="24" t="s">
        <v>215</v>
      </c>
      <c r="D732" s="13" t="s">
        <v>371</v>
      </c>
      <c r="E732" s="25">
        <v>36.7497222</v>
      </c>
      <c r="F732" s="25">
        <v>109.26527</v>
      </c>
      <c r="G732" s="26">
        <v>8.8</v>
      </c>
      <c r="H732" s="27">
        <v>549.1</v>
      </c>
      <c r="I732" s="3">
        <v>1267</v>
      </c>
      <c r="J732" s="13" t="s">
        <v>193</v>
      </c>
      <c r="K732" s="5" t="s">
        <v>182</v>
      </c>
      <c r="L732" s="3">
        <v>2016</v>
      </c>
      <c r="M732" s="3">
        <v>9</v>
      </c>
      <c r="N732" s="13" t="s">
        <v>108</v>
      </c>
      <c r="O732" s="36" t="s">
        <v>80</v>
      </c>
      <c r="P732" s="7">
        <v>8.48</v>
      </c>
      <c r="Q732" s="3">
        <v>5.49138</v>
      </c>
      <c r="R732" s="3">
        <v>0.499015</v>
      </c>
      <c r="S732" s="13">
        <v>11.0044387443263</v>
      </c>
      <c r="T732" s="8">
        <v>7.69</v>
      </c>
      <c r="U732" s="8">
        <v>57.4</v>
      </c>
      <c r="V732" s="8">
        <v>34.9</v>
      </c>
      <c r="W732" s="3"/>
      <c r="X732" s="3"/>
      <c r="Y732" s="13" t="s">
        <v>82</v>
      </c>
      <c r="Z732" s="3">
        <v>3</v>
      </c>
      <c r="AA732" s="3">
        <v>3</v>
      </c>
      <c r="AB732" s="9">
        <v>-0.441492984032217</v>
      </c>
      <c r="AC732" s="9">
        <v>0.000390349958974128</v>
      </c>
      <c r="AD732" s="25">
        <v>-0.433070434043327</v>
      </c>
      <c r="AE732" s="25">
        <v>0.00706385511421858</v>
      </c>
      <c r="AF732" s="9">
        <v>0.00842254998889012</v>
      </c>
      <c r="AG732" s="9">
        <v>0.0074542050731927</v>
      </c>
      <c r="AH732" s="25">
        <v>-0.540566424753715</v>
      </c>
      <c r="AI732" s="25">
        <v>0.00121957914430007</v>
      </c>
      <c r="AJ732" s="4">
        <v>0.0990734407214989</v>
      </c>
      <c r="AK732" s="4">
        <v>0.0016099291032742</v>
      </c>
      <c r="AL732" s="3">
        <v>0.107495990710388</v>
      </c>
      <c r="AM732" s="3">
        <v>0.00828343425851866</v>
      </c>
      <c r="AN732" s="4">
        <v>0.00353149278147094</v>
      </c>
      <c r="AO732" s="4">
        <v>3.01268253728248e-5</v>
      </c>
      <c r="AP732" s="3">
        <v>-0.628177903438974</v>
      </c>
      <c r="AQ732" s="3">
        <v>0.00401012513165566</v>
      </c>
      <c r="AR732" s="4">
        <v>0.0884171744604053</v>
      </c>
      <c r="AS732" s="4">
        <v>0.00356398792539462</v>
      </c>
      <c r="AT732" s="3"/>
      <c r="AU732" s="3"/>
      <c r="AV732" s="4"/>
      <c r="AW732" s="4"/>
      <c r="AX732" s="3">
        <v>0.0225026040337098</v>
      </c>
      <c r="AY732" s="3">
        <v>1.41580768591555</v>
      </c>
      <c r="BF732" s="3">
        <v>-0.524885609334289</v>
      </c>
      <c r="BG732" s="3">
        <v>0.00595893717777745</v>
      </c>
      <c r="BH732" s="3">
        <v>-2.06761980271467</v>
      </c>
      <c r="BI732" s="3">
        <v>0.504335841429859</v>
      </c>
      <c r="BJ732" s="3">
        <v>-0.0930904230660121</v>
      </c>
      <c r="BK732" s="3">
        <v>0.00203229999779673</v>
      </c>
      <c r="BP732" s="3">
        <v>-0.0343062940200355</v>
      </c>
      <c r="BQ732" s="3">
        <v>0.00666666666666667</v>
      </c>
    </row>
    <row r="733" s="3" customFormat="1" spans="1:69">
      <c r="A733" s="4">
        <v>732</v>
      </c>
      <c r="B733" s="6">
        <v>112</v>
      </c>
      <c r="C733" s="24" t="s">
        <v>215</v>
      </c>
      <c r="D733" s="13" t="s">
        <v>371</v>
      </c>
      <c r="E733" s="25">
        <v>36.7497222</v>
      </c>
      <c r="F733" s="25">
        <v>109.26527</v>
      </c>
      <c r="G733" s="26">
        <v>8.8</v>
      </c>
      <c r="H733" s="27">
        <v>549.1</v>
      </c>
      <c r="I733" s="3">
        <v>1246</v>
      </c>
      <c r="J733" s="13" t="s">
        <v>193</v>
      </c>
      <c r="K733" s="5" t="s">
        <v>182</v>
      </c>
      <c r="L733" s="3">
        <v>2016</v>
      </c>
      <c r="M733" s="3">
        <v>9</v>
      </c>
      <c r="N733" s="13" t="s">
        <v>108</v>
      </c>
      <c r="O733" s="36" t="s">
        <v>80</v>
      </c>
      <c r="P733" s="7">
        <v>8.48</v>
      </c>
      <c r="Q733" s="3">
        <v>5.49138</v>
      </c>
      <c r="R733" s="3">
        <v>0.499015</v>
      </c>
      <c r="S733" s="13">
        <v>11.0044387443263</v>
      </c>
      <c r="T733" s="8">
        <v>7.69</v>
      </c>
      <c r="U733" s="8">
        <v>57.4</v>
      </c>
      <c r="V733" s="8">
        <v>34.9</v>
      </c>
      <c r="W733" s="3"/>
      <c r="X733" s="3"/>
      <c r="Y733" s="13" t="s">
        <v>82</v>
      </c>
      <c r="Z733" s="3">
        <v>3</v>
      </c>
      <c r="AA733" s="3">
        <v>3</v>
      </c>
      <c r="AB733" s="9">
        <v>-0.179017528320702</v>
      </c>
      <c r="AC733" s="9">
        <v>0.000154975197350476</v>
      </c>
      <c r="AD733" s="25">
        <v>-0.3882856843481</v>
      </c>
      <c r="AE733" s="25">
        <v>0.00464871913765857</v>
      </c>
      <c r="AF733" s="9">
        <v>-0.209268156027398</v>
      </c>
      <c r="AG733" s="9">
        <v>0.00480369433500906</v>
      </c>
      <c r="AH733" s="25">
        <v>-0.0920191620025825</v>
      </c>
      <c r="AI733" s="25">
        <v>0.00353336525420802</v>
      </c>
      <c r="AJ733" s="4">
        <v>-0.0869983663181196</v>
      </c>
      <c r="AK733" s="4">
        <v>0.0036883404515585</v>
      </c>
      <c r="AL733" s="3">
        <v>-0.296266522345518</v>
      </c>
      <c r="AM733" s="3">
        <v>0.00818208439186661</v>
      </c>
      <c r="AN733" s="4">
        <v>0</v>
      </c>
      <c r="AO733" s="4">
        <v>5.23799988133381e-5</v>
      </c>
      <c r="AP733" s="3">
        <v>-0.033118591095064</v>
      </c>
      <c r="AQ733" s="3">
        <v>0.00117433766823506</v>
      </c>
      <c r="AR733" s="4">
        <v>-0.01776511121738</v>
      </c>
      <c r="AS733" s="4">
        <v>0.00109491369797807</v>
      </c>
      <c r="AT733" s="3"/>
      <c r="AU733" s="3"/>
      <c r="AV733" s="4"/>
      <c r="AW733" s="4"/>
      <c r="AX733" s="3">
        <v>-0.0550474533370014</v>
      </c>
      <c r="AY733" s="3">
        <v>1.88715718629644</v>
      </c>
      <c r="BF733" s="3">
        <v>-0.466867191755605</v>
      </c>
      <c r="BG733" s="3">
        <v>0.0175045367376636</v>
      </c>
      <c r="BH733" s="3">
        <v>0.340325805937203</v>
      </c>
      <c r="BI733" s="3">
        <v>0.0292418145956607</v>
      </c>
      <c r="BJ733" s="3">
        <v>-0.0610876919798383</v>
      </c>
      <c r="BK733" s="3">
        <v>0.0018121488094828</v>
      </c>
      <c r="BP733" s="3">
        <v>-0.214574668543131</v>
      </c>
      <c r="BQ733" s="3">
        <v>0.00666666666666667</v>
      </c>
    </row>
    <row r="734" s="4" customFormat="1" spans="1:57">
      <c r="A734" s="4">
        <v>733</v>
      </c>
      <c r="B734" s="18">
        <v>113</v>
      </c>
      <c r="C734" s="5" t="s">
        <v>179</v>
      </c>
      <c r="D734" s="5" t="s">
        <v>372</v>
      </c>
      <c r="E734" s="4">
        <v>-16.078056</v>
      </c>
      <c r="F734" s="4">
        <v>47.868056</v>
      </c>
      <c r="G734" s="20">
        <v>21</v>
      </c>
      <c r="H734" s="21">
        <v>1500</v>
      </c>
      <c r="I734" s="4"/>
      <c r="J734" s="13" t="s">
        <v>181</v>
      </c>
      <c r="K734" s="5" t="s">
        <v>182</v>
      </c>
      <c r="L734" s="4">
        <v>2016</v>
      </c>
      <c r="M734" s="4">
        <v>1</v>
      </c>
      <c r="N734" s="5" t="s">
        <v>96</v>
      </c>
      <c r="O734" s="36" t="s">
        <v>80</v>
      </c>
      <c r="P734" s="29">
        <v>5.1</v>
      </c>
      <c r="Q734" s="4">
        <v>33.043</v>
      </c>
      <c r="R734" s="5"/>
      <c r="S734" s="13"/>
      <c r="T734" s="34">
        <v>55</v>
      </c>
      <c r="U734" s="34">
        <v>41</v>
      </c>
      <c r="V734" s="34">
        <v>4</v>
      </c>
      <c r="W734" s="4"/>
      <c r="X734" s="4"/>
      <c r="Y734" s="5" t="s">
        <v>82</v>
      </c>
      <c r="Z734" s="4">
        <v>5</v>
      </c>
      <c r="AA734" s="4">
        <v>5</v>
      </c>
      <c r="AB734" s="9"/>
      <c r="AC734" s="9"/>
      <c r="AD734" s="9">
        <v>-0.133470784727295</v>
      </c>
      <c r="AE734" s="9">
        <v>0.00475550654712068</v>
      </c>
      <c r="AF734" s="9"/>
      <c r="AG734" s="9"/>
      <c r="AH734" s="9">
        <v>-0.236372637609997</v>
      </c>
      <c r="AI734" s="9">
        <v>0.00850475231867745</v>
      </c>
      <c r="AJ734" s="4"/>
      <c r="AK734" s="4"/>
      <c r="AL734" s="4">
        <v>0.102901852882703</v>
      </c>
      <c r="AM734" s="4">
        <v>0.0132602588657981</v>
      </c>
      <c r="AN734" s="4"/>
      <c r="AO734" s="4"/>
      <c r="AP734" s="4"/>
      <c r="AQ734" s="4"/>
      <c r="AR734" s="4"/>
      <c r="AS734" s="4"/>
      <c r="AT734" s="4"/>
      <c r="AU734" s="4"/>
      <c r="AV734" s="4"/>
      <c r="AW734" s="4"/>
      <c r="AX734" s="4">
        <v>0.0661548684339446</v>
      </c>
      <c r="AY734" s="4">
        <v>0.00160760782080407</v>
      </c>
      <c r="AZ734" s="4">
        <v>-0.448961802232188</v>
      </c>
      <c r="BA734" s="4">
        <v>0.00723682685408763</v>
      </c>
      <c r="BB734" s="4">
        <v>-0.0281487808974311</v>
      </c>
      <c r="BC734" s="4">
        <v>9.74453739865071e-5</v>
      </c>
      <c r="BD734" s="4">
        <v>-0.0472193119531471</v>
      </c>
      <c r="BE734" s="4">
        <v>7.44158078096974e-5</v>
      </c>
    </row>
    <row r="735" s="4" customFormat="1" spans="1:57">
      <c r="A735" s="4">
        <v>734</v>
      </c>
      <c r="B735" s="18">
        <v>113</v>
      </c>
      <c r="C735" s="5" t="s">
        <v>179</v>
      </c>
      <c r="D735" s="5" t="s">
        <v>372</v>
      </c>
      <c r="E735" s="4">
        <v>-16.078056</v>
      </c>
      <c r="F735" s="4">
        <v>47.868056</v>
      </c>
      <c r="G735" s="20">
        <v>21</v>
      </c>
      <c r="H735" s="21">
        <v>1500</v>
      </c>
      <c r="I735" s="4"/>
      <c r="J735" s="13" t="s">
        <v>193</v>
      </c>
      <c r="K735" s="5" t="s">
        <v>182</v>
      </c>
      <c r="L735" s="4">
        <v>2016</v>
      </c>
      <c r="M735" s="4">
        <v>1</v>
      </c>
      <c r="N735" s="5" t="s">
        <v>96</v>
      </c>
      <c r="O735" s="36" t="s">
        <v>80</v>
      </c>
      <c r="P735" s="29">
        <v>5.1</v>
      </c>
      <c r="Q735" s="4">
        <v>33.043</v>
      </c>
      <c r="R735" s="5"/>
      <c r="S735" s="13"/>
      <c r="T735" s="34">
        <v>55</v>
      </c>
      <c r="U735" s="34">
        <v>41</v>
      </c>
      <c r="V735" s="34">
        <v>4</v>
      </c>
      <c r="W735" s="4"/>
      <c r="X735" s="4"/>
      <c r="Y735" s="5" t="s">
        <v>82</v>
      </c>
      <c r="Z735" s="4">
        <v>5</v>
      </c>
      <c r="AA735" s="4">
        <v>5</v>
      </c>
      <c r="AB735" s="9"/>
      <c r="AC735" s="9"/>
      <c r="AD735" s="9">
        <v>-0.366358627516183</v>
      </c>
      <c r="AE735" s="9">
        <v>0.00349516130815753</v>
      </c>
      <c r="AF735" s="9"/>
      <c r="AG735" s="9"/>
      <c r="AH735" s="9">
        <v>-0.438914895050641</v>
      </c>
      <c r="AI735" s="9">
        <v>0.00531208550694892</v>
      </c>
      <c r="AJ735" s="4"/>
      <c r="AK735" s="4"/>
      <c r="AL735" s="4">
        <v>0.0725562675344545</v>
      </c>
      <c r="AM735" s="4">
        <v>0.00880724681510645</v>
      </c>
      <c r="AN735" s="4"/>
      <c r="AO735" s="4"/>
      <c r="AP735" s="4"/>
      <c r="AQ735" s="4"/>
      <c r="AR735" s="4"/>
      <c r="AS735" s="4"/>
      <c r="AT735" s="4"/>
      <c r="AU735" s="4"/>
      <c r="AV735" s="4"/>
      <c r="AW735" s="4"/>
      <c r="AX735" s="4">
        <v>0.365787112444922</v>
      </c>
      <c r="AY735" s="4">
        <v>0.010852631894188</v>
      </c>
      <c r="AZ735" s="4">
        <v>-0.100815228374863</v>
      </c>
      <c r="BA735" s="4">
        <v>0.00502458123131028</v>
      </c>
      <c r="BB735" s="4">
        <v>-0.0266913271798871</v>
      </c>
      <c r="BC735" s="4">
        <v>0.000433441010732437</v>
      </c>
      <c r="BD735" s="4">
        <v>-0.038138669771093</v>
      </c>
      <c r="BE735" s="4">
        <v>0.000452868582943119</v>
      </c>
    </row>
    <row r="736" s="4" customFormat="1" spans="1:57">
      <c r="A736" s="4">
        <v>735</v>
      </c>
      <c r="B736" s="18">
        <v>113</v>
      </c>
      <c r="C736" s="5" t="s">
        <v>179</v>
      </c>
      <c r="D736" s="5" t="s">
        <v>372</v>
      </c>
      <c r="E736" s="4">
        <v>-16.078056</v>
      </c>
      <c r="F736" s="4">
        <v>47.868056</v>
      </c>
      <c r="G736" s="20">
        <v>21</v>
      </c>
      <c r="H736" s="21">
        <v>1500</v>
      </c>
      <c r="I736" s="4"/>
      <c r="J736" s="13" t="s">
        <v>181</v>
      </c>
      <c r="K736" s="5" t="s">
        <v>182</v>
      </c>
      <c r="L736" s="4">
        <v>2016</v>
      </c>
      <c r="M736" s="4">
        <v>1</v>
      </c>
      <c r="N736" s="5" t="s">
        <v>96</v>
      </c>
      <c r="O736" s="36" t="s">
        <v>80</v>
      </c>
      <c r="P736" s="29">
        <v>5.1</v>
      </c>
      <c r="Q736" s="4">
        <v>33.043</v>
      </c>
      <c r="R736" s="5"/>
      <c r="S736" s="13"/>
      <c r="T736" s="34">
        <v>55</v>
      </c>
      <c r="U736" s="34">
        <v>41</v>
      </c>
      <c r="V736" s="34">
        <v>4</v>
      </c>
      <c r="W736" s="4"/>
      <c r="X736" s="4"/>
      <c r="Y736" s="5" t="s">
        <v>82</v>
      </c>
      <c r="Z736" s="4">
        <v>5</v>
      </c>
      <c r="AA736" s="4">
        <v>5</v>
      </c>
      <c r="AB736" s="9"/>
      <c r="AC736" s="9"/>
      <c r="AD736" s="9">
        <v>0.147644317754549</v>
      </c>
      <c r="AE736" s="9">
        <v>0.00563787931962295</v>
      </c>
      <c r="AF736" s="9"/>
      <c r="AG736" s="9"/>
      <c r="AH736" s="9">
        <v>0.15792649195841</v>
      </c>
      <c r="AI736" s="9">
        <v>0.00774380785238658</v>
      </c>
      <c r="AJ736" s="4"/>
      <c r="AK736" s="4"/>
      <c r="AL736" s="4">
        <v>-0.010282174203865</v>
      </c>
      <c r="AM736" s="4">
        <v>0.0133816871720096</v>
      </c>
      <c r="AN736" s="4"/>
      <c r="AO736" s="4"/>
      <c r="AP736" s="4"/>
      <c r="AQ736" s="4"/>
      <c r="AR736" s="4"/>
      <c r="AS736" s="4"/>
      <c r="AT736" s="4"/>
      <c r="AU736" s="4"/>
      <c r="AV736" s="4"/>
      <c r="AW736" s="4"/>
      <c r="AX736" s="4">
        <v>0.413180535314133</v>
      </c>
      <c r="AY736" s="4">
        <v>0.0256671987680365</v>
      </c>
      <c r="AZ736" s="4">
        <v>-0.0217781701693803</v>
      </c>
      <c r="BA736" s="4">
        <v>0.00709562392611741</v>
      </c>
      <c r="BB736" s="4">
        <v>-0.0142466408964158</v>
      </c>
      <c r="BC736" s="4">
        <v>0.000115691036981135</v>
      </c>
      <c r="BD736" s="4">
        <v>-0.0302135755715013</v>
      </c>
      <c r="BE736" s="4">
        <v>0.000101351458771688</v>
      </c>
    </row>
    <row r="737" s="4" customFormat="1" spans="1:57">
      <c r="A737" s="4">
        <v>736</v>
      </c>
      <c r="B737" s="18">
        <v>113</v>
      </c>
      <c r="C737" s="5" t="s">
        <v>179</v>
      </c>
      <c r="D737" s="5" t="s">
        <v>372</v>
      </c>
      <c r="E737" s="4">
        <v>-16.078056</v>
      </c>
      <c r="F737" s="4">
        <v>47.868056</v>
      </c>
      <c r="G737" s="20">
        <v>21</v>
      </c>
      <c r="H737" s="21">
        <v>1500</v>
      </c>
      <c r="I737" s="4"/>
      <c r="J737" s="13" t="s">
        <v>181</v>
      </c>
      <c r="K737" s="5" t="s">
        <v>182</v>
      </c>
      <c r="L737" s="4">
        <v>2016</v>
      </c>
      <c r="M737" s="4">
        <v>1</v>
      </c>
      <c r="N737" s="5" t="s">
        <v>96</v>
      </c>
      <c r="O737" s="28" t="s">
        <v>136</v>
      </c>
      <c r="P737" s="29">
        <v>5.1</v>
      </c>
      <c r="Q737" s="4">
        <v>21.739</v>
      </c>
      <c r="R737" s="5"/>
      <c r="S737" s="13"/>
      <c r="T737" s="34">
        <v>55</v>
      </c>
      <c r="U737" s="34">
        <v>41</v>
      </c>
      <c r="V737" s="34">
        <v>4</v>
      </c>
      <c r="W737" s="4"/>
      <c r="X737" s="4"/>
      <c r="Y737" s="5" t="s">
        <v>82</v>
      </c>
      <c r="Z737" s="4">
        <v>5</v>
      </c>
      <c r="AA737" s="4">
        <v>5</v>
      </c>
      <c r="AB737" s="9"/>
      <c r="AC737" s="9"/>
      <c r="AD737" s="9">
        <v>0.553567851380112</v>
      </c>
      <c r="AE737" s="9">
        <v>0.0057956552640324</v>
      </c>
      <c r="AF737" s="9"/>
      <c r="AG737" s="9"/>
      <c r="AH737" s="9">
        <v>0.165513658811574</v>
      </c>
      <c r="AI737" s="9">
        <v>0.0189992862722408</v>
      </c>
      <c r="AJ737" s="4"/>
      <c r="AK737" s="4"/>
      <c r="AL737" s="4">
        <v>0.388054192568543</v>
      </c>
      <c r="AM737" s="4">
        <v>0.0247949415362733</v>
      </c>
      <c r="AN737" s="4"/>
      <c r="AO737" s="4"/>
      <c r="AP737" s="4"/>
      <c r="AQ737" s="4"/>
      <c r="AR737" s="4"/>
      <c r="AS737" s="4"/>
      <c r="AT737" s="4"/>
      <c r="AU737" s="4"/>
      <c r="AV737" s="4"/>
      <c r="AW737" s="4"/>
      <c r="AX737" s="4">
        <v>0.112979448181656</v>
      </c>
      <c r="AY737" s="4">
        <v>0.0217284486343032</v>
      </c>
      <c r="AZ737" s="4">
        <v>-0.376666595241524</v>
      </c>
      <c r="BA737" s="4">
        <v>0.0118571497450097</v>
      </c>
      <c r="BB737" s="4">
        <v>-0.00548890913640796</v>
      </c>
      <c r="BC737" s="4">
        <v>0.000521374667435303</v>
      </c>
      <c r="BD737" s="4">
        <v>0.229240183688678</v>
      </c>
      <c r="BE737" s="4">
        <v>0.0291570248521165</v>
      </c>
    </row>
    <row r="738" s="4" customFormat="1" spans="1:57">
      <c r="A738" s="4">
        <v>737</v>
      </c>
      <c r="B738" s="18">
        <v>113</v>
      </c>
      <c r="C738" s="5" t="s">
        <v>179</v>
      </c>
      <c r="D738" s="5" t="s">
        <v>372</v>
      </c>
      <c r="E738" s="4">
        <v>-16.078056</v>
      </c>
      <c r="F738" s="4">
        <v>47.868056</v>
      </c>
      <c r="G738" s="20">
        <v>21</v>
      </c>
      <c r="H738" s="21">
        <v>1500</v>
      </c>
      <c r="I738" s="4"/>
      <c r="J738" s="13" t="s">
        <v>185</v>
      </c>
      <c r="K738" s="5" t="s">
        <v>182</v>
      </c>
      <c r="L738" s="4">
        <v>2016</v>
      </c>
      <c r="M738" s="4">
        <v>1</v>
      </c>
      <c r="N738" s="5" t="s">
        <v>96</v>
      </c>
      <c r="O738" s="28" t="s">
        <v>136</v>
      </c>
      <c r="P738" s="29">
        <v>5.1</v>
      </c>
      <c r="Q738" s="4">
        <v>21.739</v>
      </c>
      <c r="R738" s="5"/>
      <c r="S738" s="13"/>
      <c r="T738" s="34">
        <v>55</v>
      </c>
      <c r="U738" s="34">
        <v>41</v>
      </c>
      <c r="V738" s="34">
        <v>4</v>
      </c>
      <c r="W738" s="4"/>
      <c r="X738" s="4"/>
      <c r="Y738" s="5" t="s">
        <v>82</v>
      </c>
      <c r="Z738" s="4">
        <v>5</v>
      </c>
      <c r="AA738" s="4">
        <v>5</v>
      </c>
      <c r="AB738" s="9"/>
      <c r="AC738" s="9"/>
      <c r="AD738" s="9">
        <v>-0.0671393028376286</v>
      </c>
      <c r="AE738" s="9">
        <v>0.0153151886191644</v>
      </c>
      <c r="AF738" s="9"/>
      <c r="AG738" s="9"/>
      <c r="AH738" s="9">
        <v>-0.020213033963411</v>
      </c>
      <c r="AI738" s="9">
        <v>0.0181558430873183</v>
      </c>
      <c r="AJ738" s="4"/>
      <c r="AK738" s="4"/>
      <c r="AL738" s="4">
        <v>-0.0469262688742176</v>
      </c>
      <c r="AM738" s="4">
        <v>0.0334710317064829</v>
      </c>
      <c r="AN738" s="4"/>
      <c r="AO738" s="4"/>
      <c r="AP738" s="4"/>
      <c r="AQ738" s="4"/>
      <c r="AR738" s="4"/>
      <c r="AS738" s="4"/>
      <c r="AT738" s="4"/>
      <c r="AU738" s="4"/>
      <c r="AV738" s="4"/>
      <c r="AW738" s="4"/>
      <c r="AX738" s="4">
        <v>0.0876114786852651</v>
      </c>
      <c r="AY738" s="4">
        <v>0.00522970427595568</v>
      </c>
      <c r="AZ738" s="4">
        <v>-0.118058707608508</v>
      </c>
      <c r="BA738" s="4">
        <v>0.00614807298040371</v>
      </c>
      <c r="BB738" s="4">
        <v>0.0210866788277711</v>
      </c>
      <c r="BC738" s="4">
        <v>0.000297851763007353</v>
      </c>
      <c r="BD738" s="4">
        <v>0.253789358123016</v>
      </c>
      <c r="BE738" s="4">
        <v>0.0448862196252001</v>
      </c>
    </row>
    <row r="739" s="4" customFormat="1" spans="1:57">
      <c r="A739" s="4">
        <v>738</v>
      </c>
      <c r="B739" s="18">
        <v>113</v>
      </c>
      <c r="C739" s="5" t="s">
        <v>179</v>
      </c>
      <c r="D739" s="5" t="s">
        <v>372</v>
      </c>
      <c r="E739" s="4">
        <v>-16.078056</v>
      </c>
      <c r="F739" s="4">
        <v>47.868056</v>
      </c>
      <c r="G739" s="20">
        <v>21</v>
      </c>
      <c r="H739" s="21">
        <v>1500</v>
      </c>
      <c r="I739" s="4"/>
      <c r="J739" s="13" t="s">
        <v>181</v>
      </c>
      <c r="K739" s="5" t="s">
        <v>182</v>
      </c>
      <c r="L739" s="4">
        <v>2016</v>
      </c>
      <c r="M739" s="4">
        <v>1</v>
      </c>
      <c r="N739" s="5" t="s">
        <v>96</v>
      </c>
      <c r="O739" s="28" t="s">
        <v>136</v>
      </c>
      <c r="P739" s="29">
        <v>5.1</v>
      </c>
      <c r="Q739" s="4">
        <v>21.739</v>
      </c>
      <c r="R739" s="5"/>
      <c r="S739" s="13"/>
      <c r="T739" s="34">
        <v>55</v>
      </c>
      <c r="U739" s="34">
        <v>41</v>
      </c>
      <c r="V739" s="34">
        <v>4</v>
      </c>
      <c r="W739" s="4"/>
      <c r="X739" s="4"/>
      <c r="Y739" s="5" t="s">
        <v>82</v>
      </c>
      <c r="Z739" s="4">
        <v>5</v>
      </c>
      <c r="AA739" s="4">
        <v>5</v>
      </c>
      <c r="AB739" s="9"/>
      <c r="AC739" s="9"/>
      <c r="AD739" s="9">
        <v>0.756442030932259</v>
      </c>
      <c r="AE739" s="9">
        <v>0.00856298331295329</v>
      </c>
      <c r="AF739" s="9"/>
      <c r="AG739" s="9"/>
      <c r="AH739" s="9">
        <v>0.565323218153159</v>
      </c>
      <c r="AI739" s="9">
        <v>0.0176320750798058</v>
      </c>
      <c r="AJ739" s="4"/>
      <c r="AK739" s="4"/>
      <c r="AL739" s="4">
        <v>0.191118812779107</v>
      </c>
      <c r="AM739" s="4">
        <v>0.0261950583927592</v>
      </c>
      <c r="AN739" s="4"/>
      <c r="AO739" s="4"/>
      <c r="AP739" s="4"/>
      <c r="AQ739" s="4"/>
      <c r="AR739" s="4"/>
      <c r="AS739" s="4"/>
      <c r="AT739" s="4"/>
      <c r="AU739" s="4"/>
      <c r="AV739" s="4"/>
      <c r="AW739" s="4"/>
      <c r="AX739" s="4">
        <v>-0.0589005709075148</v>
      </c>
      <c r="AY739" s="4">
        <v>0.00470770292244306</v>
      </c>
      <c r="AZ739" s="4">
        <v>0.127818670924066</v>
      </c>
      <c r="BA739" s="4">
        <v>0.0140233183569668</v>
      </c>
      <c r="BB739" s="4">
        <v>0.00634852151584717</v>
      </c>
      <c r="BC739" s="4">
        <v>0.000396765682458842</v>
      </c>
      <c r="BD739" s="4">
        <v>0.0118803600767815</v>
      </c>
      <c r="BE739" s="4">
        <v>0.0311750970115078</v>
      </c>
    </row>
    <row r="740" s="4" customFormat="1" spans="1:57">
      <c r="A740" s="4">
        <v>739</v>
      </c>
      <c r="B740" s="18">
        <v>113</v>
      </c>
      <c r="C740" s="5" t="s">
        <v>179</v>
      </c>
      <c r="D740" s="5" t="s">
        <v>372</v>
      </c>
      <c r="E740" s="4">
        <v>-16.078056</v>
      </c>
      <c r="F740" s="4">
        <v>47.868056</v>
      </c>
      <c r="G740" s="20">
        <v>21</v>
      </c>
      <c r="H740" s="21">
        <v>1500</v>
      </c>
      <c r="I740" s="4"/>
      <c r="J740" s="13" t="s">
        <v>181</v>
      </c>
      <c r="K740" s="5" t="s">
        <v>182</v>
      </c>
      <c r="L740" s="4">
        <v>2016</v>
      </c>
      <c r="M740" s="4">
        <v>1</v>
      </c>
      <c r="N740" s="5" t="s">
        <v>96</v>
      </c>
      <c r="O740" s="36" t="s">
        <v>80</v>
      </c>
      <c r="P740" s="29">
        <v>5.1</v>
      </c>
      <c r="Q740" s="4">
        <v>31.304</v>
      </c>
      <c r="R740" s="5"/>
      <c r="S740" s="13"/>
      <c r="T740" s="34">
        <v>55</v>
      </c>
      <c r="U740" s="34">
        <v>41</v>
      </c>
      <c r="V740" s="34">
        <v>4</v>
      </c>
      <c r="W740" s="4"/>
      <c r="X740" s="4"/>
      <c r="Y740" s="5" t="s">
        <v>82</v>
      </c>
      <c r="Z740" s="4">
        <v>5</v>
      </c>
      <c r="AA740" s="4">
        <v>5</v>
      </c>
      <c r="AB740" s="9"/>
      <c r="AC740" s="9"/>
      <c r="AD740" s="9">
        <v>-0.0522260116298844</v>
      </c>
      <c r="AE740" s="9">
        <v>0.0123007519517749</v>
      </c>
      <c r="AF740" s="9"/>
      <c r="AG740" s="9"/>
      <c r="AH740" s="9">
        <v>-0.117775049488426</v>
      </c>
      <c r="AI740" s="9">
        <v>0.00784192834194939</v>
      </c>
      <c r="AJ740" s="4"/>
      <c r="AK740" s="4"/>
      <c r="AL740" s="4">
        <v>0.0655490378585392</v>
      </c>
      <c r="AM740" s="4">
        <v>0.0201426802937245</v>
      </c>
      <c r="AN740" s="4"/>
      <c r="AO740" s="4"/>
      <c r="AP740" s="4"/>
      <c r="AQ740" s="4"/>
      <c r="AR740" s="4"/>
      <c r="AS740" s="4"/>
      <c r="AT740" s="4"/>
      <c r="AU740" s="4"/>
      <c r="AV740" s="4"/>
      <c r="AW740" s="4"/>
      <c r="AX740" s="4"/>
      <c r="AY740" s="4"/>
      <c r="BD740" s="4">
        <v>-0.0214369841985017</v>
      </c>
      <c r="BE740" s="4">
        <v>0.000571850956240601</v>
      </c>
    </row>
    <row r="741" s="4" customFormat="1" spans="1:57">
      <c r="A741" s="4">
        <v>740</v>
      </c>
      <c r="B741" s="18">
        <v>113</v>
      </c>
      <c r="C741" s="5" t="s">
        <v>179</v>
      </c>
      <c r="D741" s="5" t="s">
        <v>372</v>
      </c>
      <c r="E741" s="4">
        <v>-16.078056</v>
      </c>
      <c r="F741" s="4">
        <v>47.868056</v>
      </c>
      <c r="G741" s="20">
        <v>21</v>
      </c>
      <c r="H741" s="21">
        <v>1500</v>
      </c>
      <c r="I741" s="4"/>
      <c r="J741" s="13" t="s">
        <v>185</v>
      </c>
      <c r="K741" s="5" t="s">
        <v>182</v>
      </c>
      <c r="L741" s="4">
        <v>2016</v>
      </c>
      <c r="M741" s="4">
        <v>1</v>
      </c>
      <c r="N741" s="5" t="s">
        <v>96</v>
      </c>
      <c r="O741" s="36" t="s">
        <v>80</v>
      </c>
      <c r="P741" s="29">
        <v>5.1</v>
      </c>
      <c r="Q741" s="4">
        <v>31.304</v>
      </c>
      <c r="R741" s="5"/>
      <c r="S741" s="13"/>
      <c r="T741" s="34">
        <v>55</v>
      </c>
      <c r="U741" s="34">
        <v>41</v>
      </c>
      <c r="V741" s="34">
        <v>4</v>
      </c>
      <c r="W741" s="4"/>
      <c r="X741" s="4"/>
      <c r="Y741" s="5" t="s">
        <v>82</v>
      </c>
      <c r="Z741" s="4">
        <v>5</v>
      </c>
      <c r="AA741" s="4">
        <v>5</v>
      </c>
      <c r="AB741" s="9"/>
      <c r="AC741" s="9"/>
      <c r="AD741" s="9">
        <v>-0.580854228126474</v>
      </c>
      <c r="AE741" s="9">
        <v>0.0217907952513314</v>
      </c>
      <c r="AF741" s="9"/>
      <c r="AG741" s="9"/>
      <c r="AH741" s="9">
        <v>-0.287682072451781</v>
      </c>
      <c r="AI741" s="9">
        <v>0.00311103098741872</v>
      </c>
      <c r="AJ741" s="4"/>
      <c r="AK741" s="4"/>
      <c r="AL741" s="4">
        <v>-0.293172155674693</v>
      </c>
      <c r="AM741" s="4">
        <v>0.0249018262387501</v>
      </c>
      <c r="AN741" s="4"/>
      <c r="AO741" s="4"/>
      <c r="AP741" s="4"/>
      <c r="AQ741" s="4"/>
      <c r="AR741" s="4"/>
      <c r="AS741" s="4"/>
      <c r="AT741" s="4"/>
      <c r="AU741" s="4"/>
      <c r="AV741" s="4"/>
      <c r="AW741" s="4"/>
      <c r="AX741" s="4"/>
      <c r="AY741" s="4"/>
      <c r="BD741" s="4">
        <v>0.0136060883817088</v>
      </c>
      <c r="BE741" s="4">
        <v>0.000321448110685148</v>
      </c>
    </row>
    <row r="742" s="4" customFormat="1" spans="1:57">
      <c r="A742" s="4">
        <v>741</v>
      </c>
      <c r="B742" s="18">
        <v>113</v>
      </c>
      <c r="C742" s="5" t="s">
        <v>179</v>
      </c>
      <c r="D742" s="5" t="s">
        <v>372</v>
      </c>
      <c r="E742" s="4">
        <v>-16.078056</v>
      </c>
      <c r="F742" s="4">
        <v>47.868056</v>
      </c>
      <c r="G742" s="20">
        <v>21</v>
      </c>
      <c r="H742" s="21">
        <v>1500</v>
      </c>
      <c r="I742" s="4"/>
      <c r="J742" s="13" t="s">
        <v>181</v>
      </c>
      <c r="K742" s="5" t="s">
        <v>182</v>
      </c>
      <c r="L742" s="4">
        <v>2016</v>
      </c>
      <c r="M742" s="4">
        <v>1</v>
      </c>
      <c r="N742" s="5" t="s">
        <v>96</v>
      </c>
      <c r="O742" s="36" t="s">
        <v>80</v>
      </c>
      <c r="P742" s="29">
        <v>5.1</v>
      </c>
      <c r="Q742" s="4">
        <v>31.304</v>
      </c>
      <c r="R742" s="5"/>
      <c r="S742" s="13"/>
      <c r="T742" s="34">
        <v>55</v>
      </c>
      <c r="U742" s="34">
        <v>41</v>
      </c>
      <c r="V742" s="34">
        <v>4</v>
      </c>
      <c r="W742" s="4"/>
      <c r="X742" s="4"/>
      <c r="Y742" s="5" t="s">
        <v>82</v>
      </c>
      <c r="Z742" s="4">
        <v>5</v>
      </c>
      <c r="AA742" s="4">
        <v>5</v>
      </c>
      <c r="AB742" s="9"/>
      <c r="AC742" s="9"/>
      <c r="AD742" s="9">
        <v>0.316959422397631</v>
      </c>
      <c r="AE742" s="9">
        <v>0.0126691384792999</v>
      </c>
      <c r="AF742" s="9"/>
      <c r="AG742" s="9"/>
      <c r="AH742" s="9">
        <v>0.377301532783242</v>
      </c>
      <c r="AI742" s="9">
        <v>0.00500397923185617</v>
      </c>
      <c r="AJ742" s="4"/>
      <c r="AK742" s="4"/>
      <c r="AL742" s="4">
        <v>-0.0603421103856107</v>
      </c>
      <c r="AM742" s="4">
        <v>0.0176731177111561</v>
      </c>
      <c r="AN742" s="4"/>
      <c r="AO742" s="4"/>
      <c r="AP742" s="4"/>
      <c r="AQ742" s="4"/>
      <c r="AR742" s="4"/>
      <c r="AS742" s="4"/>
      <c r="AT742" s="4"/>
      <c r="AU742" s="4"/>
      <c r="AV742" s="4"/>
      <c r="AW742" s="4"/>
      <c r="AX742" s="4"/>
      <c r="AY742" s="4"/>
      <c r="BD742" s="4">
        <v>-0.00709397564977301</v>
      </c>
      <c r="BE742" s="4">
        <v>0.000442852245114998</v>
      </c>
    </row>
    <row r="743" s="4" customFormat="1" spans="1:57">
      <c r="A743" s="4">
        <v>742</v>
      </c>
      <c r="B743" s="18">
        <v>113</v>
      </c>
      <c r="C743" s="5" t="s">
        <v>179</v>
      </c>
      <c r="D743" s="5" t="s">
        <v>372</v>
      </c>
      <c r="E743" s="4">
        <v>-16.078056</v>
      </c>
      <c r="F743" s="4">
        <v>47.868056</v>
      </c>
      <c r="G743" s="20">
        <v>21</v>
      </c>
      <c r="H743" s="21">
        <v>1500</v>
      </c>
      <c r="I743" s="4"/>
      <c r="J743" s="13" t="s">
        <v>181</v>
      </c>
      <c r="K743" s="5" t="s">
        <v>182</v>
      </c>
      <c r="L743" s="4">
        <v>2016</v>
      </c>
      <c r="M743" s="4">
        <v>1</v>
      </c>
      <c r="N743" s="5" t="s">
        <v>96</v>
      </c>
      <c r="O743" s="28" t="s">
        <v>136</v>
      </c>
      <c r="P743" s="29">
        <v>5.1</v>
      </c>
      <c r="Q743" s="4">
        <v>20.435</v>
      </c>
      <c r="R743" s="5"/>
      <c r="S743" s="13"/>
      <c r="T743" s="34">
        <v>55</v>
      </c>
      <c r="U743" s="34">
        <v>41</v>
      </c>
      <c r="V743" s="34">
        <v>4</v>
      </c>
      <c r="W743" s="4"/>
      <c r="X743" s="4"/>
      <c r="Y743" s="5" t="s">
        <v>82</v>
      </c>
      <c r="Z743" s="4">
        <v>5</v>
      </c>
      <c r="AA743" s="4">
        <v>5</v>
      </c>
      <c r="AB743" s="9"/>
      <c r="AC743" s="9"/>
      <c r="AD743" s="9">
        <v>0.943637865608324</v>
      </c>
      <c r="AE743" s="9">
        <v>0.143147449918073</v>
      </c>
      <c r="AF743" s="9"/>
      <c r="AG743" s="9"/>
      <c r="AH743" s="9">
        <v>0.227372424270376</v>
      </c>
      <c r="AI743" s="9">
        <v>0.00522224252742804</v>
      </c>
      <c r="AJ743" s="4"/>
      <c r="AK743" s="4"/>
      <c r="AL743" s="4">
        <v>0.716265441337944</v>
      </c>
      <c r="AM743" s="4">
        <v>0.148369692445501</v>
      </c>
      <c r="AN743" s="4"/>
      <c r="AO743" s="4"/>
      <c r="AP743" s="4"/>
      <c r="AQ743" s="4"/>
      <c r="AR743" s="4"/>
      <c r="AS743" s="4"/>
      <c r="AT743" s="4"/>
      <c r="AU743" s="4"/>
      <c r="AV743" s="4"/>
      <c r="AW743" s="4"/>
      <c r="AX743" s="4"/>
      <c r="AY743" s="4"/>
      <c r="BD743" s="4">
        <v>0.0661353800804964</v>
      </c>
      <c r="BE743" s="4">
        <v>0.0440192170202125</v>
      </c>
    </row>
    <row r="744" s="4" customFormat="1" spans="1:57">
      <c r="A744" s="4">
        <v>743</v>
      </c>
      <c r="B744" s="18">
        <v>113</v>
      </c>
      <c r="C744" s="5" t="s">
        <v>179</v>
      </c>
      <c r="D744" s="5" t="s">
        <v>372</v>
      </c>
      <c r="E744" s="4">
        <v>-16.078056</v>
      </c>
      <c r="F744" s="4">
        <v>47.868056</v>
      </c>
      <c r="G744" s="20">
        <v>21</v>
      </c>
      <c r="H744" s="21">
        <v>1500</v>
      </c>
      <c r="I744" s="4"/>
      <c r="J744" s="13" t="s">
        <v>185</v>
      </c>
      <c r="K744" s="5" t="s">
        <v>182</v>
      </c>
      <c r="L744" s="4">
        <v>2016</v>
      </c>
      <c r="M744" s="4">
        <v>1</v>
      </c>
      <c r="N744" s="5" t="s">
        <v>96</v>
      </c>
      <c r="O744" s="28" t="s">
        <v>136</v>
      </c>
      <c r="P744" s="29">
        <v>5.1</v>
      </c>
      <c r="Q744" s="4">
        <v>20.435</v>
      </c>
      <c r="R744" s="5"/>
      <c r="S744" s="13"/>
      <c r="T744" s="34">
        <v>55</v>
      </c>
      <c r="U744" s="34">
        <v>41</v>
      </c>
      <c r="V744" s="34">
        <v>4</v>
      </c>
      <c r="W744" s="4"/>
      <c r="X744" s="4"/>
      <c r="Y744" s="5" t="s">
        <v>82</v>
      </c>
      <c r="Z744" s="4">
        <v>5</v>
      </c>
      <c r="AA744" s="4">
        <v>5</v>
      </c>
      <c r="AB744" s="9"/>
      <c r="AC744" s="9"/>
      <c r="AD744" s="9">
        <v>0.00954454100356987</v>
      </c>
      <c r="AE744" s="9">
        <v>0.150075393879804</v>
      </c>
      <c r="AF744" s="9"/>
      <c r="AG744" s="9"/>
      <c r="AH744" s="9">
        <v>-0.0659913335640792</v>
      </c>
      <c r="AI744" s="9">
        <v>0.0169868257114213</v>
      </c>
      <c r="AJ744" s="4"/>
      <c r="AK744" s="4"/>
      <c r="AL744" s="4">
        <v>0.0755358745676482</v>
      </c>
      <c r="AM744" s="4">
        <v>0.167062219591225</v>
      </c>
      <c r="AN744" s="4"/>
      <c r="AO744" s="4"/>
      <c r="AP744" s="4"/>
      <c r="AQ744" s="4"/>
      <c r="AR744" s="4"/>
      <c r="AS744" s="4"/>
      <c r="AT744" s="4"/>
      <c r="AU744" s="4"/>
      <c r="AV744" s="4"/>
      <c r="AW744" s="4"/>
      <c r="AX744" s="4"/>
      <c r="AY744" s="4"/>
      <c r="BD744" s="4">
        <v>-0.179087373953541</v>
      </c>
      <c r="BE744" s="4">
        <v>0.0298497317297979</v>
      </c>
    </row>
    <row r="745" s="4" customFormat="1" spans="1:57">
      <c r="A745" s="4">
        <v>744</v>
      </c>
      <c r="B745" s="18">
        <v>113</v>
      </c>
      <c r="C745" s="5" t="s">
        <v>179</v>
      </c>
      <c r="D745" s="5" t="s">
        <v>372</v>
      </c>
      <c r="E745" s="4">
        <v>-16.078056</v>
      </c>
      <c r="F745" s="4">
        <v>47.868056</v>
      </c>
      <c r="G745" s="20">
        <v>21</v>
      </c>
      <c r="H745" s="21">
        <v>1500</v>
      </c>
      <c r="I745" s="4"/>
      <c r="J745" s="13" t="s">
        <v>181</v>
      </c>
      <c r="K745" s="5" t="s">
        <v>182</v>
      </c>
      <c r="L745" s="4">
        <v>2016</v>
      </c>
      <c r="M745" s="4">
        <v>1</v>
      </c>
      <c r="N745" s="5" t="s">
        <v>96</v>
      </c>
      <c r="O745" s="28" t="s">
        <v>136</v>
      </c>
      <c r="P745" s="29">
        <v>5.1</v>
      </c>
      <c r="Q745" s="4">
        <v>20.435</v>
      </c>
      <c r="R745" s="5"/>
      <c r="S745" s="13"/>
      <c r="T745" s="34">
        <v>55</v>
      </c>
      <c r="U745" s="34">
        <v>41</v>
      </c>
      <c r="V745" s="34">
        <v>4</v>
      </c>
      <c r="W745" s="4"/>
      <c r="X745" s="4"/>
      <c r="Y745" s="5" t="s">
        <v>82</v>
      </c>
      <c r="Z745" s="4">
        <v>5</v>
      </c>
      <c r="AA745" s="4">
        <v>5</v>
      </c>
      <c r="AB745" s="9"/>
      <c r="AC745" s="9"/>
      <c r="AD745" s="9">
        <v>1.33715540029537</v>
      </c>
      <c r="AE745" s="9">
        <v>0.144187152841228</v>
      </c>
      <c r="AF745" s="9"/>
      <c r="AG745" s="9"/>
      <c r="AH745" s="9">
        <v>0.660695772044916</v>
      </c>
      <c r="AI745" s="9">
        <v>0.0118038876040263</v>
      </c>
      <c r="AJ745" s="4"/>
      <c r="AK745" s="4"/>
      <c r="AL745" s="4">
        <v>0.676459628250458</v>
      </c>
      <c r="AM745" s="4">
        <v>0.155991040445254</v>
      </c>
      <c r="AN745" s="4"/>
      <c r="AO745" s="4"/>
      <c r="AP745" s="4"/>
      <c r="AQ745" s="4"/>
      <c r="AR745" s="4"/>
      <c r="AS745" s="4"/>
      <c r="AT745" s="4"/>
      <c r="AU745" s="4"/>
      <c r="AV745" s="4"/>
      <c r="AW745" s="4"/>
      <c r="AX745" s="4"/>
      <c r="AY745" s="4"/>
      <c r="BD745" s="4">
        <v>-0.160694422060048</v>
      </c>
      <c r="BE745" s="4">
        <v>0.0392365272118367</v>
      </c>
    </row>
    <row r="746" s="3" customFormat="1" spans="1:69">
      <c r="A746" s="4">
        <v>745</v>
      </c>
      <c r="B746" s="6">
        <v>114</v>
      </c>
      <c r="C746" s="24" t="s">
        <v>373</v>
      </c>
      <c r="D746" s="13" t="s">
        <v>374</v>
      </c>
      <c r="E746" s="25">
        <v>-15.945833</v>
      </c>
      <c r="F746" s="25">
        <v>-47.928611</v>
      </c>
      <c r="G746" s="26">
        <v>20.8259416666667</v>
      </c>
      <c r="H746" s="27">
        <v>1276.28861</v>
      </c>
      <c r="I746" s="3">
        <v>1095</v>
      </c>
      <c r="J746" s="13" t="s">
        <v>90</v>
      </c>
      <c r="K746" s="5" t="s">
        <v>78</v>
      </c>
      <c r="L746" s="3">
        <v>2016</v>
      </c>
      <c r="M746" s="3">
        <v>3</v>
      </c>
      <c r="N746" s="13" t="s">
        <v>96</v>
      </c>
      <c r="O746" s="28" t="s">
        <v>80</v>
      </c>
      <c r="P746" s="7">
        <v>4.9</v>
      </c>
      <c r="Q746" s="5"/>
      <c r="R746" s="5"/>
      <c r="S746" s="13"/>
      <c r="T746" s="8">
        <v>59.5</v>
      </c>
      <c r="U746" s="8">
        <v>36</v>
      </c>
      <c r="V746" s="8">
        <v>4.5</v>
      </c>
      <c r="W746" s="3"/>
      <c r="X746" s="3"/>
      <c r="Y746" s="13" t="s">
        <v>82</v>
      </c>
      <c r="Z746" s="3">
        <v>4</v>
      </c>
      <c r="AA746" s="3">
        <v>4</v>
      </c>
      <c r="AB746" s="9"/>
      <c r="AC746" s="9"/>
      <c r="AD746" s="25">
        <v>-0.0702423588628611</v>
      </c>
      <c r="AE746" s="25">
        <v>0.00157244799054652</v>
      </c>
      <c r="AF746" s="9"/>
      <c r="AG746" s="9"/>
      <c r="AH746" s="25"/>
      <c r="AI746" s="25"/>
      <c r="AJ746" s="4"/>
      <c r="AK746" s="4"/>
      <c r="AL746" s="3"/>
      <c r="AM746" s="3"/>
      <c r="AN746" s="4"/>
      <c r="AO746" s="4"/>
      <c r="AP746" s="3"/>
      <c r="AQ746" s="3"/>
      <c r="AR746" s="4"/>
      <c r="AS746" s="4"/>
      <c r="AT746" s="3"/>
      <c r="AU746" s="3"/>
      <c r="AV746" s="4">
        <v>-0.0322026443748292</v>
      </c>
      <c r="AW746" s="4">
        <v>0.00288574576461988</v>
      </c>
      <c r="AX746" s="3"/>
      <c r="AY746" s="3"/>
      <c r="BP746" s="3">
        <v>0.782917144291876</v>
      </c>
      <c r="BQ746" s="3">
        <v>0.00443200437578757</v>
      </c>
    </row>
    <row r="747" s="3" customFormat="1" spans="1:69">
      <c r="A747" s="4">
        <v>746</v>
      </c>
      <c r="B747" s="6">
        <v>114</v>
      </c>
      <c r="C747" s="24" t="s">
        <v>373</v>
      </c>
      <c r="D747" s="13" t="s">
        <v>374</v>
      </c>
      <c r="E747" s="25">
        <v>-15.945833</v>
      </c>
      <c r="F747" s="25">
        <v>-47.928611</v>
      </c>
      <c r="G747" s="26">
        <v>20.8259416666667</v>
      </c>
      <c r="H747" s="27">
        <v>1276.28861</v>
      </c>
      <c r="I747" s="3">
        <v>1095</v>
      </c>
      <c r="J747" s="13" t="s">
        <v>90</v>
      </c>
      <c r="K747" s="5" t="s">
        <v>78</v>
      </c>
      <c r="L747" s="3">
        <v>2016</v>
      </c>
      <c r="M747" s="3">
        <v>3</v>
      </c>
      <c r="N747" s="13" t="s">
        <v>96</v>
      </c>
      <c r="O747" s="28" t="s">
        <v>80</v>
      </c>
      <c r="P747" s="7">
        <v>4.9</v>
      </c>
      <c r="Q747" s="5"/>
      <c r="R747" s="5"/>
      <c r="S747" s="13"/>
      <c r="T747" s="8">
        <v>59.5</v>
      </c>
      <c r="U747" s="8">
        <v>36</v>
      </c>
      <c r="V747" s="8">
        <v>4.5</v>
      </c>
      <c r="W747" s="3"/>
      <c r="X747" s="3"/>
      <c r="Y747" s="13" t="s">
        <v>82</v>
      </c>
      <c r="Z747" s="3">
        <v>4</v>
      </c>
      <c r="AA747" s="3">
        <v>4</v>
      </c>
      <c r="AB747" s="9"/>
      <c r="AC747" s="9"/>
      <c r="AD747" s="25"/>
      <c r="AE747" s="25"/>
      <c r="AF747" s="9"/>
      <c r="AG747" s="9"/>
      <c r="AH747" s="25"/>
      <c r="AI747" s="25"/>
      <c r="AJ747" s="4"/>
      <c r="AK747" s="4"/>
      <c r="AL747" s="3"/>
      <c r="AM747" s="3"/>
      <c r="AN747" s="4"/>
      <c r="AO747" s="4"/>
      <c r="AP747" s="3"/>
      <c r="AQ747" s="3"/>
      <c r="AR747" s="4"/>
      <c r="AS747" s="4"/>
      <c r="AT747" s="3"/>
      <c r="AU747" s="3"/>
      <c r="AV747" s="4">
        <v>-0.228295785019909</v>
      </c>
      <c r="AW747" s="4">
        <v>0.00176665769002526</v>
      </c>
      <c r="AX747" s="3"/>
      <c r="AY747" s="3"/>
      <c r="BP747" s="3">
        <v>-0.459913338642921</v>
      </c>
      <c r="BQ747" s="3">
        <v>0.00743522525879469</v>
      </c>
    </row>
    <row r="748" s="3" customFormat="1" spans="1:69">
      <c r="A748" s="4">
        <v>747</v>
      </c>
      <c r="B748" s="6">
        <v>114</v>
      </c>
      <c r="C748" s="24" t="s">
        <v>373</v>
      </c>
      <c r="D748" s="13" t="s">
        <v>374</v>
      </c>
      <c r="E748" s="25">
        <v>-15.945833</v>
      </c>
      <c r="F748" s="25">
        <v>-47.928611</v>
      </c>
      <c r="G748" s="26">
        <v>20.8259416666667</v>
      </c>
      <c r="H748" s="27">
        <v>1276.28861</v>
      </c>
      <c r="I748" s="3">
        <v>1095</v>
      </c>
      <c r="J748" s="13" t="s">
        <v>90</v>
      </c>
      <c r="K748" s="5" t="s">
        <v>78</v>
      </c>
      <c r="L748" s="3">
        <v>2016</v>
      </c>
      <c r="M748" s="3">
        <v>3</v>
      </c>
      <c r="N748" s="13" t="s">
        <v>96</v>
      </c>
      <c r="O748" s="28" t="s">
        <v>80</v>
      </c>
      <c r="P748" s="7">
        <v>4.9</v>
      </c>
      <c r="Q748" s="5"/>
      <c r="R748" s="5"/>
      <c r="S748" s="13"/>
      <c r="T748" s="8">
        <v>59.5</v>
      </c>
      <c r="U748" s="8">
        <v>36</v>
      </c>
      <c r="V748" s="8">
        <v>4.5</v>
      </c>
      <c r="W748" s="3"/>
      <c r="X748" s="3"/>
      <c r="Y748" s="13" t="s">
        <v>82</v>
      </c>
      <c r="Z748" s="3">
        <v>4</v>
      </c>
      <c r="AA748" s="3">
        <v>4</v>
      </c>
      <c r="AB748" s="9"/>
      <c r="AC748" s="9"/>
      <c r="AD748" s="25"/>
      <c r="AE748" s="25"/>
      <c r="AF748" s="9"/>
      <c r="AG748" s="9"/>
      <c r="AH748" s="25"/>
      <c r="AI748" s="25"/>
      <c r="AJ748" s="4"/>
      <c r="AK748" s="4"/>
      <c r="AL748" s="3"/>
      <c r="AM748" s="3"/>
      <c r="AN748" s="4"/>
      <c r="AO748" s="4"/>
      <c r="AP748" s="3"/>
      <c r="AQ748" s="3"/>
      <c r="AR748" s="4"/>
      <c r="AS748" s="4"/>
      <c r="AT748" s="3"/>
      <c r="AU748" s="3"/>
      <c r="AV748" s="4">
        <v>0.0845257957136006</v>
      </c>
      <c r="AW748" s="4">
        <v>0.00176765131014656</v>
      </c>
      <c r="AX748" s="3"/>
      <c r="AY748" s="3"/>
      <c r="BP748" s="3">
        <v>-0.415050743110832</v>
      </c>
      <c r="BQ748" s="3">
        <v>0.00437726133907786</v>
      </c>
    </row>
    <row r="749" s="4" customFormat="1" spans="1:53">
      <c r="A749" s="4">
        <v>748</v>
      </c>
      <c r="B749" s="18">
        <v>115</v>
      </c>
      <c r="C749" s="19" t="s">
        <v>375</v>
      </c>
      <c r="D749" s="5" t="s">
        <v>376</v>
      </c>
      <c r="E749" s="9">
        <v>26.75</v>
      </c>
      <c r="F749" s="9">
        <v>111.867</v>
      </c>
      <c r="G749" s="20">
        <v>18</v>
      </c>
      <c r="H749" s="21">
        <v>1250</v>
      </c>
      <c r="I749" s="4"/>
      <c r="J749" s="5" t="s">
        <v>90</v>
      </c>
      <c r="K749" s="5" t="s">
        <v>78</v>
      </c>
      <c r="L749" s="4">
        <v>2014</v>
      </c>
      <c r="M749" s="4">
        <v>10</v>
      </c>
      <c r="N749" s="5" t="s">
        <v>108</v>
      </c>
      <c r="O749" s="28" t="s">
        <v>80</v>
      </c>
      <c r="P749" s="29">
        <v>5.7</v>
      </c>
      <c r="Q749" s="4">
        <v>6</v>
      </c>
      <c r="R749" s="4">
        <v>1.07</v>
      </c>
      <c r="S749" s="13">
        <v>5.60747663551402</v>
      </c>
      <c r="T749" s="34">
        <v>44</v>
      </c>
      <c r="U749" s="21">
        <v>28</v>
      </c>
      <c r="V749" s="21">
        <v>53</v>
      </c>
      <c r="W749" s="4">
        <v>11</v>
      </c>
      <c r="X749" s="5" t="s">
        <v>91</v>
      </c>
      <c r="Y749" s="5" t="s">
        <v>82</v>
      </c>
      <c r="Z749" s="4">
        <v>3</v>
      </c>
      <c r="AA749" s="4">
        <v>3</v>
      </c>
      <c r="AB749" s="9">
        <v>0.568230191453336</v>
      </c>
      <c r="AC749" s="9">
        <v>0.0019666634554231</v>
      </c>
      <c r="AD749" s="9"/>
      <c r="AE749" s="9"/>
      <c r="AF749" s="9"/>
      <c r="AG749" s="9"/>
      <c r="AH749" s="9">
        <v>0.488352767913932</v>
      </c>
      <c r="AI749" s="9">
        <v>0.000500291447962607</v>
      </c>
      <c r="AJ749" s="4">
        <v>0.0798774235394044</v>
      </c>
      <c r="AK749" s="4">
        <v>0.00246695490338571</v>
      </c>
      <c r="AL749" s="4"/>
      <c r="AM749" s="4"/>
      <c r="AN749" s="4">
        <v>-0.247439956173347</v>
      </c>
      <c r="AO749" s="4">
        <v>0.000376217392046545</v>
      </c>
      <c r="AP749" s="4"/>
      <c r="AQ749" s="4"/>
      <c r="AR749" s="4"/>
      <c r="AS749" s="4"/>
      <c r="AT749" s="4"/>
      <c r="AU749" s="4"/>
      <c r="AV749" s="4"/>
      <c r="AW749" s="4"/>
      <c r="AX749" s="4"/>
      <c r="AY749" s="4"/>
      <c r="AZ749" s="4">
        <v>0.146764933786963</v>
      </c>
      <c r="BA749" s="4">
        <v>0.00272952814683778</v>
      </c>
    </row>
    <row r="750" s="4" customFormat="1" spans="1:53">
      <c r="A750" s="4">
        <v>749</v>
      </c>
      <c r="B750" s="18">
        <v>115</v>
      </c>
      <c r="C750" s="19" t="s">
        <v>375</v>
      </c>
      <c r="D750" s="5" t="s">
        <v>376</v>
      </c>
      <c r="E750" s="9">
        <v>28.617</v>
      </c>
      <c r="F750" s="9">
        <v>116.433</v>
      </c>
      <c r="G750" s="20">
        <v>17.2</v>
      </c>
      <c r="H750" s="21">
        <v>1727</v>
      </c>
      <c r="I750" s="4"/>
      <c r="J750" s="5" t="s">
        <v>90</v>
      </c>
      <c r="K750" s="5" t="s">
        <v>78</v>
      </c>
      <c r="L750" s="4">
        <v>2012</v>
      </c>
      <c r="M750" s="4">
        <v>4</v>
      </c>
      <c r="N750" s="5" t="s">
        <v>113</v>
      </c>
      <c r="O750" s="28" t="s">
        <v>80</v>
      </c>
      <c r="P750" s="29">
        <v>6</v>
      </c>
      <c r="Q750" s="4">
        <v>9.4</v>
      </c>
      <c r="R750" s="4">
        <v>0.98</v>
      </c>
      <c r="S750" s="13">
        <v>9.59183673469388</v>
      </c>
      <c r="T750" s="34">
        <v>34.9</v>
      </c>
      <c r="U750" s="21"/>
      <c r="V750" s="21"/>
      <c r="W750" s="4">
        <v>15</v>
      </c>
      <c r="X750" s="5" t="s">
        <v>91</v>
      </c>
      <c r="Y750" s="5" t="s">
        <v>82</v>
      </c>
      <c r="Z750" s="4">
        <v>3</v>
      </c>
      <c r="AA750" s="4">
        <v>3</v>
      </c>
      <c r="AB750" s="9">
        <v>-0.222589381169797</v>
      </c>
      <c r="AC750" s="9">
        <v>0.00849808602175519</v>
      </c>
      <c r="AD750" s="9"/>
      <c r="AE750" s="9"/>
      <c r="AF750" s="9"/>
      <c r="AG750" s="9"/>
      <c r="AH750" s="9">
        <v>0.324239668185579</v>
      </c>
      <c r="AI750" s="9">
        <v>0.000682486832154276</v>
      </c>
      <c r="AJ750" s="4">
        <v>-0.546829049355377</v>
      </c>
      <c r="AK750" s="4">
        <v>0.00918057285390948</v>
      </c>
      <c r="AL750" s="4"/>
      <c r="AM750" s="4"/>
      <c r="AN750" s="4">
        <v>-0.0289875368732524</v>
      </c>
      <c r="AO750" s="4">
        <v>0.000376217392046544</v>
      </c>
      <c r="AP750" s="4"/>
      <c r="AQ750" s="4"/>
      <c r="AR750" s="4"/>
      <c r="AS750" s="4"/>
      <c r="AT750" s="4"/>
      <c r="AU750" s="4"/>
      <c r="AV750" s="4"/>
      <c r="AW750" s="4"/>
      <c r="AX750" s="4"/>
      <c r="AY750" s="4"/>
      <c r="AZ750" s="4">
        <v>-0.400111366831063</v>
      </c>
      <c r="BA750" s="4">
        <v>0.0119130618080765</v>
      </c>
    </row>
    <row r="751" s="4" customFormat="1" spans="1:53">
      <c r="A751" s="4">
        <v>750</v>
      </c>
      <c r="B751" s="18">
        <v>115</v>
      </c>
      <c r="C751" s="19" t="s">
        <v>375</v>
      </c>
      <c r="D751" s="5" t="s">
        <v>376</v>
      </c>
      <c r="E751" s="4">
        <v>28.25</v>
      </c>
      <c r="F751" s="4">
        <v>116.333</v>
      </c>
      <c r="G751" s="20">
        <v>17.2</v>
      </c>
      <c r="H751" s="21">
        <v>1727</v>
      </c>
      <c r="I751" s="4"/>
      <c r="J751" s="5" t="s">
        <v>90</v>
      </c>
      <c r="K751" s="5" t="s">
        <v>78</v>
      </c>
      <c r="L751" s="4">
        <v>2012</v>
      </c>
      <c r="M751" s="4">
        <v>11</v>
      </c>
      <c r="N751" s="5" t="s">
        <v>108</v>
      </c>
      <c r="O751" s="28" t="s">
        <v>80</v>
      </c>
      <c r="P751" s="29">
        <v>5.4</v>
      </c>
      <c r="Q751" s="4">
        <v>16.3</v>
      </c>
      <c r="R751" s="4">
        <v>1.6</v>
      </c>
      <c r="S751" s="13">
        <v>10.1875</v>
      </c>
      <c r="T751" s="34">
        <v>25.1</v>
      </c>
      <c r="U751" s="21">
        <v>28</v>
      </c>
      <c r="V751" s="21">
        <v>53</v>
      </c>
      <c r="W751" s="4">
        <v>20</v>
      </c>
      <c r="X751" s="5" t="s">
        <v>91</v>
      </c>
      <c r="Y751" s="5" t="s">
        <v>82</v>
      </c>
      <c r="Z751" s="4">
        <v>3</v>
      </c>
      <c r="AA751" s="4">
        <v>3</v>
      </c>
      <c r="AB751" s="9">
        <v>0.470858695565469</v>
      </c>
      <c r="AC751" s="9">
        <v>0.0917083802684539</v>
      </c>
      <c r="AD751" s="9"/>
      <c r="AE751" s="9"/>
      <c r="AF751" s="9"/>
      <c r="AG751" s="9"/>
      <c r="AH751" s="9">
        <v>0.0145987994211526</v>
      </c>
      <c r="AI751" s="9">
        <v>0.000232210534361392</v>
      </c>
      <c r="AJ751" s="4">
        <v>0.456259896144316</v>
      </c>
      <c r="AK751" s="4">
        <v>0.0919405908028151</v>
      </c>
      <c r="AL751" s="4"/>
      <c r="AM751" s="4"/>
      <c r="AN751" s="4">
        <v>-0.00607904607638223</v>
      </c>
      <c r="AO751" s="4">
        <v>0.000376217392046543</v>
      </c>
      <c r="AP751" s="4"/>
      <c r="AQ751" s="4"/>
      <c r="AR751" s="4"/>
      <c r="AS751" s="4"/>
      <c r="AT751" s="4"/>
      <c r="AU751" s="4"/>
      <c r="AV751" s="4"/>
      <c r="AW751" s="4"/>
      <c r="AX751" s="4"/>
      <c r="AY751" s="4"/>
      <c r="AZ751" s="4">
        <v>-0.0732968763188423</v>
      </c>
      <c r="BA751" s="4">
        <v>0.00113759930311662</v>
      </c>
    </row>
    <row r="752" s="4" customFormat="1" spans="1:53">
      <c r="A752" s="4">
        <v>751</v>
      </c>
      <c r="B752" s="18">
        <v>115</v>
      </c>
      <c r="C752" s="19" t="s">
        <v>375</v>
      </c>
      <c r="D752" s="5" t="s">
        <v>376</v>
      </c>
      <c r="E752" s="4">
        <v>43.5</v>
      </c>
      <c r="F752" s="4">
        <v>124.8</v>
      </c>
      <c r="G752" s="20">
        <v>4.5</v>
      </c>
      <c r="H752" s="21">
        <v>525</v>
      </c>
      <c r="I752" s="4"/>
      <c r="J752" s="5" t="s">
        <v>90</v>
      </c>
      <c r="K752" s="5" t="s">
        <v>78</v>
      </c>
      <c r="L752" s="4">
        <v>2018</v>
      </c>
      <c r="M752" s="4">
        <v>4</v>
      </c>
      <c r="N752" s="5" t="s">
        <v>113</v>
      </c>
      <c r="O752" s="28" t="s">
        <v>80</v>
      </c>
      <c r="P752" s="29">
        <v>7.2</v>
      </c>
      <c r="Q752" s="4">
        <v>13.6</v>
      </c>
      <c r="R752" s="4">
        <v>1.42</v>
      </c>
      <c r="S752" s="13">
        <v>9.57746478873239</v>
      </c>
      <c r="T752" s="34">
        <v>32</v>
      </c>
      <c r="U752" s="21"/>
      <c r="V752" s="21"/>
      <c r="W752" s="4">
        <v>12</v>
      </c>
      <c r="X752" s="5" t="s">
        <v>91</v>
      </c>
      <c r="Y752" s="5" t="s">
        <v>82</v>
      </c>
      <c r="Z752" s="4">
        <v>3</v>
      </c>
      <c r="AA752" s="4">
        <v>3</v>
      </c>
      <c r="AB752" s="9">
        <v>-0.0901656220609313</v>
      </c>
      <c r="AC752" s="9">
        <v>0.00434363398394598</v>
      </c>
      <c r="AD752" s="9"/>
      <c r="AE752" s="9"/>
      <c r="AF752" s="9"/>
      <c r="AG752" s="9"/>
      <c r="AH752" s="9">
        <v>0.0392207131532813</v>
      </c>
      <c r="AI752" s="9">
        <v>0.000164151873767258</v>
      </c>
      <c r="AJ752" s="4">
        <v>-0.129386335214213</v>
      </c>
      <c r="AK752" s="4">
        <v>0.00450778585771324</v>
      </c>
      <c r="AL752" s="4"/>
      <c r="AM752" s="4"/>
      <c r="AN752" s="4">
        <v>-0.214207532890341</v>
      </c>
      <c r="AO752" s="4">
        <v>0.000376217392046546</v>
      </c>
      <c r="AP752" s="4"/>
      <c r="AQ752" s="4"/>
      <c r="AR752" s="4"/>
      <c r="AS752" s="4"/>
      <c r="AT752" s="4"/>
      <c r="AU752" s="4"/>
      <c r="AV752" s="4"/>
      <c r="AW752" s="4"/>
      <c r="AX752" s="4"/>
      <c r="AY752" s="4"/>
      <c r="AZ752" s="4">
        <v>-0.129241381755015</v>
      </c>
      <c r="BA752" s="4">
        <v>0.00129477201827074</v>
      </c>
    </row>
    <row r="753" s="4" customFormat="1" spans="1:53">
      <c r="A753" s="4">
        <v>752</v>
      </c>
      <c r="B753" s="18">
        <v>115</v>
      </c>
      <c r="C753" s="19" t="s">
        <v>375</v>
      </c>
      <c r="D753" s="5" t="s">
        <v>376</v>
      </c>
      <c r="E753" s="4">
        <v>41.8</v>
      </c>
      <c r="F753" s="4">
        <v>123.55</v>
      </c>
      <c r="G753" s="20">
        <v>7.7</v>
      </c>
      <c r="H753" s="21">
        <v>547</v>
      </c>
      <c r="I753" s="4"/>
      <c r="J753" s="5" t="s">
        <v>90</v>
      </c>
      <c r="K753" s="5" t="s">
        <v>78</v>
      </c>
      <c r="L753" s="4">
        <v>2018</v>
      </c>
      <c r="M753" s="4">
        <v>4</v>
      </c>
      <c r="N753" s="5" t="s">
        <v>113</v>
      </c>
      <c r="O753" s="28" t="s">
        <v>80</v>
      </c>
      <c r="P753" s="29">
        <v>6.5</v>
      </c>
      <c r="Q753" s="4">
        <v>9.2</v>
      </c>
      <c r="R753" s="4">
        <v>1.33</v>
      </c>
      <c r="S753" s="13">
        <v>6.91729323308271</v>
      </c>
      <c r="T753" s="34">
        <v>24.9</v>
      </c>
      <c r="U753" s="21">
        <v>46</v>
      </c>
      <c r="V753" s="21">
        <v>28</v>
      </c>
      <c r="W753" s="4">
        <v>22</v>
      </c>
      <c r="X753" s="5" t="s">
        <v>91</v>
      </c>
      <c r="Y753" s="5" t="s">
        <v>82</v>
      </c>
      <c r="Z753" s="4">
        <v>3</v>
      </c>
      <c r="AA753" s="4">
        <v>3</v>
      </c>
      <c r="AB753" s="9">
        <v>0.341050725757917</v>
      </c>
      <c r="AC753" s="9">
        <v>0.0108188097420012</v>
      </c>
      <c r="AD753" s="9"/>
      <c r="AE753" s="9"/>
      <c r="AF753" s="9"/>
      <c r="AG753" s="9"/>
      <c r="AH753" s="9">
        <v>0.152016207298625</v>
      </c>
      <c r="AI753" s="9">
        <v>0.00100862619497916</v>
      </c>
      <c r="AJ753" s="4">
        <v>0.189034518459291</v>
      </c>
      <c r="AK753" s="4">
        <v>0.0118274359369803</v>
      </c>
      <c r="AL753" s="4"/>
      <c r="AM753" s="4"/>
      <c r="AN753" s="4">
        <v>-0.110827585547799</v>
      </c>
      <c r="AO753" s="4">
        <v>0.000376217392046542</v>
      </c>
      <c r="AP753" s="4"/>
      <c r="AQ753" s="4"/>
      <c r="AR753" s="4"/>
      <c r="AS753" s="4"/>
      <c r="AT753" s="4"/>
      <c r="AU753" s="4"/>
      <c r="AV753" s="4"/>
      <c r="AW753" s="4"/>
      <c r="AX753" s="4"/>
      <c r="AY753" s="4"/>
      <c r="AZ753" s="4">
        <v>-0.465951831224765</v>
      </c>
      <c r="BA753" s="4">
        <v>0.00125818495881407</v>
      </c>
    </row>
    <row r="754" s="4" customFormat="1" spans="1:53">
      <c r="A754" s="4">
        <v>753</v>
      </c>
      <c r="B754" s="18">
        <v>115</v>
      </c>
      <c r="C754" s="19" t="s">
        <v>375</v>
      </c>
      <c r="D754" s="5" t="s">
        <v>376</v>
      </c>
      <c r="E754" s="4">
        <v>33.217</v>
      </c>
      <c r="F754" s="4">
        <v>116.617</v>
      </c>
      <c r="G754" s="20">
        <v>16.5</v>
      </c>
      <c r="H754" s="21">
        <v>900</v>
      </c>
      <c r="I754" s="4"/>
      <c r="J754" s="5" t="s">
        <v>90</v>
      </c>
      <c r="K754" s="5" t="s">
        <v>78</v>
      </c>
      <c r="L754" s="4">
        <v>2016</v>
      </c>
      <c r="M754" s="4">
        <v>10</v>
      </c>
      <c r="N754" s="5" t="s">
        <v>108</v>
      </c>
      <c r="O754" s="28" t="s">
        <v>80</v>
      </c>
      <c r="P754" s="29">
        <v>7.4</v>
      </c>
      <c r="Q754" s="4">
        <v>5.8</v>
      </c>
      <c r="R754" s="4">
        <v>0.96</v>
      </c>
      <c r="S754" s="13">
        <v>6.04166666666667</v>
      </c>
      <c r="T754" s="34">
        <v>41.4</v>
      </c>
      <c r="U754" s="21">
        <v>40</v>
      </c>
      <c r="V754" s="21">
        <v>39</v>
      </c>
      <c r="W754" s="4">
        <v>19</v>
      </c>
      <c r="X754" s="5" t="s">
        <v>91</v>
      </c>
      <c r="Y754" s="5" t="s">
        <v>82</v>
      </c>
      <c r="Z754" s="4">
        <v>3</v>
      </c>
      <c r="AA754" s="4">
        <v>3</v>
      </c>
      <c r="AB754" s="9">
        <v>0.251137201873708</v>
      </c>
      <c r="AC754" s="9">
        <v>0.00578917239970295</v>
      </c>
      <c r="AD754" s="9"/>
      <c r="AE754" s="9"/>
      <c r="AF754" s="9"/>
      <c r="AG754" s="9"/>
      <c r="AH754" s="9">
        <v>0.148420005118273</v>
      </c>
      <c r="AI754" s="9">
        <v>0.000632421720174396</v>
      </c>
      <c r="AJ754" s="4">
        <v>0.102717196755434</v>
      </c>
      <c r="AK754" s="4">
        <v>0.00642159411987734</v>
      </c>
      <c r="AL754" s="4"/>
      <c r="AM754" s="4"/>
      <c r="AN754" s="4">
        <v>-0.290083033989319</v>
      </c>
      <c r="AO754" s="4">
        <v>0.000376217392046544</v>
      </c>
      <c r="AP754" s="4"/>
      <c r="AQ754" s="4"/>
      <c r="AR754" s="4"/>
      <c r="AS754" s="4"/>
      <c r="AT754" s="4"/>
      <c r="AU754" s="4"/>
      <c r="AV754" s="4"/>
      <c r="AW754" s="4"/>
      <c r="AX754" s="4"/>
      <c r="AY754" s="4"/>
      <c r="AZ754" s="4">
        <v>-0.130473561300428</v>
      </c>
      <c r="BA754" s="4">
        <v>0.00104592130429503</v>
      </c>
    </row>
    <row r="755" s="4" customFormat="1" spans="1:53">
      <c r="A755" s="4">
        <v>754</v>
      </c>
      <c r="B755" s="18">
        <v>115</v>
      </c>
      <c r="C755" s="19" t="s">
        <v>375</v>
      </c>
      <c r="D755" s="5" t="s">
        <v>376</v>
      </c>
      <c r="E755" s="4">
        <v>37.883</v>
      </c>
      <c r="F755" s="4">
        <v>114.683</v>
      </c>
      <c r="G755" s="20">
        <v>12.2</v>
      </c>
      <c r="H755" s="21">
        <v>536</v>
      </c>
      <c r="I755" s="4"/>
      <c r="J755" s="5" t="s">
        <v>90</v>
      </c>
      <c r="K755" s="5" t="s">
        <v>78</v>
      </c>
      <c r="L755" s="4">
        <v>2013</v>
      </c>
      <c r="M755" s="4">
        <v>6</v>
      </c>
      <c r="N755" s="5" t="s">
        <v>96</v>
      </c>
      <c r="O755" s="28" t="s">
        <v>80</v>
      </c>
      <c r="P755" s="20">
        <v>6.19999980926514</v>
      </c>
      <c r="Q755" s="4">
        <v>10</v>
      </c>
      <c r="R755" s="4">
        <v>1.01</v>
      </c>
      <c r="S755" s="13">
        <v>9.9009900990099</v>
      </c>
      <c r="T755" s="34">
        <v>15.5</v>
      </c>
      <c r="U755" s="21">
        <v>55</v>
      </c>
      <c r="V755" s="21">
        <v>23</v>
      </c>
      <c r="W755" s="4">
        <v>1</v>
      </c>
      <c r="X755" s="5" t="s">
        <v>81</v>
      </c>
      <c r="Y755" s="5" t="s">
        <v>82</v>
      </c>
      <c r="Z755" s="4">
        <v>3</v>
      </c>
      <c r="AA755" s="4">
        <v>3</v>
      </c>
      <c r="AB755" s="9">
        <v>-0.0175723371458838</v>
      </c>
      <c r="AC755" s="9">
        <v>0.00217630719842388</v>
      </c>
      <c r="AD755" s="9"/>
      <c r="AE755" s="9"/>
      <c r="AF755" s="9"/>
      <c r="AG755" s="9"/>
      <c r="AH755" s="9">
        <v>0.0588405000229334</v>
      </c>
      <c r="AI755" s="9">
        <v>0.000348631647332946</v>
      </c>
      <c r="AJ755" s="4">
        <v>-0.0764128371688224</v>
      </c>
      <c r="AK755" s="4">
        <v>0.00252493884575683</v>
      </c>
      <c r="AL755" s="4"/>
      <c r="AM755" s="4"/>
      <c r="AN755" s="4">
        <v>-0.0242436116099927</v>
      </c>
      <c r="AO755" s="4">
        <v>0.000376217392046543</v>
      </c>
      <c r="AP755" s="4"/>
      <c r="AQ755" s="4"/>
      <c r="AR755" s="4"/>
      <c r="AS755" s="4"/>
      <c r="AT755" s="4"/>
      <c r="AU755" s="4"/>
      <c r="AV755" s="4"/>
      <c r="AW755" s="4"/>
      <c r="AX755" s="4"/>
      <c r="AY755" s="4"/>
      <c r="AZ755" s="4">
        <v>-0.435421265107584</v>
      </c>
      <c r="BA755" s="4">
        <v>0.00227419965640073</v>
      </c>
    </row>
    <row r="756" s="4" customFormat="1" spans="1:53">
      <c r="A756" s="4">
        <v>755</v>
      </c>
      <c r="B756" s="18">
        <v>115</v>
      </c>
      <c r="C756" s="19" t="s">
        <v>375</v>
      </c>
      <c r="D756" s="5" t="s">
        <v>376</v>
      </c>
      <c r="E756" s="4">
        <v>34.283</v>
      </c>
      <c r="F756" s="4">
        <v>108</v>
      </c>
      <c r="G756" s="20">
        <v>13</v>
      </c>
      <c r="H756" s="21">
        <v>550</v>
      </c>
      <c r="I756" s="4"/>
      <c r="J756" s="5" t="s">
        <v>90</v>
      </c>
      <c r="K756" s="5" t="s">
        <v>78</v>
      </c>
      <c r="L756" s="4">
        <v>2018</v>
      </c>
      <c r="M756" s="4">
        <v>6</v>
      </c>
      <c r="N756" s="5" t="s">
        <v>96</v>
      </c>
      <c r="O756" s="28" t="s">
        <v>80</v>
      </c>
      <c r="P756" s="29">
        <v>8.6</v>
      </c>
      <c r="Q756" s="4">
        <v>6.3</v>
      </c>
      <c r="R756" s="4">
        <v>0.83</v>
      </c>
      <c r="S756" s="13">
        <v>7.59036144578313</v>
      </c>
      <c r="T756" s="34">
        <v>32</v>
      </c>
      <c r="U756" s="21">
        <v>36</v>
      </c>
      <c r="V756" s="21">
        <v>44</v>
      </c>
      <c r="W756" s="4">
        <v>11</v>
      </c>
      <c r="X756" s="5" t="s">
        <v>91</v>
      </c>
      <c r="Y756" s="5" t="s">
        <v>82</v>
      </c>
      <c r="Z756" s="4">
        <v>3</v>
      </c>
      <c r="AA756" s="4">
        <v>3</v>
      </c>
      <c r="AB756" s="9">
        <v>0.360683634792114</v>
      </c>
      <c r="AC756" s="9">
        <v>0.00442939195007885</v>
      </c>
      <c r="AD756" s="9"/>
      <c r="AE756" s="9"/>
      <c r="AF756" s="9"/>
      <c r="AG756" s="9"/>
      <c r="AH756" s="9">
        <v>0.351397886837889</v>
      </c>
      <c r="AI756" s="9">
        <v>0.000305816724163869</v>
      </c>
      <c r="AJ756" s="4">
        <v>0.00928574795422823</v>
      </c>
      <c r="AK756" s="4">
        <v>0.00473520867424271</v>
      </c>
      <c r="AL756" s="4"/>
      <c r="AM756" s="4"/>
      <c r="AN756" s="4">
        <v>0.58455089878536</v>
      </c>
      <c r="AO756" s="4">
        <v>0.000376217392046545</v>
      </c>
      <c r="AP756" s="4"/>
      <c r="AQ756" s="4"/>
      <c r="AR756" s="4"/>
      <c r="AS756" s="4"/>
      <c r="AT756" s="4"/>
      <c r="AU756" s="4"/>
      <c r="AV756" s="4"/>
      <c r="AW756" s="4"/>
      <c r="AX756" s="4"/>
      <c r="AY756" s="4"/>
      <c r="AZ756" s="4">
        <v>-0.290923566375952</v>
      </c>
      <c r="BA756" s="4">
        <v>0.000658059658981444</v>
      </c>
    </row>
    <row r="757" s="4" customFormat="1" spans="1:53">
      <c r="A757" s="4">
        <v>756</v>
      </c>
      <c r="B757" s="18">
        <v>115</v>
      </c>
      <c r="C757" s="19" t="s">
        <v>375</v>
      </c>
      <c r="D757" s="5" t="s">
        <v>376</v>
      </c>
      <c r="E757" s="4">
        <v>35.2</v>
      </c>
      <c r="F757" s="4">
        <v>107.8</v>
      </c>
      <c r="G757" s="20">
        <v>9.4</v>
      </c>
      <c r="H757" s="21">
        <v>570</v>
      </c>
      <c r="I757" s="4"/>
      <c r="J757" s="5" t="s">
        <v>90</v>
      </c>
      <c r="K757" s="5" t="s">
        <v>78</v>
      </c>
      <c r="L757" s="4">
        <v>2018</v>
      </c>
      <c r="M757" s="4">
        <v>6</v>
      </c>
      <c r="N757" s="5" t="s">
        <v>96</v>
      </c>
      <c r="O757" s="28" t="s">
        <v>80</v>
      </c>
      <c r="P757" s="29"/>
      <c r="Q757" s="4">
        <v>6.06</v>
      </c>
      <c r="R757" s="4">
        <v>0.8</v>
      </c>
      <c r="S757" s="13">
        <v>7.575</v>
      </c>
      <c r="T757" s="34">
        <v>24.1</v>
      </c>
      <c r="U757" s="21"/>
      <c r="V757" s="21"/>
      <c r="W757" s="4">
        <v>17</v>
      </c>
      <c r="X757" s="5" t="s">
        <v>91</v>
      </c>
      <c r="Y757" s="5" t="s">
        <v>82</v>
      </c>
      <c r="Z757" s="4">
        <v>3</v>
      </c>
      <c r="AA757" s="4">
        <v>3</v>
      </c>
      <c r="AB757" s="9">
        <v>0.246970887394767</v>
      </c>
      <c r="AC757" s="9">
        <v>0.00730151917182148</v>
      </c>
      <c r="AD757" s="9"/>
      <c r="AE757" s="9"/>
      <c r="AF757" s="9"/>
      <c r="AG757" s="9"/>
      <c r="AH757" s="9">
        <v>0.195308752320766</v>
      </c>
      <c r="AI757" s="9">
        <v>0.00129306039473865</v>
      </c>
      <c r="AJ757" s="4">
        <v>0.051662135074</v>
      </c>
      <c r="AK757" s="4">
        <v>0.00859457956656012</v>
      </c>
      <c r="AL757" s="4"/>
      <c r="AM757" s="4"/>
      <c r="AN757" s="4">
        <v>-0.0107979453467882</v>
      </c>
      <c r="AO757" s="4">
        <v>0.000376217392046545</v>
      </c>
      <c r="AP757" s="4"/>
      <c r="AQ757" s="4"/>
      <c r="AR757" s="4"/>
      <c r="AS757" s="4"/>
      <c r="AT757" s="4"/>
      <c r="AU757" s="4"/>
      <c r="AV757" s="4"/>
      <c r="AW757" s="4"/>
      <c r="AX757" s="4"/>
      <c r="AY757" s="4"/>
      <c r="AZ757" s="4">
        <v>-0.16029113687491</v>
      </c>
      <c r="BA757" s="4">
        <v>0.000766994907451684</v>
      </c>
    </row>
    <row r="758" s="3" customFormat="1" spans="1:63">
      <c r="A758" s="4">
        <v>757</v>
      </c>
      <c r="B758" s="6">
        <v>116</v>
      </c>
      <c r="C758" s="24" t="s">
        <v>377</v>
      </c>
      <c r="D758" s="13" t="s">
        <v>378</v>
      </c>
      <c r="E758" s="33">
        <v>33.2002778</v>
      </c>
      <c r="F758" s="33">
        <v>116.6169</v>
      </c>
      <c r="G758" s="26">
        <v>16.5</v>
      </c>
      <c r="H758" s="27">
        <v>900</v>
      </c>
      <c r="I758" s="3"/>
      <c r="J758" s="13" t="s">
        <v>90</v>
      </c>
      <c r="K758" s="5" t="s">
        <v>78</v>
      </c>
      <c r="L758" s="3">
        <v>1982</v>
      </c>
      <c r="M758" s="3">
        <v>10</v>
      </c>
      <c r="N758" s="13" t="s">
        <v>108</v>
      </c>
      <c r="O758" s="28" t="s">
        <v>80</v>
      </c>
      <c r="P758" s="7">
        <v>7.4</v>
      </c>
      <c r="Q758" s="3">
        <v>5.8</v>
      </c>
      <c r="R758" s="3">
        <v>0.96</v>
      </c>
      <c r="S758" s="13">
        <v>6.04166666666667</v>
      </c>
      <c r="T758" s="8">
        <v>41.4</v>
      </c>
      <c r="U758" s="8">
        <v>30.6</v>
      </c>
      <c r="V758" s="8">
        <f>100-R758-T758</f>
        <v>57.64</v>
      </c>
      <c r="W758" s="3">
        <v>24</v>
      </c>
      <c r="X758" s="5" t="s">
        <v>91</v>
      </c>
      <c r="Y758" s="13" t="s">
        <v>82</v>
      </c>
      <c r="Z758" s="3">
        <v>4</v>
      </c>
      <c r="AA758" s="3">
        <v>4</v>
      </c>
      <c r="AB758" s="9">
        <v>0.246860077931526</v>
      </c>
      <c r="AC758" s="9">
        <v>0.000192271262992729</v>
      </c>
      <c r="AD758" s="25">
        <v>0.747214401830221</v>
      </c>
      <c r="AE758" s="25">
        <v>0.00400086710213743</v>
      </c>
      <c r="AF758" s="9">
        <v>0.500354323898695</v>
      </c>
      <c r="AG758" s="9">
        <v>0.00419313836513016</v>
      </c>
      <c r="AH758" s="25">
        <v>0.14575688769879</v>
      </c>
      <c r="AI758" s="25">
        <v>0.00520616409829238</v>
      </c>
      <c r="AJ758" s="4">
        <v>0.10110319023274</v>
      </c>
      <c r="AK758" s="4">
        <v>0.00539843536128508</v>
      </c>
      <c r="AL758" s="3">
        <v>0.601457514131432</v>
      </c>
      <c r="AM758" s="3">
        <v>0.00920703120042982</v>
      </c>
      <c r="AN758" s="4">
        <v>-0.290083033989319</v>
      </c>
      <c r="AO758" s="4">
        <v>0.000282163044034908</v>
      </c>
      <c r="AP758" s="3"/>
      <c r="AQ758" s="3"/>
      <c r="AR758" s="4"/>
      <c r="AS758" s="4"/>
      <c r="AT758" s="3"/>
      <c r="AU758" s="3"/>
      <c r="AV758" s="4">
        <v>0.268263986594679</v>
      </c>
      <c r="AW758" s="4">
        <v>0.00419962999008548</v>
      </c>
      <c r="AX758" s="3"/>
      <c r="AY758" s="3"/>
      <c r="AZ758" s="3">
        <v>-0.139761942375159</v>
      </c>
      <c r="BA758" s="3">
        <v>0.00313181832447442</v>
      </c>
      <c r="BJ758" s="3">
        <v>-0.0231670592815344</v>
      </c>
      <c r="BK758" s="3">
        <v>0.00617283950617285</v>
      </c>
    </row>
    <row r="759" s="4" customFormat="1" spans="1:67">
      <c r="A759" s="4">
        <v>758</v>
      </c>
      <c r="B759" s="18">
        <v>117</v>
      </c>
      <c r="C759" s="5" t="s">
        <v>179</v>
      </c>
      <c r="D759" s="5" t="s">
        <v>379</v>
      </c>
      <c r="E759" s="9">
        <v>-4.425</v>
      </c>
      <c r="F759" s="9">
        <v>-41.45888</v>
      </c>
      <c r="G759" s="20">
        <v>24</v>
      </c>
      <c r="H759" s="21">
        <v>900</v>
      </c>
      <c r="I759" s="4"/>
      <c r="J759" s="13" t="s">
        <v>181</v>
      </c>
      <c r="K759" s="5" t="s">
        <v>182</v>
      </c>
      <c r="L759" s="4">
        <v>2009</v>
      </c>
      <c r="M759" s="4">
        <v>10</v>
      </c>
      <c r="N759" s="5" t="s">
        <v>113</v>
      </c>
      <c r="O759" s="36" t="s">
        <v>80</v>
      </c>
      <c r="P759" s="29">
        <v>5.92</v>
      </c>
      <c r="Q759" s="4">
        <v>20.3</v>
      </c>
      <c r="R759" s="5"/>
      <c r="S759" s="13"/>
      <c r="T759" s="21">
        <v>6</v>
      </c>
      <c r="U759" s="21">
        <v>7</v>
      </c>
      <c r="V759" s="21">
        <v>87</v>
      </c>
      <c r="W759" s="4"/>
      <c r="X759" s="4"/>
      <c r="Y759" s="5" t="s">
        <v>82</v>
      </c>
      <c r="Z759" s="4">
        <v>3</v>
      </c>
      <c r="AA759" s="4">
        <v>3</v>
      </c>
      <c r="AB759" s="9">
        <v>0.0242272953353243</v>
      </c>
      <c r="AC759" s="9">
        <v>0.000256361683990306</v>
      </c>
      <c r="AD759" s="9">
        <v>0</v>
      </c>
      <c r="AE759" s="9">
        <v>0.00533448946951658</v>
      </c>
      <c r="AF759" s="9">
        <v>-0.0242272953353218</v>
      </c>
      <c r="AG759" s="9">
        <v>0.00559085115350689</v>
      </c>
      <c r="AH759" s="9">
        <v>-0.534082485930258</v>
      </c>
      <c r="AI759" s="9">
        <v>0.00694155213105647</v>
      </c>
      <c r="AJ759" s="4">
        <v>0.558309781265583</v>
      </c>
      <c r="AK759" s="4">
        <v>0.00719791381504677</v>
      </c>
      <c r="AL759" s="4">
        <v>0.534082485930259</v>
      </c>
      <c r="AM759" s="4">
        <v>0.0122760416005731</v>
      </c>
      <c r="AN759" s="4">
        <v>-0.00169061747790744</v>
      </c>
      <c r="AO759" s="4">
        <v>0.000376217392046544</v>
      </c>
      <c r="AP759" s="4"/>
      <c r="AQ759" s="4"/>
      <c r="AR759" s="4"/>
      <c r="AS759" s="4"/>
      <c r="AT759" s="4"/>
      <c r="AU759" s="4"/>
      <c r="AV759" s="4"/>
      <c r="AW759" s="4"/>
      <c r="AX759" s="4"/>
      <c r="AY759" s="4"/>
      <c r="BN759" s="4">
        <v>-0.200670695462151</v>
      </c>
      <c r="BO759" s="4">
        <v>0.00694155213105652</v>
      </c>
    </row>
    <row r="760" s="4" customFormat="1" spans="1:67">
      <c r="A760" s="4">
        <v>759</v>
      </c>
      <c r="B760" s="18">
        <v>117</v>
      </c>
      <c r="C760" s="5" t="s">
        <v>179</v>
      </c>
      <c r="D760" s="5" t="s">
        <v>379</v>
      </c>
      <c r="E760" s="9">
        <v>-4.425</v>
      </c>
      <c r="F760" s="9">
        <v>-41.45888</v>
      </c>
      <c r="G760" s="20">
        <v>24</v>
      </c>
      <c r="H760" s="21">
        <v>900</v>
      </c>
      <c r="I760" s="4"/>
      <c r="J760" s="13" t="s">
        <v>181</v>
      </c>
      <c r="K760" s="5" t="s">
        <v>182</v>
      </c>
      <c r="L760" s="4">
        <v>2009</v>
      </c>
      <c r="M760" s="4">
        <v>10</v>
      </c>
      <c r="N760" s="5" t="s">
        <v>113</v>
      </c>
      <c r="O760" s="36" t="s">
        <v>80</v>
      </c>
      <c r="P760" s="29">
        <v>5.92</v>
      </c>
      <c r="Q760" s="4">
        <v>20.3</v>
      </c>
      <c r="R760" s="5"/>
      <c r="S760" s="13"/>
      <c r="T760" s="21">
        <v>6</v>
      </c>
      <c r="U760" s="21">
        <v>7</v>
      </c>
      <c r="V760" s="21">
        <v>87</v>
      </c>
      <c r="W760" s="4"/>
      <c r="X760" s="4"/>
      <c r="Y760" s="5" t="s">
        <v>82</v>
      </c>
      <c r="Z760" s="4">
        <v>3</v>
      </c>
      <c r="AA760" s="4">
        <v>3</v>
      </c>
      <c r="AB760" s="9">
        <v>0.342681026453859</v>
      </c>
      <c r="AC760" s="9">
        <v>0.000256361683990305</v>
      </c>
      <c r="AD760" s="9">
        <v>0.315948510601598</v>
      </c>
      <c r="AE760" s="9">
        <v>0.00533448946951659</v>
      </c>
      <c r="AF760" s="9">
        <v>-0.0267325158522591</v>
      </c>
      <c r="AG760" s="9">
        <v>0.0055908511535069</v>
      </c>
      <c r="AH760" s="9">
        <v>-0.154150679827258</v>
      </c>
      <c r="AI760" s="9">
        <v>0.00694155213105649</v>
      </c>
      <c r="AJ760" s="4">
        <v>0.496831706281116</v>
      </c>
      <c r="AK760" s="4">
        <v>0.0071979138150468</v>
      </c>
      <c r="AL760" s="4">
        <v>0.470099190428858</v>
      </c>
      <c r="AM760" s="4">
        <v>0.0122760416005731</v>
      </c>
      <c r="AN760" s="4">
        <v>0.0763978194935291</v>
      </c>
      <c r="AO760" s="4">
        <v>0.000376217392046543</v>
      </c>
      <c r="AP760" s="4"/>
      <c r="AQ760" s="4"/>
      <c r="AR760" s="4"/>
      <c r="AS760" s="4"/>
      <c r="AT760" s="4"/>
      <c r="AU760" s="4"/>
      <c r="AV760" s="4"/>
      <c r="AW760" s="4"/>
      <c r="AX760" s="4"/>
      <c r="AY760" s="4"/>
      <c r="BN760" s="4">
        <v>-0.78845736036427</v>
      </c>
      <c r="BO760" s="4">
        <v>0.00694155213105652</v>
      </c>
    </row>
    <row r="761" s="4" customFormat="1" spans="1:67">
      <c r="A761" s="4">
        <v>760</v>
      </c>
      <c r="B761" s="18">
        <v>117</v>
      </c>
      <c r="C761" s="5" t="s">
        <v>179</v>
      </c>
      <c r="D761" s="5" t="s">
        <v>379</v>
      </c>
      <c r="E761" s="9">
        <v>-4.425</v>
      </c>
      <c r="F761" s="9">
        <v>-41.45888</v>
      </c>
      <c r="G761" s="20">
        <v>24</v>
      </c>
      <c r="H761" s="21">
        <v>900</v>
      </c>
      <c r="I761" s="4"/>
      <c r="J761" s="13" t="s">
        <v>181</v>
      </c>
      <c r="K761" s="5" t="s">
        <v>182</v>
      </c>
      <c r="L761" s="4">
        <v>2009</v>
      </c>
      <c r="M761" s="4">
        <v>10</v>
      </c>
      <c r="N761" s="5" t="s">
        <v>113</v>
      </c>
      <c r="O761" s="36" t="s">
        <v>80</v>
      </c>
      <c r="P761" s="29">
        <v>5.92</v>
      </c>
      <c r="Q761" s="4">
        <v>20.3</v>
      </c>
      <c r="R761" s="5"/>
      <c r="S761" s="13"/>
      <c r="T761" s="21">
        <v>6</v>
      </c>
      <c r="U761" s="21">
        <v>7</v>
      </c>
      <c r="V761" s="21">
        <v>87</v>
      </c>
      <c r="W761" s="4"/>
      <c r="X761" s="4"/>
      <c r="Y761" s="5" t="s">
        <v>82</v>
      </c>
      <c r="Z761" s="4">
        <v>3</v>
      </c>
      <c r="AA761" s="4">
        <v>3</v>
      </c>
      <c r="AB761" s="9">
        <v>-0.46945881855397</v>
      </c>
      <c r="AC761" s="9">
        <v>0.000256361683990306</v>
      </c>
      <c r="AD761" s="9">
        <v>-0.613810438323424</v>
      </c>
      <c r="AE761" s="9">
        <v>0.0053344894695166</v>
      </c>
      <c r="AF761" s="9">
        <v>-0.144351619769451</v>
      </c>
      <c r="AG761" s="9">
        <v>0.00559085115350691</v>
      </c>
      <c r="AH761" s="9">
        <v>-0.759329087441246</v>
      </c>
      <c r="AI761" s="9">
        <v>0.0069415521310565</v>
      </c>
      <c r="AJ761" s="4">
        <v>0.289870268887276</v>
      </c>
      <c r="AK761" s="4">
        <v>0.00719791381504679</v>
      </c>
      <c r="AL761" s="4">
        <v>0.145518649117822</v>
      </c>
      <c r="AM761" s="4">
        <v>0.0122760416005732</v>
      </c>
      <c r="AN761" s="4">
        <v>-0.0361174252279954</v>
      </c>
      <c r="AO761" s="4">
        <v>0.000376217392046544</v>
      </c>
      <c r="AP761" s="4"/>
      <c r="AQ761" s="4"/>
      <c r="AR761" s="4"/>
      <c r="AS761" s="4"/>
      <c r="AT761" s="4"/>
      <c r="AU761" s="4"/>
      <c r="AV761" s="4"/>
      <c r="AW761" s="4"/>
      <c r="AX761" s="4"/>
      <c r="AY761" s="4"/>
      <c r="BN761" s="4">
        <v>-1.01160091167848</v>
      </c>
      <c r="BO761" s="4">
        <v>0.00694155213105652</v>
      </c>
    </row>
    <row r="762" s="4" customFormat="1" spans="1:67">
      <c r="A762" s="4">
        <v>761</v>
      </c>
      <c r="B762" s="18">
        <v>117</v>
      </c>
      <c r="C762" s="5" t="s">
        <v>179</v>
      </c>
      <c r="D762" s="5" t="s">
        <v>379</v>
      </c>
      <c r="E762" s="9">
        <v>-4.425</v>
      </c>
      <c r="F762" s="9">
        <v>-41.45888</v>
      </c>
      <c r="G762" s="20">
        <v>24</v>
      </c>
      <c r="H762" s="21">
        <v>900</v>
      </c>
      <c r="I762" s="4"/>
      <c r="J762" s="13" t="s">
        <v>181</v>
      </c>
      <c r="K762" s="5" t="s">
        <v>182</v>
      </c>
      <c r="L762" s="4">
        <v>2009</v>
      </c>
      <c r="M762" s="4">
        <v>10</v>
      </c>
      <c r="N762" s="5" t="s">
        <v>113</v>
      </c>
      <c r="O762" s="36" t="s">
        <v>80</v>
      </c>
      <c r="P762" s="29">
        <v>5.92</v>
      </c>
      <c r="Q762" s="4">
        <v>20.3</v>
      </c>
      <c r="R762" s="5"/>
      <c r="S762" s="13"/>
      <c r="T762" s="21">
        <v>6</v>
      </c>
      <c r="U762" s="21">
        <v>7</v>
      </c>
      <c r="V762" s="21">
        <v>87</v>
      </c>
      <c r="W762" s="4"/>
      <c r="X762" s="4"/>
      <c r="Y762" s="5" t="s">
        <v>82</v>
      </c>
      <c r="Z762" s="4">
        <v>3</v>
      </c>
      <c r="AA762" s="4">
        <v>3</v>
      </c>
      <c r="AB762" s="9">
        <v>-0.245879632294949</v>
      </c>
      <c r="AC762" s="9">
        <v>0.000256361683990307</v>
      </c>
      <c r="AD762" s="9">
        <v>-0.341069945869842</v>
      </c>
      <c r="AE762" s="9">
        <v>0.00533448946951658</v>
      </c>
      <c r="AF762" s="9">
        <v>-0.0951903135748917</v>
      </c>
      <c r="AG762" s="9">
        <v>0.00559085115350689</v>
      </c>
      <c r="AH762" s="9">
        <v>0.0712890837473017</v>
      </c>
      <c r="AI762" s="9">
        <v>0.00694155213105651</v>
      </c>
      <c r="AJ762" s="4">
        <v>-0.317168716042251</v>
      </c>
      <c r="AK762" s="4">
        <v>0.0071979138150468</v>
      </c>
      <c r="AL762" s="4">
        <v>-0.41235902961714</v>
      </c>
      <c r="AM762" s="4">
        <v>0.0122760416005731</v>
      </c>
      <c r="AN762" s="4">
        <v>-0.0118947876521492</v>
      </c>
      <c r="AO762" s="4">
        <v>0.000376217392046543</v>
      </c>
      <c r="AP762" s="4"/>
      <c r="AQ762" s="4"/>
      <c r="AR762" s="4"/>
      <c r="AS762" s="4"/>
      <c r="AT762" s="4"/>
      <c r="AU762" s="4"/>
      <c r="AV762" s="4"/>
      <c r="AW762" s="4"/>
      <c r="AX762" s="4"/>
      <c r="AY762" s="4"/>
      <c r="BN762" s="4">
        <v>-0.0953101798043249</v>
      </c>
      <c r="BO762" s="4">
        <v>0.00694155213105655</v>
      </c>
    </row>
    <row r="763" s="4" customFormat="1" spans="1:67">
      <c r="A763" s="4">
        <v>762</v>
      </c>
      <c r="B763" s="18">
        <v>117</v>
      </c>
      <c r="C763" s="5" t="s">
        <v>179</v>
      </c>
      <c r="D763" s="5" t="s">
        <v>379</v>
      </c>
      <c r="E763" s="9">
        <v>-4.425</v>
      </c>
      <c r="F763" s="9">
        <v>-41.45888</v>
      </c>
      <c r="G763" s="20">
        <v>24</v>
      </c>
      <c r="H763" s="21">
        <v>900</v>
      </c>
      <c r="I763" s="4"/>
      <c r="J763" s="13" t="s">
        <v>181</v>
      </c>
      <c r="K763" s="5" t="s">
        <v>182</v>
      </c>
      <c r="L763" s="4">
        <v>2010</v>
      </c>
      <c r="M763" s="4">
        <v>4</v>
      </c>
      <c r="N763" s="5" t="s">
        <v>108</v>
      </c>
      <c r="O763" s="36" t="s">
        <v>80</v>
      </c>
      <c r="P763" s="29">
        <v>5.89</v>
      </c>
      <c r="Q763" s="4">
        <v>22.5</v>
      </c>
      <c r="R763" s="5"/>
      <c r="S763" s="13"/>
      <c r="T763" s="21">
        <v>6</v>
      </c>
      <c r="U763" s="21">
        <v>7</v>
      </c>
      <c r="V763" s="21">
        <v>87</v>
      </c>
      <c r="W763" s="4"/>
      <c r="X763" s="4"/>
      <c r="Y763" s="5" t="s">
        <v>82</v>
      </c>
      <c r="Z763" s="4">
        <v>3</v>
      </c>
      <c r="AA763" s="4">
        <v>3</v>
      </c>
      <c r="AB763" s="9">
        <v>-0.511611169760825</v>
      </c>
      <c r="AC763" s="9">
        <v>0.000256361683990303</v>
      </c>
      <c r="AD763" s="9">
        <v>-0.371942416069521</v>
      </c>
      <c r="AE763" s="9">
        <v>0.00533448946951659</v>
      </c>
      <c r="AF763" s="9">
        <v>0.139668753691302</v>
      </c>
      <c r="AG763" s="9">
        <v>0.00559085115350694</v>
      </c>
      <c r="AH763" s="9">
        <v>-0.762140052046897</v>
      </c>
      <c r="AI763" s="9">
        <v>0.0069415521310565</v>
      </c>
      <c r="AJ763" s="4">
        <v>0.250528882286074</v>
      </c>
      <c r="AK763" s="4">
        <v>0.00719791381504681</v>
      </c>
      <c r="AL763" s="4">
        <v>0.390197635977376</v>
      </c>
      <c r="AM763" s="4">
        <v>0.012276041600573</v>
      </c>
      <c r="AN763" s="4">
        <v>-0.0648781373744914</v>
      </c>
      <c r="AO763" s="4">
        <v>0.000376217392046546</v>
      </c>
      <c r="AP763" s="4"/>
      <c r="AQ763" s="4"/>
      <c r="AR763" s="4"/>
      <c r="AS763" s="4"/>
      <c r="AT763" s="4"/>
      <c r="AU763" s="4"/>
      <c r="AV763" s="4"/>
      <c r="AW763" s="4"/>
      <c r="AX763" s="4"/>
      <c r="AY763" s="4"/>
      <c r="BN763" s="4">
        <v>0.0870113769896297</v>
      </c>
      <c r="BO763" s="4">
        <v>0.00694155213105654</v>
      </c>
    </row>
    <row r="764" s="4" customFormat="1" spans="1:67">
      <c r="A764" s="4">
        <v>763</v>
      </c>
      <c r="B764" s="18">
        <v>117</v>
      </c>
      <c r="C764" s="5" t="s">
        <v>179</v>
      </c>
      <c r="D764" s="5" t="s">
        <v>379</v>
      </c>
      <c r="E764" s="9">
        <v>-4.425</v>
      </c>
      <c r="F764" s="9">
        <v>-41.45888</v>
      </c>
      <c r="G764" s="20">
        <v>24</v>
      </c>
      <c r="H764" s="21">
        <v>900</v>
      </c>
      <c r="I764" s="4"/>
      <c r="J764" s="13" t="s">
        <v>181</v>
      </c>
      <c r="K764" s="5" t="s">
        <v>182</v>
      </c>
      <c r="L764" s="4">
        <v>2010</v>
      </c>
      <c r="M764" s="4">
        <v>4</v>
      </c>
      <c r="N764" s="5" t="s">
        <v>108</v>
      </c>
      <c r="O764" s="36" t="s">
        <v>80</v>
      </c>
      <c r="P764" s="29">
        <v>5.89</v>
      </c>
      <c r="Q764" s="4">
        <v>22.5</v>
      </c>
      <c r="R764" s="5"/>
      <c r="S764" s="13"/>
      <c r="T764" s="21">
        <v>6</v>
      </c>
      <c r="U764" s="21">
        <v>7</v>
      </c>
      <c r="V764" s="21">
        <v>87</v>
      </c>
      <c r="W764" s="4"/>
      <c r="X764" s="4"/>
      <c r="Y764" s="5" t="s">
        <v>82</v>
      </c>
      <c r="Z764" s="4">
        <v>3</v>
      </c>
      <c r="AA764" s="4">
        <v>3</v>
      </c>
      <c r="AB764" s="9">
        <v>-0.306307536574946</v>
      </c>
      <c r="AC764" s="9">
        <v>0.000256361683990305</v>
      </c>
      <c r="AD764" s="9">
        <v>-0.248072934356735</v>
      </c>
      <c r="AE764" s="9">
        <v>0.00533448946951659</v>
      </c>
      <c r="AF764" s="9">
        <v>0.0582346022182116</v>
      </c>
      <c r="AG764" s="9">
        <v>0.00559085115350693</v>
      </c>
      <c r="AH764" s="9">
        <v>-0.579818495252942</v>
      </c>
      <c r="AI764" s="9">
        <v>0.00694155213105653</v>
      </c>
      <c r="AJ764" s="4">
        <v>0.273510958677997</v>
      </c>
      <c r="AK764" s="4">
        <v>0.00719791381504685</v>
      </c>
      <c r="AL764" s="4">
        <v>0.331745560896206</v>
      </c>
      <c r="AM764" s="4">
        <v>0.0122760416005732</v>
      </c>
      <c r="AN764" s="4">
        <v>0.0954645127006881</v>
      </c>
      <c r="AO764" s="4">
        <v>0.000376217392046545</v>
      </c>
      <c r="AP764" s="4"/>
      <c r="AQ764" s="4"/>
      <c r="AR764" s="4"/>
      <c r="AS764" s="4"/>
      <c r="AT764" s="4"/>
      <c r="AU764" s="4"/>
      <c r="AV764" s="4"/>
      <c r="AW764" s="4"/>
      <c r="AX764" s="4"/>
      <c r="AY764" s="4"/>
      <c r="BN764" s="4">
        <v>0.0870113769896297</v>
      </c>
      <c r="BO764" s="4">
        <v>0.00694155213105654</v>
      </c>
    </row>
    <row r="765" s="4" customFormat="1" spans="1:67">
      <c r="A765" s="4">
        <v>764</v>
      </c>
      <c r="B765" s="18">
        <v>117</v>
      </c>
      <c r="C765" s="5" t="s">
        <v>179</v>
      </c>
      <c r="D765" s="5" t="s">
        <v>379</v>
      </c>
      <c r="E765" s="9">
        <v>-4.425</v>
      </c>
      <c r="F765" s="9">
        <v>-41.45888</v>
      </c>
      <c r="G765" s="20">
        <v>24</v>
      </c>
      <c r="H765" s="21">
        <v>900</v>
      </c>
      <c r="I765" s="4"/>
      <c r="J765" s="13" t="s">
        <v>181</v>
      </c>
      <c r="K765" s="5" t="s">
        <v>182</v>
      </c>
      <c r="L765" s="4">
        <v>2010</v>
      </c>
      <c r="M765" s="4">
        <v>4</v>
      </c>
      <c r="N765" s="5" t="s">
        <v>108</v>
      </c>
      <c r="O765" s="36" t="s">
        <v>80</v>
      </c>
      <c r="P765" s="29">
        <v>5.89</v>
      </c>
      <c r="Q765" s="4">
        <v>22.5</v>
      </c>
      <c r="R765" s="5"/>
      <c r="S765" s="13"/>
      <c r="T765" s="21">
        <v>6</v>
      </c>
      <c r="U765" s="21">
        <v>7</v>
      </c>
      <c r="V765" s="21">
        <v>87</v>
      </c>
      <c r="W765" s="4"/>
      <c r="X765" s="4"/>
      <c r="Y765" s="5" t="s">
        <v>82</v>
      </c>
      <c r="Z765" s="4">
        <v>3</v>
      </c>
      <c r="AA765" s="4">
        <v>3</v>
      </c>
      <c r="AB765" s="9">
        <v>-0.17177664361734</v>
      </c>
      <c r="AC765" s="9">
        <v>0.000256361683990304</v>
      </c>
      <c r="AD765" s="9">
        <v>-0.0870113769896298</v>
      </c>
      <c r="AE765" s="9">
        <v>0.00533448946951658</v>
      </c>
      <c r="AF765" s="9">
        <v>0.0847652666277094</v>
      </c>
      <c r="AG765" s="9">
        <v>0.0055908511535069</v>
      </c>
      <c r="AH765" s="9">
        <v>-0.474457979595116</v>
      </c>
      <c r="AI765" s="9">
        <v>0.00694155213105651</v>
      </c>
      <c r="AJ765" s="4">
        <v>0.302681335977778</v>
      </c>
      <c r="AK765" s="4">
        <v>0.00719791381504683</v>
      </c>
      <c r="AL765" s="4">
        <v>0.387446602605485</v>
      </c>
      <c r="AM765" s="4">
        <v>0.0122760416005731</v>
      </c>
      <c r="AN765" s="4">
        <v>0.0134909297410153</v>
      </c>
      <c r="AO765" s="4">
        <v>0.000376217392046545</v>
      </c>
      <c r="AP765" s="4"/>
      <c r="AQ765" s="4"/>
      <c r="AR765" s="4"/>
      <c r="AS765" s="4"/>
      <c r="AT765" s="4"/>
      <c r="AU765" s="4"/>
      <c r="AV765" s="4"/>
      <c r="AW765" s="4"/>
      <c r="AX765" s="4"/>
      <c r="AY765" s="4"/>
      <c r="BN765" s="4">
        <v>-0.451985123743057</v>
      </c>
      <c r="BO765" s="4">
        <v>0.00694155213105652</v>
      </c>
    </row>
    <row r="766" s="4" customFormat="1" spans="1:67">
      <c r="A766" s="4">
        <v>765</v>
      </c>
      <c r="B766" s="18">
        <v>117</v>
      </c>
      <c r="C766" s="5" t="s">
        <v>179</v>
      </c>
      <c r="D766" s="5" t="s">
        <v>379</v>
      </c>
      <c r="E766" s="9">
        <v>-4.425</v>
      </c>
      <c r="F766" s="9">
        <v>-41.45888</v>
      </c>
      <c r="G766" s="20">
        <v>24</v>
      </c>
      <c r="H766" s="21">
        <v>900</v>
      </c>
      <c r="I766" s="4"/>
      <c r="J766" s="13" t="s">
        <v>181</v>
      </c>
      <c r="K766" s="5" t="s">
        <v>182</v>
      </c>
      <c r="L766" s="4">
        <v>2010</v>
      </c>
      <c r="M766" s="4">
        <v>4</v>
      </c>
      <c r="N766" s="5" t="s">
        <v>108</v>
      </c>
      <c r="O766" s="36" t="s">
        <v>80</v>
      </c>
      <c r="P766" s="29">
        <v>5.89</v>
      </c>
      <c r="Q766" s="4">
        <v>22.5</v>
      </c>
      <c r="R766" s="5"/>
      <c r="S766" s="13"/>
      <c r="T766" s="21">
        <v>6</v>
      </c>
      <c r="U766" s="21">
        <v>7</v>
      </c>
      <c r="V766" s="21">
        <v>87</v>
      </c>
      <c r="W766" s="4"/>
      <c r="X766" s="4"/>
      <c r="Y766" s="5" t="s">
        <v>82</v>
      </c>
      <c r="Z766" s="4">
        <v>3</v>
      </c>
      <c r="AA766" s="4">
        <v>3</v>
      </c>
      <c r="AB766" s="9">
        <v>-0.116017810131814</v>
      </c>
      <c r="AC766" s="9">
        <v>0.000256361683990305</v>
      </c>
      <c r="AD766" s="9">
        <v>-0.103678429474842</v>
      </c>
      <c r="AE766" s="9">
        <v>0.00533448946951661</v>
      </c>
      <c r="AF766" s="9">
        <v>0.0123393806569712</v>
      </c>
      <c r="AG766" s="9">
        <v>0.00559085115350696</v>
      </c>
      <c r="AH766" s="9">
        <v>-0.262808807706641</v>
      </c>
      <c r="AI766" s="9">
        <v>0.00694155213105651</v>
      </c>
      <c r="AJ766" s="4">
        <v>0.146790997574827</v>
      </c>
      <c r="AK766" s="4">
        <v>0.00719791381504683</v>
      </c>
      <c r="AL766" s="4">
        <v>0.1591303782318</v>
      </c>
      <c r="AM766" s="4">
        <v>0.0122760416005731</v>
      </c>
      <c r="AN766" s="4">
        <v>0.0185034715645597</v>
      </c>
      <c r="AO766" s="4">
        <v>0.000376217392046546</v>
      </c>
      <c r="AP766" s="4"/>
      <c r="AQ766" s="4"/>
      <c r="AR766" s="4"/>
      <c r="AS766" s="4"/>
      <c r="AT766" s="4"/>
      <c r="AU766" s="4"/>
      <c r="AV766" s="4"/>
      <c r="AW766" s="4"/>
      <c r="AX766" s="4"/>
      <c r="AY766" s="4"/>
      <c r="BN766" s="4">
        <v>-0.451985123743057</v>
      </c>
      <c r="BO766" s="4">
        <v>0.00694155213105652</v>
      </c>
    </row>
    <row r="767" s="3" customFormat="1" spans="1:49">
      <c r="A767" s="4">
        <v>766</v>
      </c>
      <c r="B767" s="6">
        <v>118</v>
      </c>
      <c r="C767" s="24" t="s">
        <v>380</v>
      </c>
      <c r="D767" s="13" t="s">
        <v>381</v>
      </c>
      <c r="E767" s="25">
        <v>38.511330555</v>
      </c>
      <c r="F767" s="25">
        <v>-1.9430611</v>
      </c>
      <c r="G767" s="26">
        <v>16.6</v>
      </c>
      <c r="H767" s="27">
        <v>321</v>
      </c>
      <c r="I767" s="3"/>
      <c r="J767" s="13" t="s">
        <v>237</v>
      </c>
      <c r="K767" s="5" t="s">
        <v>78</v>
      </c>
      <c r="L767" s="3">
        <v>2017</v>
      </c>
      <c r="M767" s="3">
        <v>5</v>
      </c>
      <c r="N767" s="13" t="s">
        <v>113</v>
      </c>
      <c r="O767" s="28" t="s">
        <v>80</v>
      </c>
      <c r="P767" s="7">
        <v>8.73</v>
      </c>
      <c r="Q767" s="3">
        <v>15.37</v>
      </c>
      <c r="R767" s="3">
        <v>0.7</v>
      </c>
      <c r="S767" s="13">
        <v>21.9571428571429</v>
      </c>
      <c r="T767" s="8">
        <v>32.68</v>
      </c>
      <c r="U767" s="8">
        <v>19.87</v>
      </c>
      <c r="V767" s="8">
        <v>47.44</v>
      </c>
      <c r="W767" s="3"/>
      <c r="X767" s="3"/>
      <c r="Y767" s="13" t="s">
        <v>82</v>
      </c>
      <c r="Z767" s="3">
        <v>3</v>
      </c>
      <c r="AA767" s="3">
        <v>3</v>
      </c>
      <c r="AB767" s="9">
        <v>-0.198450938723838</v>
      </c>
      <c r="AC767" s="9">
        <v>0.00633160407240294</v>
      </c>
      <c r="AD767" s="25"/>
      <c r="AE767" s="25"/>
      <c r="AF767" s="9"/>
      <c r="AG767" s="9"/>
      <c r="AH767" s="25">
        <v>0.579818495252942</v>
      </c>
      <c r="AI767" s="25">
        <v>0.00426169674481363</v>
      </c>
      <c r="AJ767" s="4">
        <v>-0.778269433976777</v>
      </c>
      <c r="AK767" s="4">
        <v>0.0105933008172166</v>
      </c>
      <c r="AL767" s="3"/>
      <c r="AM767" s="3"/>
      <c r="AN767" s="4">
        <v>-0.0302348611875478</v>
      </c>
      <c r="AO767" s="4">
        <v>0.0576631788332187</v>
      </c>
      <c r="AP767" s="3">
        <v>1.09861228866811</v>
      </c>
      <c r="AQ767" s="3">
        <v>0.0839002267573694</v>
      </c>
      <c r="AR767" s="4"/>
      <c r="AS767" s="4"/>
      <c r="AT767" s="3"/>
      <c r="AU767" s="3"/>
      <c r="AV767" s="4">
        <v>1.22267678911971</v>
      </c>
      <c r="AW767" s="4">
        <v>0.00262000819332175</v>
      </c>
    </row>
    <row r="768" s="3" customFormat="1" spans="1:49">
      <c r="A768" s="4">
        <v>767</v>
      </c>
      <c r="B768" s="6">
        <v>118</v>
      </c>
      <c r="C768" s="24" t="s">
        <v>380</v>
      </c>
      <c r="D768" s="13" t="s">
        <v>381</v>
      </c>
      <c r="E768" s="25">
        <v>38.511330555</v>
      </c>
      <c r="F768" s="25">
        <v>-1.9430611</v>
      </c>
      <c r="G768" s="26">
        <v>16.6</v>
      </c>
      <c r="H768" s="27">
        <v>321</v>
      </c>
      <c r="I768" s="3"/>
      <c r="J768" s="13" t="s">
        <v>237</v>
      </c>
      <c r="K768" s="5" t="s">
        <v>78</v>
      </c>
      <c r="L768" s="3">
        <v>2017</v>
      </c>
      <c r="M768" s="3">
        <v>5</v>
      </c>
      <c r="N768" s="13" t="s">
        <v>113</v>
      </c>
      <c r="O768" s="28" t="s">
        <v>80</v>
      </c>
      <c r="P768" s="7">
        <v>8.73</v>
      </c>
      <c r="Q768" s="3">
        <v>15.37</v>
      </c>
      <c r="R768" s="3">
        <v>0.7</v>
      </c>
      <c r="S768" s="13">
        <v>21.9571428571429</v>
      </c>
      <c r="T768" s="8">
        <v>32.68</v>
      </c>
      <c r="U768" s="8">
        <v>19.87</v>
      </c>
      <c r="V768" s="8">
        <v>47.44</v>
      </c>
      <c r="W768" s="3"/>
      <c r="X768" s="3"/>
      <c r="Y768" s="13" t="s">
        <v>82</v>
      </c>
      <c r="Z768" s="3">
        <v>3</v>
      </c>
      <c r="AA768" s="3">
        <v>3</v>
      </c>
      <c r="AB768" s="9">
        <v>-0.0738365157886653</v>
      </c>
      <c r="AC768" s="9">
        <v>0.00731346076445138</v>
      </c>
      <c r="AD768" s="25"/>
      <c r="AE768" s="25"/>
      <c r="AF768" s="9"/>
      <c r="AG768" s="9"/>
      <c r="AH768" s="25">
        <v>1.40717865428681</v>
      </c>
      <c r="AI768" s="25">
        <v>0.0410353793058949</v>
      </c>
      <c r="AJ768" s="4">
        <v>-1.48101517007547</v>
      </c>
      <c r="AK768" s="4">
        <v>0.0483488400703464</v>
      </c>
      <c r="AL768" s="3"/>
      <c r="AM768" s="3"/>
      <c r="AN768" s="4">
        <v>-0.0243490290102866</v>
      </c>
      <c r="AO768" s="4">
        <v>0.0842672959597125</v>
      </c>
      <c r="AP768" s="3">
        <v>1.71765149707433</v>
      </c>
      <c r="AQ768" s="3">
        <v>0.0875498128245379</v>
      </c>
      <c r="AR768" s="4"/>
      <c r="AS768" s="4"/>
      <c r="AT768" s="3"/>
      <c r="AU768" s="3"/>
      <c r="AV768" s="4">
        <v>1.50093171355793</v>
      </c>
      <c r="AW768" s="4">
        <v>0.0510895074234026</v>
      </c>
    </row>
    <row r="769" s="3" customFormat="1" spans="1:49">
      <c r="A769" s="4">
        <v>768</v>
      </c>
      <c r="B769" s="6">
        <v>118</v>
      </c>
      <c r="C769" s="24" t="s">
        <v>380</v>
      </c>
      <c r="D769" s="13" t="s">
        <v>381</v>
      </c>
      <c r="E769" s="25">
        <v>38.511330555</v>
      </c>
      <c r="F769" s="25">
        <v>-1.9430611</v>
      </c>
      <c r="G769" s="26">
        <v>16.6</v>
      </c>
      <c r="H769" s="27">
        <v>321</v>
      </c>
      <c r="I769" s="3"/>
      <c r="J769" s="13" t="s">
        <v>237</v>
      </c>
      <c r="K769" s="5" t="s">
        <v>78</v>
      </c>
      <c r="L769" s="3">
        <v>2017</v>
      </c>
      <c r="M769" s="3">
        <v>11</v>
      </c>
      <c r="N769" s="13" t="s">
        <v>108</v>
      </c>
      <c r="O769" s="28" t="s">
        <v>80</v>
      </c>
      <c r="P769" s="7">
        <v>8.64</v>
      </c>
      <c r="Q769" s="3">
        <v>12.702</v>
      </c>
      <c r="R769" s="3">
        <v>0.9</v>
      </c>
      <c r="S769" s="13">
        <v>14.1133333333333</v>
      </c>
      <c r="T769" s="8">
        <v>32.18</v>
      </c>
      <c r="U769" s="8">
        <v>19.14</v>
      </c>
      <c r="V769" s="8">
        <v>48.17</v>
      </c>
      <c r="W769" s="3"/>
      <c r="X769" s="3"/>
      <c r="Y769" s="13" t="s">
        <v>82</v>
      </c>
      <c r="Z769" s="3">
        <v>3</v>
      </c>
      <c r="AA769" s="3">
        <v>3</v>
      </c>
      <c r="AB769" s="9">
        <v>1.01600426533675</v>
      </c>
      <c r="AC769" s="9">
        <v>0.0235152338857347</v>
      </c>
      <c r="AD769" s="25"/>
      <c r="AE769" s="25"/>
      <c r="AF769" s="9"/>
      <c r="AG769" s="9"/>
      <c r="AH769" s="25">
        <v>1.04191694499156</v>
      </c>
      <c r="AI769" s="25">
        <v>0.00463004738690053</v>
      </c>
      <c r="AJ769" s="4">
        <v>-0.0259126796548143</v>
      </c>
      <c r="AK769" s="4">
        <v>0.0281452812726352</v>
      </c>
      <c r="AL769" s="3"/>
      <c r="AM769" s="3"/>
      <c r="AN769" s="4">
        <v>-0.022236141446882</v>
      </c>
      <c r="AO769" s="4">
        <v>0.0119349006421873</v>
      </c>
      <c r="AP769" s="3">
        <v>0.980829253011726</v>
      </c>
      <c r="AQ769" s="3">
        <v>0.0279706790123457</v>
      </c>
      <c r="AR769" s="4"/>
      <c r="AS769" s="4"/>
      <c r="AT769" s="3"/>
      <c r="AU769" s="3"/>
      <c r="AV769" s="4">
        <v>-0.593994980494478</v>
      </c>
      <c r="AW769" s="4">
        <v>0.00342701861959744</v>
      </c>
    </row>
    <row r="770" s="3" customFormat="1" spans="1:49">
      <c r="A770" s="4">
        <v>769</v>
      </c>
      <c r="B770" s="6">
        <v>118</v>
      </c>
      <c r="C770" s="24" t="s">
        <v>380</v>
      </c>
      <c r="D770" s="13" t="s">
        <v>381</v>
      </c>
      <c r="E770" s="25">
        <v>38.511330555</v>
      </c>
      <c r="F770" s="25">
        <v>-1.9430611</v>
      </c>
      <c r="G770" s="26">
        <v>16.6</v>
      </c>
      <c r="H770" s="27">
        <v>321</v>
      </c>
      <c r="I770" s="3"/>
      <c r="J770" s="13" t="s">
        <v>237</v>
      </c>
      <c r="K770" s="5" t="s">
        <v>78</v>
      </c>
      <c r="L770" s="3">
        <v>2017</v>
      </c>
      <c r="M770" s="3">
        <v>11</v>
      </c>
      <c r="N770" s="13" t="s">
        <v>108</v>
      </c>
      <c r="O770" s="28" t="s">
        <v>80</v>
      </c>
      <c r="P770" s="7">
        <v>8.64</v>
      </c>
      <c r="Q770" s="3">
        <v>12.702</v>
      </c>
      <c r="R770" s="3">
        <v>0.9</v>
      </c>
      <c r="S770" s="13">
        <v>14.1133333333333</v>
      </c>
      <c r="T770" s="8">
        <v>32.18</v>
      </c>
      <c r="U770" s="8">
        <v>19.14</v>
      </c>
      <c r="V770" s="8">
        <v>48.17</v>
      </c>
      <c r="W770" s="3"/>
      <c r="X770" s="3"/>
      <c r="Y770" s="13" t="s">
        <v>82</v>
      </c>
      <c r="Z770" s="3">
        <v>3</v>
      </c>
      <c r="AA770" s="3">
        <v>3</v>
      </c>
      <c r="AB770" s="9">
        <v>1.23287157165596</v>
      </c>
      <c r="AC770" s="9">
        <v>0.0169111832776499</v>
      </c>
      <c r="AD770" s="25"/>
      <c r="AE770" s="25"/>
      <c r="AF770" s="9"/>
      <c r="AG770" s="9"/>
      <c r="AH770" s="25">
        <v>1.42111412627912</v>
      </c>
      <c r="AI770" s="25">
        <v>0.00463004738690052</v>
      </c>
      <c r="AJ770" s="4">
        <v>-0.188242554623159</v>
      </c>
      <c r="AK770" s="4">
        <v>0.0215412306645504</v>
      </c>
      <c r="AL770" s="3"/>
      <c r="AM770" s="3"/>
      <c r="AN770" s="4">
        <v>-0.0269811088311077</v>
      </c>
      <c r="AO770" s="4">
        <v>0.000613381874233381</v>
      </c>
      <c r="AP770" s="3">
        <v>1.26851132546351</v>
      </c>
      <c r="AQ770" s="3">
        <v>0.0133222415123457</v>
      </c>
      <c r="AR770" s="4"/>
      <c r="AS770" s="4"/>
      <c r="AT770" s="3"/>
      <c r="AU770" s="3"/>
      <c r="AV770" s="4">
        <v>0.414467136394644</v>
      </c>
      <c r="AW770" s="4">
        <v>0.0258892882128805</v>
      </c>
    </row>
    <row r="771" s="4" customFormat="1" spans="1:71">
      <c r="A771" s="4">
        <v>770</v>
      </c>
      <c r="B771" s="18">
        <v>119</v>
      </c>
      <c r="C771" s="19" t="s">
        <v>382</v>
      </c>
      <c r="D771" s="5" t="s">
        <v>383</v>
      </c>
      <c r="E771" s="9">
        <v>-38.73275</v>
      </c>
      <c r="F771" s="9">
        <v>-71.514417</v>
      </c>
      <c r="G771" s="20">
        <v>13</v>
      </c>
      <c r="H771" s="21">
        <v>1500</v>
      </c>
      <c r="I771" s="4"/>
      <c r="J771" s="5" t="s">
        <v>237</v>
      </c>
      <c r="K771" s="5" t="s">
        <v>78</v>
      </c>
      <c r="L771" s="4">
        <v>2018</v>
      </c>
      <c r="M771" s="4">
        <v>2</v>
      </c>
      <c r="N771" s="5" t="s">
        <v>96</v>
      </c>
      <c r="O771" s="28" t="s">
        <v>80</v>
      </c>
      <c r="P771" s="29">
        <v>5.89</v>
      </c>
      <c r="Q771" s="4">
        <v>45.6496519721578</v>
      </c>
      <c r="R771" s="5"/>
      <c r="S771" s="13"/>
      <c r="T771" s="21">
        <v>19</v>
      </c>
      <c r="U771" s="21">
        <v>45</v>
      </c>
      <c r="V771" s="21">
        <v>36</v>
      </c>
      <c r="W771" s="4">
        <v>17</v>
      </c>
      <c r="X771" s="5" t="s">
        <v>91</v>
      </c>
      <c r="Y771" s="5" t="s">
        <v>82</v>
      </c>
      <c r="Z771" s="4">
        <v>3</v>
      </c>
      <c r="AA771" s="4">
        <v>3</v>
      </c>
      <c r="AB771" s="9">
        <v>0.243048594550762</v>
      </c>
      <c r="AC771" s="9">
        <v>0.0124810641806794</v>
      </c>
      <c r="AD771" s="9">
        <v>0.0460174222652083</v>
      </c>
      <c r="AE771" s="9">
        <v>0.0104271431459876</v>
      </c>
      <c r="AF771" s="9">
        <v>-0.197031172285553</v>
      </c>
      <c r="AG771" s="9">
        <v>0.0229082073266669</v>
      </c>
      <c r="AH771" s="9">
        <v>0.169104566268188</v>
      </c>
      <c r="AI771" s="9">
        <v>0.0069415521310565</v>
      </c>
      <c r="AJ771" s="4">
        <v>0.0739440282825765</v>
      </c>
      <c r="AK771" s="4">
        <v>0.0194226163117359</v>
      </c>
      <c r="AL771" s="4">
        <v>-0.12308714400298</v>
      </c>
      <c r="AM771" s="4">
        <v>0.0173686952770441</v>
      </c>
      <c r="AN771" s="4">
        <v>0.048062273806104</v>
      </c>
      <c r="AO771" s="4">
        <v>0.000376217392046546</v>
      </c>
      <c r="AP771" s="4"/>
      <c r="AQ771" s="4"/>
      <c r="AR771" s="4"/>
      <c r="AS771" s="4"/>
      <c r="AT771" s="4"/>
      <c r="AU771" s="4"/>
      <c r="AV771" s="4"/>
      <c r="AW771" s="4"/>
      <c r="AX771" s="4"/>
      <c r="AY771" s="4"/>
      <c r="BP771" s="4">
        <v>-0.430582999410555</v>
      </c>
      <c r="BQ771" s="4">
        <v>0.0197574030740004</v>
      </c>
      <c r="BR771" s="4">
        <v>0.30204396471249</v>
      </c>
      <c r="BS771" s="4">
        <v>0.0642553602120132</v>
      </c>
    </row>
    <row r="772" s="4" customFormat="1" spans="1:71">
      <c r="A772" s="4">
        <v>771</v>
      </c>
      <c r="B772" s="18">
        <v>119</v>
      </c>
      <c r="C772" s="19" t="s">
        <v>382</v>
      </c>
      <c r="D772" s="5" t="s">
        <v>383</v>
      </c>
      <c r="E772" s="9">
        <v>-38.184442</v>
      </c>
      <c r="F772" s="9">
        <v>-71.811083</v>
      </c>
      <c r="G772" s="20">
        <v>13</v>
      </c>
      <c r="H772" s="21">
        <v>1500</v>
      </c>
      <c r="I772" s="4"/>
      <c r="J772" s="5" t="s">
        <v>237</v>
      </c>
      <c r="K772" s="5" t="s">
        <v>78</v>
      </c>
      <c r="L772" s="4">
        <v>2018</v>
      </c>
      <c r="M772" s="4">
        <v>2</v>
      </c>
      <c r="N772" s="5" t="s">
        <v>96</v>
      </c>
      <c r="O772" s="28" t="s">
        <v>80</v>
      </c>
      <c r="P772" s="29">
        <v>5.67</v>
      </c>
      <c r="Q772" s="4">
        <v>54.6983758700696</v>
      </c>
      <c r="R772" s="5"/>
      <c r="S772" s="13"/>
      <c r="T772" s="21">
        <v>7</v>
      </c>
      <c r="U772" s="21">
        <v>38</v>
      </c>
      <c r="V772" s="21">
        <v>55</v>
      </c>
      <c r="W772" s="4">
        <v>17</v>
      </c>
      <c r="X772" s="5" t="s">
        <v>91</v>
      </c>
      <c r="Y772" s="5" t="s">
        <v>82</v>
      </c>
      <c r="Z772" s="4">
        <v>3</v>
      </c>
      <c r="AA772" s="4">
        <v>3</v>
      </c>
      <c r="AB772" s="9">
        <v>-0.00744102865668421</v>
      </c>
      <c r="AC772" s="9">
        <v>0.0127420189550899</v>
      </c>
      <c r="AD772" s="9">
        <v>0.100507777477092</v>
      </c>
      <c r="AE772" s="9">
        <v>0.00638052242380994</v>
      </c>
      <c r="AF772" s="9">
        <v>0.10794880613378</v>
      </c>
      <c r="AG772" s="9">
        <v>0.0191225413788997</v>
      </c>
      <c r="AH772" s="9">
        <v>-0.179568192775578</v>
      </c>
      <c r="AI772" s="9">
        <v>0.0069415521310565</v>
      </c>
      <c r="AJ772" s="4">
        <v>0.172127164118893</v>
      </c>
      <c r="AK772" s="4">
        <v>0.0196835710861464</v>
      </c>
      <c r="AL772" s="4">
        <v>0.280075970252671</v>
      </c>
      <c r="AM772" s="4">
        <v>0.0133220745548665</v>
      </c>
      <c r="AN772" s="4">
        <v>0.00527705710084382</v>
      </c>
      <c r="AO772" s="4">
        <v>0.000376217392046544</v>
      </c>
      <c r="AP772" s="4"/>
      <c r="AQ772" s="4"/>
      <c r="AR772" s="4"/>
      <c r="AS772" s="4"/>
      <c r="AT772" s="4"/>
      <c r="AU772" s="4"/>
      <c r="AV772" s="4"/>
      <c r="AW772" s="4"/>
      <c r="AX772" s="4"/>
      <c r="AY772" s="4"/>
      <c r="BP772" s="4">
        <v>-0.196535281449339</v>
      </c>
      <c r="BQ772" s="4">
        <v>0.0347272862071049</v>
      </c>
      <c r="BR772" s="4">
        <v>0.161946094899457</v>
      </c>
      <c r="BS772" s="4">
        <v>0.256443386319779</v>
      </c>
    </row>
    <row r="773" s="3" customFormat="1" spans="1:63">
      <c r="A773" s="4">
        <v>772</v>
      </c>
      <c r="B773" s="6">
        <v>120</v>
      </c>
      <c r="C773" s="24" t="s">
        <v>384</v>
      </c>
      <c r="D773" s="13" t="s">
        <v>385</v>
      </c>
      <c r="E773" s="25">
        <v>42.0175</v>
      </c>
      <c r="F773" s="25">
        <v>3.1913888</v>
      </c>
      <c r="G773" s="26">
        <v>16</v>
      </c>
      <c r="H773" s="27">
        <v>590</v>
      </c>
      <c r="I773" s="3"/>
      <c r="J773" s="13" t="s">
        <v>193</v>
      </c>
      <c r="K773" s="5" t="s">
        <v>182</v>
      </c>
      <c r="L773" s="3">
        <v>2015</v>
      </c>
      <c r="M773" s="3">
        <v>8</v>
      </c>
      <c r="N773" s="13" t="s">
        <v>96</v>
      </c>
      <c r="O773" s="36" t="s">
        <v>80</v>
      </c>
      <c r="P773" s="7">
        <v>8.02</v>
      </c>
      <c r="Q773" s="3">
        <v>23.63</v>
      </c>
      <c r="R773" s="3">
        <v>0.74</v>
      </c>
      <c r="S773" s="13">
        <v>31.9324324324324</v>
      </c>
      <c r="T773" s="8">
        <v>2.4</v>
      </c>
      <c r="U773" s="8">
        <v>5.33</v>
      </c>
      <c r="V773" s="8">
        <v>92.27</v>
      </c>
      <c r="W773" s="3"/>
      <c r="X773" s="3"/>
      <c r="Y773" s="13" t="s">
        <v>82</v>
      </c>
      <c r="Z773" s="3">
        <v>3</v>
      </c>
      <c r="AA773" s="3">
        <v>3</v>
      </c>
      <c r="AB773" s="9">
        <v>-2.24941033050679</v>
      </c>
      <c r="AC773" s="9">
        <v>0.193502771705147</v>
      </c>
      <c r="AD773" s="25">
        <v>-1.53393035992596</v>
      </c>
      <c r="AE773" s="25">
        <v>0.146072235408504</v>
      </c>
      <c r="AF773" s="9">
        <v>0.715479970580835</v>
      </c>
      <c r="AG773" s="9">
        <v>0.339575007113652</v>
      </c>
      <c r="AH773" s="25">
        <v>-2.01511463836127</v>
      </c>
      <c r="AI773" s="25">
        <v>0.0059553973907827</v>
      </c>
      <c r="AJ773" s="4">
        <v>-0.234295692145515</v>
      </c>
      <c r="AK773" s="4">
        <v>0.19945816909593</v>
      </c>
      <c r="AL773" s="3">
        <v>0.481184278435319</v>
      </c>
      <c r="AM773" s="3">
        <v>0.152027632799287</v>
      </c>
      <c r="AN773" s="4">
        <v>0.0294861656544637</v>
      </c>
      <c r="AO773" s="4">
        <v>0.0534278416122551</v>
      </c>
      <c r="AP773" s="3">
        <v>-1.9061698204058</v>
      </c>
      <c r="AQ773" s="3">
        <v>0.105242108313361</v>
      </c>
      <c r="AR773" s="4"/>
      <c r="AS773" s="4"/>
      <c r="AT773" s="3"/>
      <c r="AU773" s="3"/>
      <c r="AV773" s="4"/>
      <c r="AW773" s="4"/>
      <c r="AX773" s="3">
        <v>-0.518793793415167</v>
      </c>
      <c r="AY773" s="3">
        <v>0.0881619235021837</v>
      </c>
      <c r="BD773" s="3">
        <v>-1.1695388522726</v>
      </c>
      <c r="BE773" s="3">
        <v>0.157783916318256</v>
      </c>
      <c r="BJ773" s="3">
        <v>0.0392207131532813</v>
      </c>
      <c r="BK773" s="3">
        <v>0.0229207100591716</v>
      </c>
    </row>
    <row r="774" s="3" customFormat="1" spans="1:63">
      <c r="A774" s="4">
        <v>773</v>
      </c>
      <c r="B774" s="6">
        <v>120</v>
      </c>
      <c r="C774" s="24" t="s">
        <v>384</v>
      </c>
      <c r="D774" s="13" t="s">
        <v>385</v>
      </c>
      <c r="E774" s="25">
        <v>42.0175</v>
      </c>
      <c r="F774" s="25">
        <v>3.1913888</v>
      </c>
      <c r="G774" s="26">
        <v>16</v>
      </c>
      <c r="H774" s="27">
        <v>590</v>
      </c>
      <c r="I774" s="3"/>
      <c r="J774" s="13" t="s">
        <v>193</v>
      </c>
      <c r="K774" s="5" t="s">
        <v>182</v>
      </c>
      <c r="L774" s="3">
        <v>2015</v>
      </c>
      <c r="M774" s="3">
        <v>8</v>
      </c>
      <c r="N774" s="13" t="s">
        <v>96</v>
      </c>
      <c r="O774" s="36" t="s">
        <v>80</v>
      </c>
      <c r="P774" s="7">
        <v>8.02</v>
      </c>
      <c r="Q774" s="3">
        <v>23.63</v>
      </c>
      <c r="R774" s="3">
        <v>0.74</v>
      </c>
      <c r="S774" s="13">
        <v>31.9324324324324</v>
      </c>
      <c r="T774" s="8">
        <v>2.4</v>
      </c>
      <c r="U774" s="8">
        <v>5.33</v>
      </c>
      <c r="V774" s="8">
        <v>92.27</v>
      </c>
      <c r="W774" s="3"/>
      <c r="X774" s="3"/>
      <c r="Y774" s="13" t="s">
        <v>82</v>
      </c>
      <c r="Z774" s="3">
        <v>3</v>
      </c>
      <c r="AA774" s="3">
        <v>3</v>
      </c>
      <c r="AB774" s="9">
        <v>-1.51258808644418</v>
      </c>
      <c r="AC774" s="9">
        <v>0.163757801999097</v>
      </c>
      <c r="AD774" s="25">
        <v>-0.863772697590709</v>
      </c>
      <c r="AE774" s="25">
        <v>0.0333108142248406</v>
      </c>
      <c r="AF774" s="9">
        <v>0.648815388853475</v>
      </c>
      <c r="AG774" s="9">
        <v>0.197068616223938</v>
      </c>
      <c r="AH774" s="25">
        <v>-1.40984501067881</v>
      </c>
      <c r="AI774" s="25">
        <v>0.0233141635741632</v>
      </c>
      <c r="AJ774" s="4">
        <v>-0.102743075765374</v>
      </c>
      <c r="AK774" s="4">
        <v>0.18707196557326</v>
      </c>
      <c r="AL774" s="3">
        <v>0.5460723130881</v>
      </c>
      <c r="AM774" s="3">
        <v>0.0566249777990036</v>
      </c>
      <c r="AN774" s="4">
        <v>0.0282747784681666</v>
      </c>
      <c r="AO774" s="4">
        <v>0.0275954149191666</v>
      </c>
      <c r="AP774" s="3">
        <v>-0.936769263217696</v>
      </c>
      <c r="AQ774" s="3">
        <v>0.0415634888029399</v>
      </c>
      <c r="AR774" s="4"/>
      <c r="AS774" s="4"/>
      <c r="AT774" s="3"/>
      <c r="AU774" s="3"/>
      <c r="AV774" s="4"/>
      <c r="AW774" s="4"/>
      <c r="AX774" s="3">
        <v>-0.310472842787524</v>
      </c>
      <c r="AY774" s="3">
        <v>0.128585192130434</v>
      </c>
      <c r="BD774" s="3">
        <v>-0.11885344743892</v>
      </c>
      <c r="BE774" s="3">
        <v>0.01098924313291</v>
      </c>
      <c r="BJ774" s="3">
        <v>0.0468835858988505</v>
      </c>
      <c r="BK774" s="3">
        <v>0.0400978031583241</v>
      </c>
    </row>
    <row r="775" s="3" customFormat="1" spans="1:63">
      <c r="A775" s="4">
        <v>774</v>
      </c>
      <c r="B775" s="6">
        <v>120</v>
      </c>
      <c r="C775" s="24" t="s">
        <v>384</v>
      </c>
      <c r="D775" s="13" t="s">
        <v>385</v>
      </c>
      <c r="E775" s="25">
        <v>42.0175</v>
      </c>
      <c r="F775" s="25">
        <v>3.1913888</v>
      </c>
      <c r="G775" s="26">
        <v>16</v>
      </c>
      <c r="H775" s="27">
        <v>590</v>
      </c>
      <c r="I775" s="3"/>
      <c r="J775" s="13" t="s">
        <v>193</v>
      </c>
      <c r="K775" s="5" t="s">
        <v>182</v>
      </c>
      <c r="L775" s="3">
        <v>2015</v>
      </c>
      <c r="M775" s="3">
        <v>8</v>
      </c>
      <c r="N775" s="13" t="s">
        <v>96</v>
      </c>
      <c r="O775" s="36" t="s">
        <v>80</v>
      </c>
      <c r="P775" s="7">
        <v>8.02</v>
      </c>
      <c r="Q775" s="3">
        <v>23.63</v>
      </c>
      <c r="R775" s="3">
        <v>0.74</v>
      </c>
      <c r="S775" s="13">
        <v>31.9324324324324</v>
      </c>
      <c r="T775" s="8">
        <v>2.4</v>
      </c>
      <c r="U775" s="8">
        <v>5.33</v>
      </c>
      <c r="V775" s="8">
        <v>92.27</v>
      </c>
      <c r="W775" s="3"/>
      <c r="X775" s="3"/>
      <c r="Y775" s="13" t="s">
        <v>82</v>
      </c>
      <c r="Z775" s="3">
        <v>3</v>
      </c>
      <c r="AA775" s="3">
        <v>3</v>
      </c>
      <c r="AB775" s="9">
        <v>-0.765373684613961</v>
      </c>
      <c r="AC775" s="9">
        <v>0.204501436463876</v>
      </c>
      <c r="AD775" s="25">
        <v>-0.242946178610389</v>
      </c>
      <c r="AE775" s="25">
        <v>0.0763408304498268</v>
      </c>
      <c r="AF775" s="9">
        <v>0.522427506003571</v>
      </c>
      <c r="AG775" s="9">
        <v>0.280842266913704</v>
      </c>
      <c r="AH775" s="25">
        <v>-0.724527361198568</v>
      </c>
      <c r="AI775" s="25">
        <v>0.00546030131455738</v>
      </c>
      <c r="AJ775" s="4">
        <v>-0.0408463234153962</v>
      </c>
      <c r="AK775" s="4">
        <v>0.209961737778434</v>
      </c>
      <c r="AL775" s="3">
        <v>0.481581182588178</v>
      </c>
      <c r="AM775" s="3">
        <v>0.0818011317643841</v>
      </c>
      <c r="AN775" s="4">
        <v>-0.039420234303185</v>
      </c>
      <c r="AO775" s="4">
        <v>0.0291180285793564</v>
      </c>
      <c r="AP775" s="3">
        <v>-0.22652764929845</v>
      </c>
      <c r="AQ775" s="3">
        <v>0.0320110381117237</v>
      </c>
      <c r="AR775" s="4"/>
      <c r="AS775" s="4"/>
      <c r="AT775" s="3"/>
      <c r="AU775" s="3"/>
      <c r="AV775" s="4"/>
      <c r="AW775" s="4"/>
      <c r="AX775" s="3">
        <v>0.0610876919798389</v>
      </c>
      <c r="AY775" s="3">
        <v>0.0326007263992463</v>
      </c>
      <c r="BD775" s="3">
        <v>-0.0920972707274611</v>
      </c>
      <c r="BE775" s="3">
        <v>0.0337600479532889</v>
      </c>
      <c r="BJ775" s="3">
        <v>0.0544881852840698</v>
      </c>
      <c r="BK775" s="3">
        <v>0.0309863177226814</v>
      </c>
    </row>
    <row r="776" s="3" customFormat="1" spans="1:63">
      <c r="A776" s="4">
        <v>775</v>
      </c>
      <c r="B776" s="6">
        <v>120</v>
      </c>
      <c r="C776" s="24" t="s">
        <v>384</v>
      </c>
      <c r="D776" s="13" t="s">
        <v>385</v>
      </c>
      <c r="E776" s="25">
        <v>42.0175</v>
      </c>
      <c r="F776" s="25">
        <v>3.1913888</v>
      </c>
      <c r="G776" s="26">
        <v>16</v>
      </c>
      <c r="H776" s="27">
        <v>590</v>
      </c>
      <c r="I776" s="3"/>
      <c r="J776" s="13" t="s">
        <v>193</v>
      </c>
      <c r="K776" s="5" t="s">
        <v>182</v>
      </c>
      <c r="L776" s="3">
        <v>2015</v>
      </c>
      <c r="M776" s="3">
        <v>8</v>
      </c>
      <c r="N776" s="13" t="s">
        <v>96</v>
      </c>
      <c r="O776" s="36" t="s">
        <v>80</v>
      </c>
      <c r="P776" s="7">
        <v>8.4</v>
      </c>
      <c r="Q776" s="3">
        <v>18.58</v>
      </c>
      <c r="R776" s="3">
        <v>0.39</v>
      </c>
      <c r="S776" s="13">
        <v>47.6410256410256</v>
      </c>
      <c r="T776" s="8">
        <v>3.33</v>
      </c>
      <c r="U776" s="8">
        <v>4.41</v>
      </c>
      <c r="V776" s="8">
        <v>92.26</v>
      </c>
      <c r="W776" s="3"/>
      <c r="X776" s="3"/>
      <c r="Y776" s="13" t="s">
        <v>82</v>
      </c>
      <c r="Z776" s="3">
        <v>3</v>
      </c>
      <c r="AA776" s="3">
        <v>3</v>
      </c>
      <c r="AB776" s="9">
        <v>-1.05977245535185</v>
      </c>
      <c r="AC776" s="9">
        <v>0.102851061020428</v>
      </c>
      <c r="AD776" s="25">
        <v>-0.646627164925052</v>
      </c>
      <c r="AE776" s="25">
        <v>0.128862839901801</v>
      </c>
      <c r="AF776" s="9">
        <v>0.413145290426792</v>
      </c>
      <c r="AG776" s="9">
        <v>0.231713900922228</v>
      </c>
      <c r="AH776" s="25">
        <v>-1.73119816860841</v>
      </c>
      <c r="AI776" s="25">
        <v>0.00463004738690055</v>
      </c>
      <c r="AJ776" s="4">
        <v>0.671425713256564</v>
      </c>
      <c r="AK776" s="4">
        <v>0.107481108407329</v>
      </c>
      <c r="AL776" s="3">
        <v>1.08457100368336</v>
      </c>
      <c r="AM776" s="3">
        <v>0.133492887288701</v>
      </c>
      <c r="AN776" s="4">
        <v>-0.00477327875265777</v>
      </c>
      <c r="AO776" s="4">
        <v>0.00135345120397464</v>
      </c>
      <c r="AP776" s="3">
        <v>-1.3609765531356</v>
      </c>
      <c r="AQ776" s="3">
        <v>0.0159171597633136</v>
      </c>
      <c r="AR776" s="4"/>
      <c r="AS776" s="4"/>
      <c r="AT776" s="3"/>
      <c r="AU776" s="3"/>
      <c r="AV776" s="4"/>
      <c r="AW776" s="4"/>
      <c r="AX776" s="3">
        <v>0.152602800815612</v>
      </c>
      <c r="AY776" s="3">
        <v>0.0179522888992463</v>
      </c>
      <c r="BD776" s="3">
        <v>-1.3672461661492</v>
      </c>
      <c r="BE776" s="3">
        <v>0.141306607720188</v>
      </c>
      <c r="BJ776" s="3">
        <v>0.0369045569354508</v>
      </c>
      <c r="BK776" s="3">
        <v>0.0301312126628951</v>
      </c>
    </row>
    <row r="777" s="3" customFormat="1" spans="1:63">
      <c r="A777" s="4">
        <v>776</v>
      </c>
      <c r="B777" s="6">
        <v>120</v>
      </c>
      <c r="C777" s="24" t="s">
        <v>384</v>
      </c>
      <c r="D777" s="13" t="s">
        <v>385</v>
      </c>
      <c r="E777" s="25">
        <v>42.0175</v>
      </c>
      <c r="F777" s="25">
        <v>3.1913888</v>
      </c>
      <c r="G777" s="26">
        <v>16</v>
      </c>
      <c r="H777" s="27">
        <v>590</v>
      </c>
      <c r="I777" s="3"/>
      <c r="J777" s="13" t="s">
        <v>193</v>
      </c>
      <c r="K777" s="5" t="s">
        <v>182</v>
      </c>
      <c r="L777" s="3">
        <v>2015</v>
      </c>
      <c r="M777" s="3">
        <v>8</v>
      </c>
      <c r="N777" s="13" t="s">
        <v>96</v>
      </c>
      <c r="O777" s="36" t="s">
        <v>80</v>
      </c>
      <c r="P777" s="7">
        <v>8.4</v>
      </c>
      <c r="Q777" s="3">
        <v>18.58</v>
      </c>
      <c r="R777" s="3">
        <v>0.39</v>
      </c>
      <c r="S777" s="13">
        <v>47.6410256410256</v>
      </c>
      <c r="T777" s="8">
        <v>3.33</v>
      </c>
      <c r="U777" s="8">
        <v>4.41</v>
      </c>
      <c r="V777" s="8">
        <v>92.26</v>
      </c>
      <c r="W777" s="3"/>
      <c r="X777" s="3"/>
      <c r="Y777" s="13" t="s">
        <v>82</v>
      </c>
      <c r="Z777" s="3">
        <v>3</v>
      </c>
      <c r="AA777" s="3">
        <v>3</v>
      </c>
      <c r="AB777" s="9">
        <v>0.125454306153035</v>
      </c>
      <c r="AC777" s="9">
        <v>0.0851888408149418</v>
      </c>
      <c r="AD777" s="25">
        <v>0.133531392624523</v>
      </c>
      <c r="AE777" s="25">
        <v>0.106655683106576</v>
      </c>
      <c r="AF777" s="9">
        <v>0.00807708647148585</v>
      </c>
      <c r="AG777" s="9">
        <v>0.191844523921516</v>
      </c>
      <c r="AH777" s="25">
        <v>-1.27921304486535</v>
      </c>
      <c r="AI777" s="25">
        <v>0.00463004738690055</v>
      </c>
      <c r="AJ777" s="4">
        <v>1.40466735101839</v>
      </c>
      <c r="AK777" s="4">
        <v>0.0898188882018422</v>
      </c>
      <c r="AL777" s="3">
        <v>1.41274443748988</v>
      </c>
      <c r="AM777" s="3">
        <v>0.111285730493476</v>
      </c>
      <c r="AN777" s="4">
        <v>-0.02531780798429</v>
      </c>
      <c r="AO777" s="4">
        <v>0.00067386520683224</v>
      </c>
      <c r="AP777" s="3">
        <v>-0.444685821261446</v>
      </c>
      <c r="AQ777" s="3">
        <v>0.0203171597633136</v>
      </c>
      <c r="AR777" s="4"/>
      <c r="AS777" s="4"/>
      <c r="AT777" s="3"/>
      <c r="AU777" s="3"/>
      <c r="AV777" s="4"/>
      <c r="AW777" s="4"/>
      <c r="AX777" s="3"/>
      <c r="AY777" s="3"/>
      <c r="BD777" s="3">
        <v>-0.221492271197194</v>
      </c>
      <c r="BE777" s="3">
        <v>0.0123574443288884</v>
      </c>
      <c r="BJ777" s="3">
        <v>0.133531392624523</v>
      </c>
      <c r="BK777" s="3">
        <v>0.0308251243710781</v>
      </c>
    </row>
    <row r="778" s="3" customFormat="1" spans="1:63">
      <c r="A778" s="4">
        <v>777</v>
      </c>
      <c r="B778" s="6">
        <v>120</v>
      </c>
      <c r="C778" s="24" t="s">
        <v>384</v>
      </c>
      <c r="D778" s="13" t="s">
        <v>385</v>
      </c>
      <c r="E778" s="25">
        <v>42.0175</v>
      </c>
      <c r="F778" s="25">
        <v>3.1913888</v>
      </c>
      <c r="G778" s="26">
        <v>16</v>
      </c>
      <c r="H778" s="27">
        <v>590</v>
      </c>
      <c r="I778" s="3"/>
      <c r="J778" s="13" t="s">
        <v>193</v>
      </c>
      <c r="K778" s="5" t="s">
        <v>182</v>
      </c>
      <c r="L778" s="3">
        <v>2015</v>
      </c>
      <c r="M778" s="3">
        <v>8</v>
      </c>
      <c r="N778" s="13" t="s">
        <v>96</v>
      </c>
      <c r="O778" s="36" t="s">
        <v>80</v>
      </c>
      <c r="P778" s="7">
        <v>8.4</v>
      </c>
      <c r="Q778" s="3">
        <v>18.58</v>
      </c>
      <c r="R778" s="3">
        <v>0.39</v>
      </c>
      <c r="S778" s="13">
        <v>47.6410256410256</v>
      </c>
      <c r="T778" s="8">
        <v>3.33</v>
      </c>
      <c r="U778" s="8">
        <v>4.41</v>
      </c>
      <c r="V778" s="8">
        <v>92.26</v>
      </c>
      <c r="W778" s="3"/>
      <c r="X778" s="3"/>
      <c r="Y778" s="13" t="s">
        <v>82</v>
      </c>
      <c r="Z778" s="3">
        <v>3</v>
      </c>
      <c r="AA778" s="3">
        <v>3</v>
      </c>
      <c r="AB778" s="9">
        <v>0.398842567347671</v>
      </c>
      <c r="AC778" s="9">
        <v>0.0917253560061349</v>
      </c>
      <c r="AD778" s="25">
        <v>0.436717651612269</v>
      </c>
      <c r="AE778" s="25">
        <v>0.12444404191657</v>
      </c>
      <c r="AF778" s="9">
        <v>0.0378750842645994</v>
      </c>
      <c r="AG778" s="9">
        <v>0.216169397922703</v>
      </c>
      <c r="AH778" s="25">
        <v>-0.663452527920829</v>
      </c>
      <c r="AI778" s="25">
        <v>0.00463004738690055</v>
      </c>
      <c r="AJ778" s="4">
        <v>1.0622950952685</v>
      </c>
      <c r="AK778" s="4">
        <v>0.0963554033930352</v>
      </c>
      <c r="AL778" s="3">
        <v>1.1001701795331</v>
      </c>
      <c r="AM778" s="3">
        <v>0.12907408930347</v>
      </c>
      <c r="AN778" s="4">
        <v>-0.0831228432499373</v>
      </c>
      <c r="AO778" s="4">
        <v>0.0011286072495636</v>
      </c>
      <c r="AP778" s="3">
        <v>-0.052643733485422</v>
      </c>
      <c r="AQ778" s="3">
        <v>0.0124913014725904</v>
      </c>
      <c r="AR778" s="4"/>
      <c r="AS778" s="4"/>
      <c r="AT778" s="3"/>
      <c r="AU778" s="3"/>
      <c r="AV778" s="4"/>
      <c r="AW778" s="4"/>
      <c r="AX778" s="3"/>
      <c r="AY778" s="3"/>
      <c r="BD778" s="3">
        <v>-0.217002589905204</v>
      </c>
      <c r="BE778" s="3">
        <v>0.0110346597600684</v>
      </c>
      <c r="BJ778" s="3">
        <v>0.0794641713542468</v>
      </c>
      <c r="BK778" s="3">
        <v>0.0416575172440988</v>
      </c>
    </row>
    <row r="779" s="3" customFormat="1" spans="1:63">
      <c r="A779" s="4">
        <v>778</v>
      </c>
      <c r="B779" s="6">
        <v>120</v>
      </c>
      <c r="C779" s="24" t="s">
        <v>384</v>
      </c>
      <c r="D779" s="13" t="s">
        <v>385</v>
      </c>
      <c r="E779" s="25">
        <v>42.0175</v>
      </c>
      <c r="F779" s="25">
        <v>3.1913888</v>
      </c>
      <c r="G779" s="26">
        <v>16</v>
      </c>
      <c r="H779" s="27">
        <v>590</v>
      </c>
      <c r="I779" s="3"/>
      <c r="J779" s="13" t="s">
        <v>193</v>
      </c>
      <c r="K779" s="5" t="s">
        <v>182</v>
      </c>
      <c r="L779" s="3">
        <v>2015</v>
      </c>
      <c r="M779" s="3">
        <v>8</v>
      </c>
      <c r="N779" s="13" t="s">
        <v>96</v>
      </c>
      <c r="O779" s="28" t="s">
        <v>136</v>
      </c>
      <c r="P779" s="7">
        <v>8.71</v>
      </c>
      <c r="Q779" s="3">
        <v>7.04</v>
      </c>
      <c r="R779" s="3">
        <v>0.13</v>
      </c>
      <c r="S779" s="13">
        <v>54.1538461538462</v>
      </c>
      <c r="T779" s="8">
        <v>2.41</v>
      </c>
      <c r="U779" s="8">
        <v>2.93</v>
      </c>
      <c r="V779" s="8">
        <v>94.66</v>
      </c>
      <c r="W779" s="3"/>
      <c r="X779" s="3"/>
      <c r="Y779" s="13" t="s">
        <v>82</v>
      </c>
      <c r="Z779" s="3">
        <v>3</v>
      </c>
      <c r="AA779" s="3">
        <v>3</v>
      </c>
      <c r="AB779" s="9">
        <v>-0.518344456180018</v>
      </c>
      <c r="AC779" s="9">
        <v>1.20505517977928</v>
      </c>
      <c r="AD779" s="25">
        <v>0.287682072451781</v>
      </c>
      <c r="AE779" s="25">
        <v>0.610000000000001</v>
      </c>
      <c r="AF779" s="9">
        <v>0.806026528631797</v>
      </c>
      <c r="AG779" s="9">
        <v>1.81505517977928</v>
      </c>
      <c r="AH779" s="25">
        <v>-1.02734926864662</v>
      </c>
      <c r="AI779" s="25">
        <v>0.00723958333333333</v>
      </c>
      <c r="AJ779" s="4">
        <v>0.509004812466596</v>
      </c>
      <c r="AK779" s="4">
        <v>1.2122947631126</v>
      </c>
      <c r="AL779" s="3">
        <v>1.3150313410984</v>
      </c>
      <c r="AM779" s="3">
        <v>0.617239583333334</v>
      </c>
      <c r="AN779" s="4">
        <v>-0.0244056273681407</v>
      </c>
      <c r="AO779" s="4">
        <v>0.00137884953986355</v>
      </c>
      <c r="AP779" s="3">
        <v>-0.619039208406223</v>
      </c>
      <c r="AQ779" s="3">
        <v>0.0440768023185606</v>
      </c>
      <c r="AR779" s="4"/>
      <c r="AS779" s="4"/>
      <c r="AT779" s="3"/>
      <c r="AU779" s="3"/>
      <c r="AV779" s="4"/>
      <c r="AW779" s="4"/>
      <c r="AX779" s="3">
        <v>-0.108944817955476</v>
      </c>
      <c r="AY779" s="3">
        <v>0.111197505704144</v>
      </c>
      <c r="BD779" s="3">
        <v>0.308439429711483</v>
      </c>
      <c r="BE779" s="3">
        <v>0.781867220301877</v>
      </c>
      <c r="BJ779" s="3">
        <v>0.0363676441708748</v>
      </c>
      <c r="BK779" s="3">
        <v>0.0108585985834663</v>
      </c>
    </row>
    <row r="780" s="3" customFormat="1" spans="1:63">
      <c r="A780" s="4">
        <v>779</v>
      </c>
      <c r="B780" s="6">
        <v>120</v>
      </c>
      <c r="C780" s="24" t="s">
        <v>384</v>
      </c>
      <c r="D780" s="13" t="s">
        <v>385</v>
      </c>
      <c r="E780" s="25">
        <v>42.0175</v>
      </c>
      <c r="F780" s="25">
        <v>3.1913888</v>
      </c>
      <c r="G780" s="26">
        <v>16</v>
      </c>
      <c r="H780" s="27">
        <v>590</v>
      </c>
      <c r="I780" s="3"/>
      <c r="J780" s="13" t="s">
        <v>193</v>
      </c>
      <c r="K780" s="5" t="s">
        <v>182</v>
      </c>
      <c r="L780" s="3">
        <v>2015</v>
      </c>
      <c r="M780" s="3">
        <v>8</v>
      </c>
      <c r="N780" s="13" t="s">
        <v>96</v>
      </c>
      <c r="O780" s="28" t="s">
        <v>136</v>
      </c>
      <c r="P780" s="7">
        <v>8.71</v>
      </c>
      <c r="Q780" s="3">
        <v>7.04</v>
      </c>
      <c r="R780" s="3">
        <v>0.13</v>
      </c>
      <c r="S780" s="13">
        <v>54.1538461538462</v>
      </c>
      <c r="T780" s="8">
        <v>2.41</v>
      </c>
      <c r="U780" s="8">
        <v>2.93</v>
      </c>
      <c r="V780" s="8">
        <v>94.66</v>
      </c>
      <c r="W780" s="3"/>
      <c r="X780" s="3"/>
      <c r="Y780" s="13" t="s">
        <v>82</v>
      </c>
      <c r="Z780" s="3">
        <v>3</v>
      </c>
      <c r="AA780" s="3">
        <v>3</v>
      </c>
      <c r="AB780" s="9">
        <v>0.605113831074622</v>
      </c>
      <c r="AC780" s="9">
        <v>1.05434905340811</v>
      </c>
      <c r="AD780" s="25">
        <v>1.33500106673234</v>
      </c>
      <c r="AE780" s="25">
        <v>0.375081563558018</v>
      </c>
      <c r="AF780" s="9">
        <v>0.729887235657714</v>
      </c>
      <c r="AG780" s="9">
        <v>1.42943061696612</v>
      </c>
      <c r="AH780" s="25">
        <v>-0.511773042122031</v>
      </c>
      <c r="AI780" s="25">
        <v>0.0254915692875271</v>
      </c>
      <c r="AJ780" s="4">
        <v>1.11688687319665</v>
      </c>
      <c r="AK780" s="4">
        <v>1.07984062269562</v>
      </c>
      <c r="AL780" s="3">
        <v>1.84677410885437</v>
      </c>
      <c r="AM780" s="3">
        <v>0.400573132845545</v>
      </c>
      <c r="AN780" s="4">
        <v>-0.0530472033315248</v>
      </c>
      <c r="AO780" s="4">
        <v>0.00131950338356978</v>
      </c>
      <c r="AP780" s="3">
        <v>1.01856958099457</v>
      </c>
      <c r="AQ780" s="3">
        <v>0.0267550588063408</v>
      </c>
      <c r="AR780" s="4"/>
      <c r="AS780" s="4"/>
      <c r="AT780" s="3"/>
      <c r="AU780" s="3"/>
      <c r="AV780" s="4"/>
      <c r="AW780" s="4"/>
      <c r="AX780" s="3">
        <v>-0.473075747461113</v>
      </c>
      <c r="AY780" s="3">
        <v>0.0648776523771035</v>
      </c>
      <c r="BD780" s="3">
        <v>1.27682830098462</v>
      </c>
      <c r="BE780" s="3">
        <v>0.755342000349684</v>
      </c>
      <c r="BJ780" s="3">
        <v>0.1316778239752</v>
      </c>
      <c r="BK780" s="3">
        <v>0.0221067011302701</v>
      </c>
    </row>
    <row r="781" s="3" customFormat="1" spans="1:63">
      <c r="A781" s="4">
        <v>780</v>
      </c>
      <c r="B781" s="6">
        <v>120</v>
      </c>
      <c r="C781" s="24" t="s">
        <v>384</v>
      </c>
      <c r="D781" s="13" t="s">
        <v>385</v>
      </c>
      <c r="E781" s="25">
        <v>42.0175</v>
      </c>
      <c r="F781" s="25">
        <v>3.1913888</v>
      </c>
      <c r="G781" s="26">
        <v>16</v>
      </c>
      <c r="H781" s="27">
        <v>590</v>
      </c>
      <c r="I781" s="3"/>
      <c r="J781" s="13" t="s">
        <v>193</v>
      </c>
      <c r="K781" s="5" t="s">
        <v>182</v>
      </c>
      <c r="L781" s="3">
        <v>2015</v>
      </c>
      <c r="M781" s="3">
        <v>8</v>
      </c>
      <c r="N781" s="13" t="s">
        <v>96</v>
      </c>
      <c r="O781" s="28" t="s">
        <v>136</v>
      </c>
      <c r="P781" s="7">
        <v>8.71</v>
      </c>
      <c r="Q781" s="3">
        <v>7.04</v>
      </c>
      <c r="R781" s="3">
        <v>0.13</v>
      </c>
      <c r="S781" s="13">
        <v>54.1538461538462</v>
      </c>
      <c r="T781" s="8">
        <v>2.41</v>
      </c>
      <c r="U781" s="8">
        <v>2.93</v>
      </c>
      <c r="V781" s="8">
        <v>94.66</v>
      </c>
      <c r="W781" s="3"/>
      <c r="X781" s="3"/>
      <c r="Y781" s="13" t="s">
        <v>82</v>
      </c>
      <c r="Z781" s="3">
        <v>3</v>
      </c>
      <c r="AA781" s="3">
        <v>3</v>
      </c>
      <c r="AB781" s="9">
        <v>0.641262345190934</v>
      </c>
      <c r="AC781" s="9">
        <v>1.02745001925703</v>
      </c>
      <c r="AD781" s="25">
        <v>1.26224171244991</v>
      </c>
      <c r="AE781" s="25">
        <v>0.365695977216091</v>
      </c>
      <c r="AF781" s="9">
        <v>0.620979367258975</v>
      </c>
      <c r="AG781" s="9">
        <v>1.39314599647311</v>
      </c>
      <c r="AH781" s="25">
        <v>-0.0660548216555352</v>
      </c>
      <c r="AI781" s="25">
        <v>0.00723958333333333</v>
      </c>
      <c r="AJ781" s="4">
        <v>0.707317166846463</v>
      </c>
      <c r="AK781" s="4">
        <v>1.03468960259035</v>
      </c>
      <c r="AL781" s="3">
        <v>1.32829653410545</v>
      </c>
      <c r="AM781" s="3">
        <v>0.372935560549424</v>
      </c>
      <c r="AN781" s="4">
        <v>-0.093818755217655</v>
      </c>
      <c r="AO781" s="4">
        <v>0.00145915384449137</v>
      </c>
      <c r="AP781" s="3">
        <v>0.730887508542792</v>
      </c>
      <c r="AQ781" s="3">
        <v>0.0291556075031858</v>
      </c>
      <c r="AR781" s="4"/>
      <c r="AS781" s="4"/>
      <c r="AT781" s="3"/>
      <c r="AU781" s="3"/>
      <c r="AV781" s="4"/>
      <c r="AW781" s="4"/>
      <c r="AX781" s="3">
        <v>-0.497999711900119</v>
      </c>
      <c r="AY781" s="3">
        <v>0.0374713394262814</v>
      </c>
      <c r="BD781" s="3">
        <v>1.00950744376287</v>
      </c>
      <c r="BE781" s="3">
        <v>0.743257463428913</v>
      </c>
      <c r="BJ781" s="3">
        <v>0.0986715275070296</v>
      </c>
      <c r="BK781" s="3">
        <v>0.0197721886129649</v>
      </c>
    </row>
    <row r="782" s="4" customFormat="1" spans="1:67">
      <c r="A782" s="4">
        <v>781</v>
      </c>
      <c r="B782" s="22">
        <v>121</v>
      </c>
      <c r="C782" s="19" t="s">
        <v>386</v>
      </c>
      <c r="D782" s="5" t="s">
        <v>387</v>
      </c>
      <c r="E782" s="23">
        <v>44.366666</v>
      </c>
      <c r="F782" s="23">
        <v>-96.783333</v>
      </c>
      <c r="G782" s="20">
        <v>8.9</v>
      </c>
      <c r="H782" s="21">
        <v>580</v>
      </c>
      <c r="I782" s="5"/>
      <c r="J782" s="5" t="s">
        <v>94</v>
      </c>
      <c r="K782" s="5" t="s">
        <v>78</v>
      </c>
      <c r="L782" s="5">
        <v>2018</v>
      </c>
      <c r="M782" s="5">
        <v>11</v>
      </c>
      <c r="N782" s="5" t="s">
        <v>108</v>
      </c>
      <c r="O782" s="28" t="s">
        <v>80</v>
      </c>
      <c r="P782" s="20">
        <v>8.31</v>
      </c>
      <c r="Q782" s="5"/>
      <c r="R782" s="5"/>
      <c r="S782" s="13"/>
      <c r="T782" s="21">
        <v>23</v>
      </c>
      <c r="U782" s="21">
        <v>46</v>
      </c>
      <c r="V782" s="21">
        <v>31</v>
      </c>
      <c r="W782" s="5">
        <v>8</v>
      </c>
      <c r="X782" s="5" t="s">
        <v>91</v>
      </c>
      <c r="Y782" s="5" t="s">
        <v>82</v>
      </c>
      <c r="Z782" s="5">
        <v>4</v>
      </c>
      <c r="AA782" s="5">
        <v>4</v>
      </c>
      <c r="AB782" s="9">
        <v>0.779274958286461</v>
      </c>
      <c r="AC782" s="9">
        <v>0.000192271262992729</v>
      </c>
      <c r="AD782" s="9"/>
      <c r="AE782" s="9"/>
      <c r="AF782" s="9"/>
      <c r="AG782" s="9"/>
      <c r="AH782" s="9"/>
      <c r="AI782" s="9"/>
      <c r="AJ782" s="4"/>
      <c r="AK782" s="4"/>
      <c r="AL782" s="4"/>
      <c r="AM782" s="4"/>
      <c r="AN782" s="4">
        <v>-0.0144930073025668</v>
      </c>
      <c r="AO782" s="4">
        <v>0.000282163044034908</v>
      </c>
      <c r="AP782" s="4"/>
      <c r="AQ782" s="4"/>
      <c r="AR782" s="4"/>
      <c r="AS782" s="4"/>
      <c r="AT782" s="4"/>
      <c r="AU782" s="4"/>
      <c r="AV782" s="4">
        <v>-0.360346013832585</v>
      </c>
      <c r="AW782" s="4">
        <v>0.0111796731679732</v>
      </c>
      <c r="AX782" s="4">
        <v>-0.37022161547281</v>
      </c>
      <c r="AY782" s="4">
        <v>0.0205472071502142</v>
      </c>
      <c r="BH782" s="4">
        <v>0.469254845983494</v>
      </c>
      <c r="BI782" s="4">
        <v>0.0154252221473353</v>
      </c>
      <c r="BN782" s="4">
        <v>-0.11207292959573</v>
      </c>
      <c r="BO782" s="4">
        <v>0.00520616409829238</v>
      </c>
    </row>
    <row r="783" s="4" customFormat="1" spans="1:67">
      <c r="A783" s="4">
        <v>782</v>
      </c>
      <c r="B783" s="22">
        <v>121</v>
      </c>
      <c r="C783" s="19" t="s">
        <v>386</v>
      </c>
      <c r="D783" s="5" t="s">
        <v>387</v>
      </c>
      <c r="E783" s="23">
        <v>44.366666</v>
      </c>
      <c r="F783" s="23">
        <v>-96.783333</v>
      </c>
      <c r="G783" s="20">
        <v>8.9</v>
      </c>
      <c r="H783" s="21">
        <v>580</v>
      </c>
      <c r="I783" s="5"/>
      <c r="J783" s="5" t="s">
        <v>94</v>
      </c>
      <c r="K783" s="5" t="s">
        <v>78</v>
      </c>
      <c r="L783" s="5">
        <v>2018</v>
      </c>
      <c r="M783" s="5">
        <v>11</v>
      </c>
      <c r="N783" s="5" t="s">
        <v>108</v>
      </c>
      <c r="O783" s="28" t="s">
        <v>80</v>
      </c>
      <c r="P783" s="20">
        <v>8.31</v>
      </c>
      <c r="Q783" s="5"/>
      <c r="R783" s="5"/>
      <c r="S783" s="13"/>
      <c r="T783" s="21">
        <v>23</v>
      </c>
      <c r="U783" s="21">
        <v>46</v>
      </c>
      <c r="V783" s="21">
        <v>31</v>
      </c>
      <c r="W783" s="5">
        <v>8</v>
      </c>
      <c r="X783" s="5" t="s">
        <v>91</v>
      </c>
      <c r="Y783" s="5" t="s">
        <v>82</v>
      </c>
      <c r="Z783" s="5">
        <v>4</v>
      </c>
      <c r="AA783" s="5">
        <v>4</v>
      </c>
      <c r="AB783" s="9">
        <v>1.16348001454592</v>
      </c>
      <c r="AC783" s="9">
        <v>0.000192271262992729</v>
      </c>
      <c r="AD783" s="9"/>
      <c r="AE783" s="9"/>
      <c r="AF783" s="9"/>
      <c r="AG783" s="9"/>
      <c r="AH783" s="9"/>
      <c r="AI783" s="9"/>
      <c r="AJ783" s="4"/>
      <c r="AK783" s="4"/>
      <c r="AL783" s="4"/>
      <c r="AM783" s="4"/>
      <c r="AN783" s="4">
        <v>-0.0242730363562064</v>
      </c>
      <c r="AO783" s="4">
        <v>0.000282163044034907</v>
      </c>
      <c r="AP783" s="4"/>
      <c r="AQ783" s="4"/>
      <c r="AR783" s="4"/>
      <c r="AS783" s="4"/>
      <c r="AT783" s="4"/>
      <c r="AU783" s="4"/>
      <c r="AV783" s="4">
        <v>-0.0131060184235003</v>
      </c>
      <c r="AW783" s="4">
        <v>0.00358336477053209</v>
      </c>
      <c r="AX783" s="4">
        <v>-0.834527223603908</v>
      </c>
      <c r="AY783" s="4">
        <v>0.0249472071502142</v>
      </c>
      <c r="BH783" s="4">
        <v>0.787368035637815</v>
      </c>
      <c r="BI783" s="4">
        <v>0.0154252221473353</v>
      </c>
      <c r="BN783" s="4">
        <v>0.118364600081033</v>
      </c>
      <c r="BO783" s="4">
        <v>0.00520616409829238</v>
      </c>
    </row>
    <row r="784" s="4" customFormat="1" spans="1:67">
      <c r="A784" s="4">
        <v>783</v>
      </c>
      <c r="B784" s="22">
        <v>121</v>
      </c>
      <c r="C784" s="19" t="s">
        <v>386</v>
      </c>
      <c r="D784" s="5" t="s">
        <v>387</v>
      </c>
      <c r="E784" s="23">
        <v>44.366666</v>
      </c>
      <c r="F784" s="23">
        <v>-96.783333</v>
      </c>
      <c r="G784" s="20">
        <v>8.9</v>
      </c>
      <c r="H784" s="21">
        <v>580</v>
      </c>
      <c r="I784" s="5"/>
      <c r="J784" s="5" t="s">
        <v>94</v>
      </c>
      <c r="K784" s="5" t="s">
        <v>78</v>
      </c>
      <c r="L784" s="5">
        <v>2018</v>
      </c>
      <c r="M784" s="5">
        <v>11</v>
      </c>
      <c r="N784" s="5" t="s">
        <v>108</v>
      </c>
      <c r="O784" s="28" t="s">
        <v>80</v>
      </c>
      <c r="P784" s="20">
        <v>8.31</v>
      </c>
      <c r="Q784" s="5"/>
      <c r="R784" s="5"/>
      <c r="S784" s="13"/>
      <c r="T784" s="21">
        <v>23</v>
      </c>
      <c r="U784" s="21">
        <v>46</v>
      </c>
      <c r="V784" s="21">
        <v>31</v>
      </c>
      <c r="W784" s="5">
        <v>8</v>
      </c>
      <c r="X784" s="5" t="s">
        <v>91</v>
      </c>
      <c r="Y784" s="5" t="s">
        <v>82</v>
      </c>
      <c r="Z784" s="5">
        <v>4</v>
      </c>
      <c r="AA784" s="5">
        <v>4</v>
      </c>
      <c r="AB784" s="9">
        <v>0.919459037687609</v>
      </c>
      <c r="AC784" s="9">
        <v>0.000192271262992729</v>
      </c>
      <c r="AD784" s="9"/>
      <c r="AE784" s="9"/>
      <c r="AF784" s="9"/>
      <c r="AG784" s="9"/>
      <c r="AH784" s="9"/>
      <c r="AI784" s="9"/>
      <c r="AJ784" s="4"/>
      <c r="AK784" s="4"/>
      <c r="AL784" s="4"/>
      <c r="AM784" s="4"/>
      <c r="AN784" s="4">
        <v>-0.00722024797348713</v>
      </c>
      <c r="AO784" s="4">
        <v>0.000282163044034908</v>
      </c>
      <c r="AP784" s="4"/>
      <c r="AQ784" s="4"/>
      <c r="AR784" s="4"/>
      <c r="AS784" s="4"/>
      <c r="AT784" s="4"/>
      <c r="AU784" s="4"/>
      <c r="AV784" s="4">
        <v>-0.564790113706438</v>
      </c>
      <c r="AW784" s="4">
        <v>0.0144101921973681</v>
      </c>
      <c r="AX784" s="4">
        <v>-0.610808794435405</v>
      </c>
      <c r="AY784" s="4">
        <v>0.017121348859491</v>
      </c>
      <c r="BH784" s="4">
        <v>1.09661428600544</v>
      </c>
      <c r="BI784" s="4">
        <v>0.0154252221473353</v>
      </c>
      <c r="BN784" s="4">
        <v>-0.0319176029683051</v>
      </c>
      <c r="BO784" s="4">
        <v>0.00520616409829238</v>
      </c>
    </row>
    <row r="785" s="3" customFormat="1" spans="1:51">
      <c r="A785" s="4">
        <v>784</v>
      </c>
      <c r="B785" s="6">
        <v>122</v>
      </c>
      <c r="C785" s="24" t="s">
        <v>388</v>
      </c>
      <c r="D785" s="13" t="s">
        <v>389</v>
      </c>
      <c r="E785" s="25">
        <v>38.5113305</v>
      </c>
      <c r="F785" s="25">
        <v>-1.9430611111</v>
      </c>
      <c r="G785" s="26">
        <v>16.6</v>
      </c>
      <c r="H785" s="27">
        <v>321</v>
      </c>
      <c r="I785" s="3"/>
      <c r="J785" s="13" t="s">
        <v>237</v>
      </c>
      <c r="K785" s="5" t="s">
        <v>78</v>
      </c>
      <c r="L785" s="3">
        <v>2017</v>
      </c>
      <c r="M785" s="3">
        <v>3</v>
      </c>
      <c r="N785" s="13" t="s">
        <v>113</v>
      </c>
      <c r="O785" s="3"/>
      <c r="P785" s="7">
        <v>8.73</v>
      </c>
      <c r="Q785" s="3">
        <v>1.54</v>
      </c>
      <c r="R785" s="5"/>
      <c r="S785" s="13"/>
      <c r="T785" s="8">
        <v>32.6</v>
      </c>
      <c r="U785" s="8">
        <v>19.9</v>
      </c>
      <c r="V785" s="8">
        <v>47.4</v>
      </c>
      <c r="W785" s="3"/>
      <c r="X785" s="3"/>
      <c r="Y785" s="13" t="s">
        <v>82</v>
      </c>
      <c r="Z785" s="3">
        <v>18</v>
      </c>
      <c r="AA785" s="3">
        <v>18</v>
      </c>
      <c r="AB785" s="9">
        <v>-0.198450938723838</v>
      </c>
      <c r="AC785" s="9">
        <v>0.0249156316577091</v>
      </c>
      <c r="AD785" s="25"/>
      <c r="AE785" s="25"/>
      <c r="AF785" s="9"/>
      <c r="AG785" s="9"/>
      <c r="AH785" s="25">
        <v>0.579818495252942</v>
      </c>
      <c r="AI785" s="25">
        <v>0.00426169674481363</v>
      </c>
      <c r="AJ785" s="4">
        <v>-0.778269433976777</v>
      </c>
      <c r="AK785" s="4">
        <v>0.0291773284025228</v>
      </c>
      <c r="AL785" s="3"/>
      <c r="AM785" s="3"/>
      <c r="AN785" s="4">
        <v>-0.0302348611875478</v>
      </c>
      <c r="AO785" s="4">
        <v>0.000234292382114848</v>
      </c>
      <c r="AP785" s="3">
        <v>1.09861228866811</v>
      </c>
      <c r="AQ785" s="3">
        <v>0.0839002267573696</v>
      </c>
      <c r="AR785" s="4"/>
      <c r="AS785" s="4"/>
      <c r="AT785" s="3"/>
      <c r="AU785" s="3"/>
      <c r="AV785" s="4">
        <v>1.22157889290099</v>
      </c>
      <c r="AW785" s="4">
        <v>0.00262736827750931</v>
      </c>
      <c r="AX785" s="3">
        <v>-0.408310060240397</v>
      </c>
      <c r="AY785" s="3">
        <v>0.0513163856518938</v>
      </c>
    </row>
    <row r="786" s="3" customFormat="1" spans="1:51">
      <c r="A786" s="4">
        <v>785</v>
      </c>
      <c r="B786" s="6">
        <v>122</v>
      </c>
      <c r="C786" s="24" t="s">
        <v>388</v>
      </c>
      <c r="D786" s="13" t="s">
        <v>389</v>
      </c>
      <c r="E786" s="25">
        <v>38.5113305</v>
      </c>
      <c r="F786" s="25">
        <v>-1.9430611111</v>
      </c>
      <c r="G786" s="26">
        <v>16.6</v>
      </c>
      <c r="H786" s="27">
        <v>321</v>
      </c>
      <c r="I786" s="3"/>
      <c r="J786" s="13" t="s">
        <v>237</v>
      </c>
      <c r="K786" s="5" t="s">
        <v>78</v>
      </c>
      <c r="L786" s="3">
        <v>2017</v>
      </c>
      <c r="M786" s="3">
        <v>3</v>
      </c>
      <c r="N786" s="13" t="s">
        <v>113</v>
      </c>
      <c r="O786" s="3"/>
      <c r="P786" s="7">
        <v>8.73</v>
      </c>
      <c r="Q786" s="3">
        <v>1.54</v>
      </c>
      <c r="R786" s="5"/>
      <c r="S786" s="13"/>
      <c r="T786" s="8">
        <v>32.6</v>
      </c>
      <c r="U786" s="8">
        <v>19.9</v>
      </c>
      <c r="V786" s="8">
        <v>47.4</v>
      </c>
      <c r="W786" s="3"/>
      <c r="X786" s="3"/>
      <c r="Y786" s="13" t="s">
        <v>82</v>
      </c>
      <c r="Z786" s="3">
        <v>18</v>
      </c>
      <c r="AA786" s="3">
        <v>18</v>
      </c>
      <c r="AB786" s="9">
        <v>0.29266961396282</v>
      </c>
      <c r="AC786" s="9">
        <v>0.0853854049229144</v>
      </c>
      <c r="AD786" s="25"/>
      <c r="AE786" s="25"/>
      <c r="AF786" s="9"/>
      <c r="AG786" s="9"/>
      <c r="AH786" s="25">
        <v>0.889973423556782</v>
      </c>
      <c r="AI786" s="25">
        <v>0.0050154157530781</v>
      </c>
      <c r="AJ786" s="4">
        <v>-0.597303809593957</v>
      </c>
      <c r="AK786" s="4">
        <v>0.0904008206759925</v>
      </c>
      <c r="AL786" s="3"/>
      <c r="AM786" s="3"/>
      <c r="AN786" s="4">
        <v>-0.0150031665920488</v>
      </c>
      <c r="AO786" s="4">
        <v>0.000416447074766441</v>
      </c>
      <c r="AP786" s="3">
        <v>1.145132304303</v>
      </c>
      <c r="AQ786" s="3">
        <v>0.0836987687637038</v>
      </c>
      <c r="AR786" s="4"/>
      <c r="AS786" s="4"/>
      <c r="AT786" s="3"/>
      <c r="AU786" s="3"/>
      <c r="AV786" s="4">
        <v>1.3809515167094</v>
      </c>
      <c r="AW786" s="4">
        <v>0.232547042720846</v>
      </c>
      <c r="AX786" s="3">
        <v>-1.53034262311661</v>
      </c>
      <c r="AY786" s="3">
        <v>0.0522466280938679</v>
      </c>
    </row>
    <row r="787" s="3" customFormat="1" spans="1:51">
      <c r="A787" s="4">
        <v>786</v>
      </c>
      <c r="B787" s="6">
        <v>122</v>
      </c>
      <c r="C787" s="24" t="s">
        <v>388</v>
      </c>
      <c r="D787" s="13" t="s">
        <v>389</v>
      </c>
      <c r="E787" s="25">
        <v>38.5113305</v>
      </c>
      <c r="F787" s="25">
        <v>-1.9430611111</v>
      </c>
      <c r="G787" s="26">
        <v>16.6</v>
      </c>
      <c r="H787" s="27">
        <v>321</v>
      </c>
      <c r="I787" s="3"/>
      <c r="J787" s="13" t="s">
        <v>237</v>
      </c>
      <c r="K787" s="5" t="s">
        <v>78</v>
      </c>
      <c r="L787" s="3">
        <v>2017</v>
      </c>
      <c r="M787" s="3">
        <v>10</v>
      </c>
      <c r="N787" s="13" t="s">
        <v>108</v>
      </c>
      <c r="O787" s="3"/>
      <c r="P787" s="7">
        <v>8.64</v>
      </c>
      <c r="Q787" s="3">
        <v>1.27</v>
      </c>
      <c r="R787" s="5"/>
      <c r="S787" s="13"/>
      <c r="T787" s="8">
        <v>32.1</v>
      </c>
      <c r="U787" s="8">
        <v>19.1</v>
      </c>
      <c r="V787" s="8">
        <v>48.2</v>
      </c>
      <c r="W787" s="3"/>
      <c r="X787" s="3"/>
      <c r="Y787" s="13" t="s">
        <v>82</v>
      </c>
      <c r="Z787" s="3">
        <v>18</v>
      </c>
      <c r="AA787" s="3">
        <v>18</v>
      </c>
      <c r="AB787" s="9">
        <v>1.01600426533675</v>
      </c>
      <c r="AC787" s="9">
        <v>0.0234435517482474</v>
      </c>
      <c r="AD787" s="25"/>
      <c r="AE787" s="25"/>
      <c r="AF787" s="9"/>
      <c r="AG787" s="9"/>
      <c r="AH787" s="25">
        <v>1.04191694499156</v>
      </c>
      <c r="AI787" s="25">
        <v>0.00557756559957565</v>
      </c>
      <c r="AJ787" s="4">
        <v>-0.0259126796548142</v>
      </c>
      <c r="AK787" s="4">
        <v>0.029021117347823</v>
      </c>
      <c r="AL787" s="3"/>
      <c r="AM787" s="3"/>
      <c r="AN787" s="4">
        <v>-0.022236141446882</v>
      </c>
      <c r="AO787" s="4">
        <v>0.000730811149522508</v>
      </c>
      <c r="AP787" s="3">
        <v>0.980829253011726</v>
      </c>
      <c r="AQ787" s="3">
        <v>0.0279706790123458</v>
      </c>
      <c r="AR787" s="4"/>
      <c r="AS787" s="4"/>
      <c r="AT787" s="3"/>
      <c r="AU787" s="3"/>
      <c r="AV787" s="4">
        <v>-0.592676650196311</v>
      </c>
      <c r="AW787" s="4">
        <v>0.00342374289444114</v>
      </c>
      <c r="AX787" s="3">
        <v>-0.796942330198329</v>
      </c>
      <c r="AY787" s="3">
        <v>0.036395190836519</v>
      </c>
    </row>
    <row r="788" s="3" customFormat="1" spans="1:49">
      <c r="A788" s="4">
        <v>787</v>
      </c>
      <c r="B788" s="6">
        <v>122</v>
      </c>
      <c r="C788" s="24" t="s">
        <v>388</v>
      </c>
      <c r="D788" s="13" t="s">
        <v>389</v>
      </c>
      <c r="E788" s="25">
        <v>38.5113305</v>
      </c>
      <c r="F788" s="25">
        <v>-1.9430611111</v>
      </c>
      <c r="G788" s="26">
        <v>16.6</v>
      </c>
      <c r="H788" s="27">
        <v>321</v>
      </c>
      <c r="I788" s="3"/>
      <c r="J788" s="13" t="s">
        <v>237</v>
      </c>
      <c r="K788" s="5" t="s">
        <v>78</v>
      </c>
      <c r="L788" s="3">
        <v>2017</v>
      </c>
      <c r="M788" s="3">
        <v>10</v>
      </c>
      <c r="N788" s="13" t="s">
        <v>108</v>
      </c>
      <c r="O788" s="3"/>
      <c r="P788" s="7">
        <v>8.64</v>
      </c>
      <c r="Q788" s="3">
        <v>1.27</v>
      </c>
      <c r="R788" s="5"/>
      <c r="S788" s="13"/>
      <c r="T788" s="8">
        <v>32.1</v>
      </c>
      <c r="U788" s="8">
        <v>19.1</v>
      </c>
      <c r="V788" s="8">
        <v>48.2</v>
      </c>
      <c r="W788" s="3"/>
      <c r="X788" s="3"/>
      <c r="Y788" s="13" t="s">
        <v>82</v>
      </c>
      <c r="Z788" s="3">
        <v>18</v>
      </c>
      <c r="AA788" s="3">
        <v>18</v>
      </c>
      <c r="AB788" s="9">
        <v>1.0316976998828</v>
      </c>
      <c r="AC788" s="9">
        <v>0.0138345867859845</v>
      </c>
      <c r="AD788" s="25"/>
      <c r="AE788" s="25"/>
      <c r="AF788" s="9"/>
      <c r="AG788" s="9"/>
      <c r="AH788" s="25">
        <v>1.18167888736672</v>
      </c>
      <c r="AI788" s="25">
        <v>0.00516787109095235</v>
      </c>
      <c r="AJ788" s="4">
        <v>-0.149981187483926</v>
      </c>
      <c r="AK788" s="4">
        <v>0.0190024578769368</v>
      </c>
      <c r="AL788" s="3"/>
      <c r="AM788" s="3"/>
      <c r="AN788" s="4">
        <v>-0.0198720741520012</v>
      </c>
      <c r="AO788" s="4">
        <v>0.000659061376400705</v>
      </c>
      <c r="AP788" s="3">
        <v>1.02165124753198</v>
      </c>
      <c r="AQ788" s="3">
        <v>0.0187456790123457</v>
      </c>
      <c r="AR788" s="4"/>
      <c r="AS788" s="4"/>
      <c r="AT788" s="3"/>
      <c r="AU788" s="3"/>
      <c r="AV788" s="4">
        <v>-0.63779708547678</v>
      </c>
      <c r="AW788" s="4">
        <v>0.00371384397925376</v>
      </c>
    </row>
    <row r="789" s="4" customFormat="1" spans="1:41">
      <c r="A789" s="4">
        <v>788</v>
      </c>
      <c r="B789" s="18">
        <v>123</v>
      </c>
      <c r="C789" s="5" t="s">
        <v>179</v>
      </c>
      <c r="D789" s="5" t="s">
        <v>390</v>
      </c>
      <c r="E789" s="9">
        <v>-33.18891</v>
      </c>
      <c r="F789" s="9">
        <v>-61.97481666</v>
      </c>
      <c r="G789" s="20">
        <v>16.6041660308838</v>
      </c>
      <c r="H789" s="21">
        <v>940</v>
      </c>
      <c r="I789" s="4"/>
      <c r="J789" s="5" t="s">
        <v>90</v>
      </c>
      <c r="K789" s="5" t="s">
        <v>78</v>
      </c>
      <c r="L789" s="4">
        <v>2015</v>
      </c>
      <c r="M789" s="4">
        <v>9</v>
      </c>
      <c r="N789" s="5" t="s">
        <v>113</v>
      </c>
      <c r="O789" s="28" t="s">
        <v>80</v>
      </c>
      <c r="P789" s="29">
        <v>6.6</v>
      </c>
      <c r="Q789" s="5"/>
      <c r="R789" s="5"/>
      <c r="S789" s="13"/>
      <c r="T789" s="21">
        <v>25</v>
      </c>
      <c r="U789" s="21">
        <v>42</v>
      </c>
      <c r="V789" s="21">
        <v>33</v>
      </c>
      <c r="W789" s="4">
        <v>16</v>
      </c>
      <c r="X789" s="5" t="s">
        <v>91</v>
      </c>
      <c r="Y789" s="5" t="s">
        <v>82</v>
      </c>
      <c r="Z789" s="4">
        <v>3</v>
      </c>
      <c r="AA789" s="4">
        <v>3</v>
      </c>
      <c r="AB789" s="9">
        <v>0.0759025384113962</v>
      </c>
      <c r="AC789" s="9">
        <v>0.00046565646789887</v>
      </c>
      <c r="AD789" s="9"/>
      <c r="AE789" s="9"/>
      <c r="AF789" s="9"/>
      <c r="AG789" s="9"/>
      <c r="AH789" s="9"/>
      <c r="AI789" s="9"/>
      <c r="AJ789" s="4"/>
      <c r="AK789" s="4"/>
      <c r="AL789" s="4"/>
      <c r="AM789" s="4"/>
      <c r="AN789" s="4">
        <v>-0.0953101798043248</v>
      </c>
      <c r="AO789" s="4">
        <v>3.41827364554637e-5</v>
      </c>
    </row>
    <row r="790" s="4" customFormat="1" spans="1:41">
      <c r="A790" s="4">
        <v>789</v>
      </c>
      <c r="B790" s="18">
        <v>123</v>
      </c>
      <c r="C790" s="5" t="s">
        <v>179</v>
      </c>
      <c r="D790" s="5" t="s">
        <v>390</v>
      </c>
      <c r="E790" s="9">
        <v>-33.18891</v>
      </c>
      <c r="F790" s="9">
        <v>-61.97481666</v>
      </c>
      <c r="G790" s="20">
        <v>16.6041660308838</v>
      </c>
      <c r="H790" s="21">
        <v>940</v>
      </c>
      <c r="I790" s="4"/>
      <c r="J790" s="5" t="s">
        <v>90</v>
      </c>
      <c r="K790" s="5" t="s">
        <v>78</v>
      </c>
      <c r="L790" s="4">
        <v>2015</v>
      </c>
      <c r="M790" s="4">
        <v>9</v>
      </c>
      <c r="N790" s="5" t="s">
        <v>113</v>
      </c>
      <c r="O790" s="28" t="s">
        <v>80</v>
      </c>
      <c r="P790" s="29">
        <v>6.6</v>
      </c>
      <c r="Q790" s="5"/>
      <c r="R790" s="5"/>
      <c r="S790" s="13"/>
      <c r="T790" s="21">
        <v>25</v>
      </c>
      <c r="U790" s="21">
        <v>42</v>
      </c>
      <c r="V790" s="21">
        <v>33</v>
      </c>
      <c r="W790" s="4">
        <v>16</v>
      </c>
      <c r="X790" s="5" t="s">
        <v>91</v>
      </c>
      <c r="Y790" s="5" t="s">
        <v>82</v>
      </c>
      <c r="Z790" s="4">
        <v>3</v>
      </c>
      <c r="AA790" s="4">
        <v>3</v>
      </c>
      <c r="AB790" s="9">
        <v>0.218837418216717</v>
      </c>
      <c r="AC790" s="9">
        <v>0.000309441601841764</v>
      </c>
      <c r="AD790" s="9"/>
      <c r="AE790" s="9"/>
      <c r="AF790" s="9"/>
      <c r="AG790" s="9"/>
      <c r="AH790" s="9"/>
      <c r="AI790" s="9"/>
      <c r="AJ790" s="4"/>
      <c r="AK790" s="4"/>
      <c r="AL790" s="4"/>
      <c r="AM790" s="4"/>
      <c r="AN790" s="4">
        <v>-0.219362828474304</v>
      </c>
      <c r="AO790" s="4">
        <v>1.27427222155207e-5</v>
      </c>
    </row>
    <row r="791" s="4" customFormat="1" spans="1:51">
      <c r="A791" s="4">
        <v>790</v>
      </c>
      <c r="B791" s="18">
        <v>123</v>
      </c>
      <c r="C791" s="5" t="s">
        <v>179</v>
      </c>
      <c r="D791" s="5" t="s">
        <v>390</v>
      </c>
      <c r="E791" s="9">
        <v>-33.18891</v>
      </c>
      <c r="F791" s="9">
        <v>-61.97481666</v>
      </c>
      <c r="G791" s="20">
        <v>16.6041660308838</v>
      </c>
      <c r="H791" s="21">
        <v>940</v>
      </c>
      <c r="I791" s="4"/>
      <c r="J791" s="5" t="s">
        <v>90</v>
      </c>
      <c r="K791" s="5" t="s">
        <v>78</v>
      </c>
      <c r="L791" s="4">
        <v>2015</v>
      </c>
      <c r="M791" s="4"/>
      <c r="N791" s="4"/>
      <c r="O791" s="28" t="s">
        <v>80</v>
      </c>
      <c r="P791" s="29">
        <v>6.2</v>
      </c>
      <c r="Q791" s="5"/>
      <c r="R791" s="5"/>
      <c r="S791" s="13"/>
      <c r="T791" s="21">
        <v>25</v>
      </c>
      <c r="U791" s="21">
        <v>42</v>
      </c>
      <c r="V791" s="21">
        <v>33</v>
      </c>
      <c r="W791" s="4">
        <v>16</v>
      </c>
      <c r="X791" s="5" t="s">
        <v>91</v>
      </c>
      <c r="Y791" s="5" t="s">
        <v>82</v>
      </c>
      <c r="Z791" s="4">
        <v>3</v>
      </c>
      <c r="AA791" s="4">
        <v>3</v>
      </c>
      <c r="AB791" s="9">
        <v>0.0440462076212707</v>
      </c>
      <c r="AC791" s="9">
        <v>0.00140615713787909</v>
      </c>
      <c r="AD791" s="9"/>
      <c r="AE791" s="9"/>
      <c r="AF791" s="9"/>
      <c r="AG791" s="9"/>
      <c r="AH791" s="9"/>
      <c r="AI791" s="9"/>
      <c r="AJ791" s="4"/>
      <c r="AK791" s="4"/>
      <c r="AL791" s="4"/>
      <c r="AM791" s="4"/>
      <c r="AN791" s="4">
        <v>-0.0666913744986723</v>
      </c>
      <c r="AO791" s="4">
        <v>0.000105543051790335</v>
      </c>
      <c r="AP791" s="4"/>
      <c r="AQ791" s="4"/>
      <c r="AR791" s="4"/>
      <c r="AS791" s="4"/>
      <c r="AT791" s="4"/>
      <c r="AU791" s="4"/>
      <c r="AV791" s="4"/>
      <c r="AW791" s="4"/>
      <c r="AX791" s="4">
        <v>-0.518793793415167</v>
      </c>
      <c r="AY791" s="4">
        <v>0.088161923502183</v>
      </c>
    </row>
    <row r="792" s="4" customFormat="1" spans="1:51">
      <c r="A792" s="4">
        <v>791</v>
      </c>
      <c r="B792" s="18">
        <v>123</v>
      </c>
      <c r="C792" s="5" t="s">
        <v>179</v>
      </c>
      <c r="D792" s="5" t="s">
        <v>390</v>
      </c>
      <c r="E792" s="9">
        <v>-33.18891</v>
      </c>
      <c r="F792" s="9">
        <v>-61.97481666</v>
      </c>
      <c r="G792" s="20">
        <v>16.6041660308838</v>
      </c>
      <c r="H792" s="21">
        <v>940</v>
      </c>
      <c r="I792" s="4"/>
      <c r="J792" s="5" t="s">
        <v>90</v>
      </c>
      <c r="K792" s="5" t="s">
        <v>78</v>
      </c>
      <c r="L792" s="4">
        <v>2015</v>
      </c>
      <c r="M792" s="4"/>
      <c r="N792" s="4"/>
      <c r="O792" s="28" t="s">
        <v>80</v>
      </c>
      <c r="P792" s="29">
        <v>6.2</v>
      </c>
      <c r="Q792" s="5"/>
      <c r="R792" s="5"/>
      <c r="S792" s="13"/>
      <c r="T792" s="21">
        <v>25</v>
      </c>
      <c r="U792" s="21">
        <v>42</v>
      </c>
      <c r="V792" s="21">
        <v>33</v>
      </c>
      <c r="W792" s="4">
        <v>16</v>
      </c>
      <c r="X792" s="5" t="s">
        <v>91</v>
      </c>
      <c r="Y792" s="5" t="s">
        <v>82</v>
      </c>
      <c r="Z792" s="4">
        <v>3</v>
      </c>
      <c r="AA792" s="4">
        <v>3</v>
      </c>
      <c r="AB792" s="9">
        <v>0.146009833399801</v>
      </c>
      <c r="AC792" s="9">
        <v>0.00139170955155853</v>
      </c>
      <c r="AD792" s="9"/>
      <c r="AE792" s="9"/>
      <c r="AF792" s="9"/>
      <c r="AG792" s="9"/>
      <c r="AH792" s="9"/>
      <c r="AI792" s="9"/>
      <c r="AJ792" s="4"/>
      <c r="AK792" s="4"/>
      <c r="AL792" s="4"/>
      <c r="AM792" s="4"/>
      <c r="AN792" s="4">
        <v>-0.175890666463664</v>
      </c>
      <c r="AO792" s="4">
        <v>9.36524453694075e-5</v>
      </c>
      <c r="AP792" s="4"/>
      <c r="AQ792" s="4"/>
      <c r="AR792" s="4"/>
      <c r="AS792" s="4"/>
      <c r="AT792" s="4"/>
      <c r="AU792" s="4"/>
      <c r="AV792" s="4"/>
      <c r="AW792" s="4"/>
      <c r="AX792" s="4">
        <v>-0.255158880746224</v>
      </c>
      <c r="AY792" s="4">
        <v>0.0887141845167817</v>
      </c>
    </row>
    <row r="793" s="3" customFormat="1" spans="1:51">
      <c r="A793" s="4">
        <v>792</v>
      </c>
      <c r="B793" s="6">
        <v>124</v>
      </c>
      <c r="C793" s="24" t="s">
        <v>391</v>
      </c>
      <c r="D793" s="13" t="s">
        <v>392</v>
      </c>
      <c r="E793" s="25">
        <v>59.8166666</v>
      </c>
      <c r="F793" s="25">
        <v>17.666666</v>
      </c>
      <c r="G793" s="26">
        <v>12.5</v>
      </c>
      <c r="H793" s="27">
        <v>841</v>
      </c>
      <c r="I793" s="3"/>
      <c r="J793" s="13" t="s">
        <v>90</v>
      </c>
      <c r="K793" s="5" t="s">
        <v>78</v>
      </c>
      <c r="L793" s="3">
        <v>2018</v>
      </c>
      <c r="M793" s="3"/>
      <c r="N793" s="3"/>
      <c r="O793" s="28" t="s">
        <v>80</v>
      </c>
      <c r="P793" s="7">
        <v>6.3</v>
      </c>
      <c r="Q793" s="3">
        <v>11.1</v>
      </c>
      <c r="R793" s="3">
        <v>1.2</v>
      </c>
      <c r="S793" s="13">
        <v>9.25</v>
      </c>
      <c r="T793" s="8">
        <v>18</v>
      </c>
      <c r="U793" s="8">
        <v>16</v>
      </c>
      <c r="V793" s="8">
        <v>66</v>
      </c>
      <c r="W793" s="3">
        <v>17</v>
      </c>
      <c r="X793" s="5" t="s">
        <v>91</v>
      </c>
      <c r="Y793" s="13" t="s">
        <v>82</v>
      </c>
      <c r="Z793" s="3">
        <v>4</v>
      </c>
      <c r="AA793" s="3">
        <v>4</v>
      </c>
      <c r="AB793" s="9">
        <v>1e-7</v>
      </c>
      <c r="AC793" s="9">
        <v>0.00795750339520145</v>
      </c>
      <c r="AD793" s="25"/>
      <c r="AE793" s="25"/>
      <c r="AF793" s="9"/>
      <c r="AG793" s="9"/>
      <c r="AH793" s="25"/>
      <c r="AI793" s="25"/>
      <c r="AJ793" s="4"/>
      <c r="AK793" s="4"/>
      <c r="AL793" s="3"/>
      <c r="AM793" s="3"/>
      <c r="AN793" s="4"/>
      <c r="AO793" s="4"/>
      <c r="AP793" s="3"/>
      <c r="AQ793" s="3"/>
      <c r="AR793" s="4"/>
      <c r="AS793" s="4"/>
      <c r="AT793" s="3"/>
      <c r="AU793" s="3"/>
      <c r="AV793" s="4"/>
      <c r="AW793" s="4"/>
      <c r="AX793" s="3">
        <v>0.0610876919798389</v>
      </c>
      <c r="AY793" s="3">
        <v>0.0335482446119215</v>
      </c>
    </row>
    <row r="794" s="3" customFormat="1" spans="1:51">
      <c r="A794" s="4">
        <v>793</v>
      </c>
      <c r="B794" s="6">
        <v>124</v>
      </c>
      <c r="C794" s="24" t="s">
        <v>391</v>
      </c>
      <c r="D794" s="13" t="s">
        <v>392</v>
      </c>
      <c r="E794" s="25">
        <v>59.8166666</v>
      </c>
      <c r="F794" s="25">
        <v>17.666666</v>
      </c>
      <c r="G794" s="26">
        <v>12.5</v>
      </c>
      <c r="H794" s="27">
        <v>841</v>
      </c>
      <c r="I794" s="3"/>
      <c r="J794" s="13" t="s">
        <v>90</v>
      </c>
      <c r="K794" s="5" t="s">
        <v>78</v>
      </c>
      <c r="L794" s="3">
        <v>2018</v>
      </c>
      <c r="M794" s="3"/>
      <c r="N794" s="3"/>
      <c r="O794" s="28" t="s">
        <v>80</v>
      </c>
      <c r="P794" s="7">
        <v>6.3</v>
      </c>
      <c r="Q794" s="3">
        <v>11.1</v>
      </c>
      <c r="R794" s="3">
        <v>1.2</v>
      </c>
      <c r="S794" s="13">
        <v>9.25</v>
      </c>
      <c r="T794" s="8">
        <v>18</v>
      </c>
      <c r="U794" s="8">
        <v>16</v>
      </c>
      <c r="V794" s="8">
        <v>66</v>
      </c>
      <c r="W794" s="3">
        <v>17</v>
      </c>
      <c r="X794" s="5" t="s">
        <v>91</v>
      </c>
      <c r="Y794" s="13" t="s">
        <v>82</v>
      </c>
      <c r="Z794" s="3">
        <v>4</v>
      </c>
      <c r="AA794" s="3">
        <v>4</v>
      </c>
      <c r="AB794" s="9">
        <v>0.243787878894556</v>
      </c>
      <c r="AC794" s="9">
        <v>0.0143484032365432</v>
      </c>
      <c r="AD794" s="25"/>
      <c r="AE794" s="25"/>
      <c r="AF794" s="9"/>
      <c r="AG794" s="9"/>
      <c r="AH794" s="25"/>
      <c r="AI794" s="25"/>
      <c r="AJ794" s="4"/>
      <c r="AK794" s="4"/>
      <c r="AL794" s="3"/>
      <c r="AM794" s="3"/>
      <c r="AN794" s="4"/>
      <c r="AO794" s="4"/>
      <c r="AP794" s="3"/>
      <c r="AQ794" s="3"/>
      <c r="AR794" s="4"/>
      <c r="AS794" s="4"/>
      <c r="AT794" s="3"/>
      <c r="AU794" s="3"/>
      <c r="AV794" s="4"/>
      <c r="AW794" s="4"/>
      <c r="AX794" s="3">
        <v>0.160027639834742</v>
      </c>
      <c r="AY794" s="3">
        <v>0.0239135501032981</v>
      </c>
    </row>
    <row r="795" s="3" customFormat="1" spans="1:49">
      <c r="A795" s="4">
        <v>794</v>
      </c>
      <c r="B795" s="6">
        <v>124</v>
      </c>
      <c r="C795" s="24" t="s">
        <v>391</v>
      </c>
      <c r="D795" s="13" t="s">
        <v>392</v>
      </c>
      <c r="E795" s="25">
        <v>59.8166666</v>
      </c>
      <c r="F795" s="25">
        <v>17.666666</v>
      </c>
      <c r="G795" s="26">
        <v>12.5</v>
      </c>
      <c r="H795" s="27">
        <v>841</v>
      </c>
      <c r="I795" s="3"/>
      <c r="J795" s="13" t="s">
        <v>90</v>
      </c>
      <c r="K795" s="5" t="s">
        <v>78</v>
      </c>
      <c r="L795" s="3">
        <v>2018</v>
      </c>
      <c r="M795" s="3"/>
      <c r="N795" s="3"/>
      <c r="O795" s="28" t="s">
        <v>80</v>
      </c>
      <c r="P795" s="7">
        <v>6.3</v>
      </c>
      <c r="Q795" s="3">
        <v>11.1</v>
      </c>
      <c r="R795" s="3">
        <v>1.2</v>
      </c>
      <c r="S795" s="13">
        <v>9.25</v>
      </c>
      <c r="T795" s="8">
        <v>18</v>
      </c>
      <c r="U795" s="8">
        <v>16</v>
      </c>
      <c r="V795" s="8">
        <v>66</v>
      </c>
      <c r="W795" s="3">
        <v>17</v>
      </c>
      <c r="X795" s="5" t="s">
        <v>91</v>
      </c>
      <c r="Y795" s="13" t="s">
        <v>82</v>
      </c>
      <c r="Z795" s="3">
        <v>4</v>
      </c>
      <c r="AA795" s="3">
        <v>4</v>
      </c>
      <c r="AB795" s="9">
        <v>0.36407989194531</v>
      </c>
      <c r="AC795" s="9">
        <v>0.00332586986048869</v>
      </c>
      <c r="AD795" s="25"/>
      <c r="AE795" s="25"/>
      <c r="AF795" s="9"/>
      <c r="AG795" s="9"/>
      <c r="AH795" s="25"/>
      <c r="AI795" s="25"/>
      <c r="AJ795" s="4"/>
      <c r="AK795" s="4"/>
      <c r="AL795" s="3"/>
      <c r="AM795" s="3"/>
      <c r="AN795" s="4"/>
      <c r="AO795" s="4"/>
      <c r="AP795" s="3"/>
      <c r="AQ795" s="3"/>
      <c r="AR795" s="4"/>
      <c r="AS795" s="4"/>
      <c r="AT795" s="3"/>
      <c r="AU795" s="3"/>
      <c r="AV795" s="4"/>
      <c r="AW795" s="4"/>
    </row>
    <row r="796" s="3" customFormat="1" spans="1:49">
      <c r="A796" s="4">
        <v>795</v>
      </c>
      <c r="B796" s="6">
        <v>124</v>
      </c>
      <c r="C796" s="24" t="s">
        <v>391</v>
      </c>
      <c r="D796" s="13" t="s">
        <v>392</v>
      </c>
      <c r="E796" s="25">
        <v>59.8166666</v>
      </c>
      <c r="F796" s="25">
        <v>17.666666</v>
      </c>
      <c r="G796" s="26">
        <v>12.5</v>
      </c>
      <c r="H796" s="27">
        <v>841</v>
      </c>
      <c r="I796" s="3"/>
      <c r="J796" s="13" t="s">
        <v>90</v>
      </c>
      <c r="K796" s="5" t="s">
        <v>78</v>
      </c>
      <c r="L796" s="3">
        <v>2018</v>
      </c>
      <c r="M796" s="3"/>
      <c r="N796" s="3"/>
      <c r="O796" s="28" t="s">
        <v>80</v>
      </c>
      <c r="P796" s="7">
        <v>6.3</v>
      </c>
      <c r="Q796" s="3">
        <v>11.1</v>
      </c>
      <c r="R796" s="3">
        <v>1.2</v>
      </c>
      <c r="S796" s="13">
        <v>9.25</v>
      </c>
      <c r="T796" s="8">
        <v>18</v>
      </c>
      <c r="U796" s="8">
        <v>16</v>
      </c>
      <c r="V796" s="8">
        <v>66</v>
      </c>
      <c r="W796" s="3">
        <v>17</v>
      </c>
      <c r="X796" s="5" t="s">
        <v>91</v>
      </c>
      <c r="Y796" s="13" t="s">
        <v>82</v>
      </c>
      <c r="Z796" s="3">
        <v>4</v>
      </c>
      <c r="AA796" s="3">
        <v>4</v>
      </c>
      <c r="AB796" s="9">
        <v>0.182321556793955</v>
      </c>
      <c r="AC796" s="9">
        <v>0.00184027777777778</v>
      </c>
      <c r="AD796" s="25"/>
      <c r="AE796" s="25"/>
      <c r="AF796" s="9"/>
      <c r="AG796" s="9"/>
      <c r="AH796" s="25"/>
      <c r="AI796" s="25"/>
      <c r="AJ796" s="4"/>
      <c r="AK796" s="4"/>
      <c r="AL796" s="3"/>
      <c r="AM796" s="3"/>
      <c r="AN796" s="4"/>
      <c r="AO796" s="4"/>
      <c r="AP796" s="3"/>
      <c r="AQ796" s="3"/>
      <c r="AR796" s="4"/>
      <c r="AS796" s="4"/>
      <c r="AT796" s="3"/>
      <c r="AU796" s="3"/>
      <c r="AV796" s="4"/>
      <c r="AW796" s="4"/>
    </row>
    <row r="797" s="3" customFormat="1" spans="1:49">
      <c r="A797" s="4">
        <v>796</v>
      </c>
      <c r="B797" s="6">
        <v>124</v>
      </c>
      <c r="C797" s="24" t="s">
        <v>391</v>
      </c>
      <c r="D797" s="13" t="s">
        <v>392</v>
      </c>
      <c r="E797" s="25">
        <v>59.8166666</v>
      </c>
      <c r="F797" s="25">
        <v>17.666666</v>
      </c>
      <c r="G797" s="26">
        <v>12.5</v>
      </c>
      <c r="H797" s="27">
        <v>841</v>
      </c>
      <c r="I797" s="3"/>
      <c r="J797" s="13" t="s">
        <v>90</v>
      </c>
      <c r="K797" s="5" t="s">
        <v>78</v>
      </c>
      <c r="L797" s="3">
        <v>2018</v>
      </c>
      <c r="M797" s="3"/>
      <c r="N797" s="3"/>
      <c r="O797" s="28" t="s">
        <v>80</v>
      </c>
      <c r="P797" s="7">
        <v>6.3</v>
      </c>
      <c r="Q797" s="3">
        <v>11.1</v>
      </c>
      <c r="R797" s="3">
        <v>1.2</v>
      </c>
      <c r="S797" s="13">
        <v>9.25</v>
      </c>
      <c r="T797" s="8">
        <v>18</v>
      </c>
      <c r="U797" s="8">
        <v>16</v>
      </c>
      <c r="V797" s="8">
        <v>66</v>
      </c>
      <c r="W797" s="3">
        <v>17</v>
      </c>
      <c r="X797" s="5" t="s">
        <v>91</v>
      </c>
      <c r="Y797" s="13" t="s">
        <v>82</v>
      </c>
      <c r="Z797" s="3">
        <v>4</v>
      </c>
      <c r="AA797" s="3">
        <v>4</v>
      </c>
      <c r="AB797" s="9">
        <v>0.21161235371502</v>
      </c>
      <c r="AC797" s="9">
        <v>0.00812857545984521</v>
      </c>
      <c r="AD797" s="25"/>
      <c r="AE797" s="25"/>
      <c r="AF797" s="9"/>
      <c r="AG797" s="9"/>
      <c r="AH797" s="25"/>
      <c r="AI797" s="25"/>
      <c r="AJ797" s="4"/>
      <c r="AK797" s="4"/>
      <c r="AL797" s="3"/>
      <c r="AM797" s="3"/>
      <c r="AN797" s="4"/>
      <c r="AO797" s="4"/>
      <c r="AP797" s="3"/>
      <c r="AQ797" s="3"/>
      <c r="AR797" s="4"/>
      <c r="AS797" s="4"/>
      <c r="AT797" s="3"/>
      <c r="AU797" s="3"/>
      <c r="AV797" s="4"/>
      <c r="AW797" s="4"/>
    </row>
    <row r="798" s="3" customFormat="1" spans="1:49">
      <c r="A798" s="4">
        <v>797</v>
      </c>
      <c r="B798" s="6">
        <v>124</v>
      </c>
      <c r="C798" s="24" t="s">
        <v>391</v>
      </c>
      <c r="D798" s="13" t="s">
        <v>392</v>
      </c>
      <c r="E798" s="25">
        <v>59.8166666</v>
      </c>
      <c r="F798" s="25">
        <v>17.666666</v>
      </c>
      <c r="G798" s="26">
        <v>12.5</v>
      </c>
      <c r="H798" s="27">
        <v>841</v>
      </c>
      <c r="I798" s="3"/>
      <c r="J798" s="13" t="s">
        <v>90</v>
      </c>
      <c r="K798" s="5" t="s">
        <v>78</v>
      </c>
      <c r="L798" s="3">
        <v>2018</v>
      </c>
      <c r="M798" s="3"/>
      <c r="N798" s="3"/>
      <c r="O798" s="28" t="s">
        <v>80</v>
      </c>
      <c r="P798" s="7">
        <v>6.3</v>
      </c>
      <c r="Q798" s="3">
        <v>11.1</v>
      </c>
      <c r="R798" s="3">
        <v>1.2</v>
      </c>
      <c r="S798" s="13">
        <v>9.25</v>
      </c>
      <c r="T798" s="8">
        <v>18</v>
      </c>
      <c r="U798" s="8">
        <v>16</v>
      </c>
      <c r="V798" s="8">
        <v>66</v>
      </c>
      <c r="W798" s="3">
        <v>17</v>
      </c>
      <c r="X798" s="5" t="s">
        <v>91</v>
      </c>
      <c r="Y798" s="13" t="s">
        <v>82</v>
      </c>
      <c r="Z798" s="3">
        <v>4</v>
      </c>
      <c r="AA798" s="3">
        <v>4</v>
      </c>
      <c r="AB798" s="9">
        <v>0.207260505141207</v>
      </c>
      <c r="AC798" s="9">
        <v>0.00865980491704351</v>
      </c>
      <c r="AD798" s="25"/>
      <c r="AE798" s="25"/>
      <c r="AF798" s="9"/>
      <c r="AG798" s="9"/>
      <c r="AH798" s="25"/>
      <c r="AI798" s="25"/>
      <c r="AJ798" s="4"/>
      <c r="AK798" s="4"/>
      <c r="AL798" s="3"/>
      <c r="AM798" s="3"/>
      <c r="AN798" s="4"/>
      <c r="AO798" s="4"/>
      <c r="AP798" s="3"/>
      <c r="AQ798" s="3"/>
      <c r="AR798" s="4"/>
      <c r="AS798" s="4"/>
      <c r="AT798" s="3"/>
      <c r="AU798" s="3"/>
      <c r="AV798" s="4"/>
      <c r="AW798" s="4"/>
    </row>
    <row r="799" s="4" customFormat="1" spans="1:45">
      <c r="A799" s="4">
        <v>798</v>
      </c>
      <c r="B799" s="18">
        <v>125</v>
      </c>
      <c r="C799" s="19" t="s">
        <v>393</v>
      </c>
      <c r="D799" s="5" t="s">
        <v>394</v>
      </c>
      <c r="E799" s="9">
        <v>43.22578</v>
      </c>
      <c r="F799" s="9">
        <v>5.35059</v>
      </c>
      <c r="G799" s="20">
        <v>16</v>
      </c>
      <c r="H799" s="21">
        <v>500</v>
      </c>
      <c r="I799" s="4"/>
      <c r="J799" s="13" t="s">
        <v>188</v>
      </c>
      <c r="K799" s="5" t="s">
        <v>182</v>
      </c>
      <c r="L799" s="4">
        <v>2018</v>
      </c>
      <c r="M799" s="4">
        <v>11</v>
      </c>
      <c r="N799" s="5" t="s">
        <v>108</v>
      </c>
      <c r="O799" s="36" t="s">
        <v>80</v>
      </c>
      <c r="P799" s="29">
        <v>6.93</v>
      </c>
      <c r="Q799" s="4">
        <v>171.36</v>
      </c>
      <c r="R799" s="4">
        <v>5.15</v>
      </c>
      <c r="S799" s="13">
        <v>33.273786407767</v>
      </c>
      <c r="T799" s="34">
        <v>21.18</v>
      </c>
      <c r="U799" s="34">
        <v>57.06</v>
      </c>
      <c r="V799" s="34">
        <v>21.76</v>
      </c>
      <c r="W799" s="4"/>
      <c r="X799" s="4"/>
      <c r="Y799" s="5" t="s">
        <v>82</v>
      </c>
      <c r="Z799" s="4">
        <v>5</v>
      </c>
      <c r="AA799" s="4">
        <v>5</v>
      </c>
      <c r="AB799" s="9">
        <v>-0.768006494864162</v>
      </c>
      <c r="AC799" s="9">
        <v>0.18663522778014</v>
      </c>
      <c r="AD799" s="9"/>
      <c r="AE799" s="9"/>
      <c r="AF799" s="9"/>
      <c r="AG799" s="9"/>
      <c r="AH799" s="9">
        <v>-0.640850654750104</v>
      </c>
      <c r="AI799" s="9">
        <v>0.00277802843214032</v>
      </c>
      <c r="AJ799" s="4">
        <v>-0.12715584011406</v>
      </c>
      <c r="AK799" s="4">
        <v>0.189413256212281</v>
      </c>
      <c r="AL799" s="4"/>
      <c r="AM799" s="4"/>
      <c r="AN799" s="4">
        <v>0.0669706261061837</v>
      </c>
      <c r="AO799" s="4">
        <v>0.00068887517726767</v>
      </c>
      <c r="AP799" s="4">
        <v>-0.0315608049122176</v>
      </c>
      <c r="AQ799" s="4">
        <v>0.0136080038100134</v>
      </c>
      <c r="AR799" s="4">
        <v>-0.22314355131421</v>
      </c>
      <c r="AS799" s="4">
        <v>0.04</v>
      </c>
    </row>
    <row r="800" s="3" customFormat="1" spans="1:49">
      <c r="A800" s="4">
        <v>799</v>
      </c>
      <c r="B800" s="6">
        <v>126</v>
      </c>
      <c r="C800" s="13" t="s">
        <v>179</v>
      </c>
      <c r="D800" s="42" t="s">
        <v>395</v>
      </c>
      <c r="E800" s="45">
        <v>37.5</v>
      </c>
      <c r="F800" s="45">
        <v>103.083</v>
      </c>
      <c r="G800" s="39">
        <v>7.8</v>
      </c>
      <c r="H800" s="40">
        <v>160</v>
      </c>
      <c r="I800" s="3"/>
      <c r="J800" s="13" t="s">
        <v>90</v>
      </c>
      <c r="K800" s="5" t="s">
        <v>78</v>
      </c>
      <c r="L800" s="3">
        <v>2013</v>
      </c>
      <c r="M800" s="3">
        <v>9</v>
      </c>
      <c r="N800" s="13" t="s">
        <v>108</v>
      </c>
      <c r="O800" s="28" t="s">
        <v>80</v>
      </c>
      <c r="P800" s="7">
        <v>8.42</v>
      </c>
      <c r="Q800" s="3">
        <v>5.1794</v>
      </c>
      <c r="R800" s="3">
        <v>0.87</v>
      </c>
      <c r="S800" s="13">
        <v>5.95333333333333</v>
      </c>
      <c r="T800" s="21">
        <v>18</v>
      </c>
      <c r="U800" s="21">
        <v>33</v>
      </c>
      <c r="V800" s="21">
        <v>49</v>
      </c>
      <c r="W800" s="6">
        <v>0.416666666666667</v>
      </c>
      <c r="X800" s="5" t="s">
        <v>81</v>
      </c>
      <c r="Y800" s="13" t="s">
        <v>82</v>
      </c>
      <c r="Z800" s="3">
        <v>3</v>
      </c>
      <c r="AA800" s="3">
        <v>3</v>
      </c>
      <c r="AB800" s="9">
        <v>-0.0578069773540505</v>
      </c>
      <c r="AC800" s="9">
        <v>0.0139413612712888</v>
      </c>
      <c r="AD800" s="25">
        <v>-0.1387068114445</v>
      </c>
      <c r="AE800" s="25">
        <v>0.00247293460922958</v>
      </c>
      <c r="AF800" s="9">
        <v>-0.0808998340904467</v>
      </c>
      <c r="AG800" s="9">
        <v>0.0164142958805184</v>
      </c>
      <c r="AH800" s="25"/>
      <c r="AI800" s="25"/>
      <c r="AJ800" s="4"/>
      <c r="AK800" s="4"/>
      <c r="AL800" s="3"/>
      <c r="AM800" s="3"/>
      <c r="AN800" s="4"/>
      <c r="AO800" s="4"/>
      <c r="AP800" s="3"/>
      <c r="AQ800" s="3"/>
      <c r="AR800" s="4"/>
      <c r="AS800" s="4"/>
      <c r="AT800" s="3"/>
      <c r="AU800" s="3"/>
      <c r="AV800" s="4"/>
      <c r="AW800" s="4"/>
    </row>
    <row r="801" s="3" customFormat="1" spans="1:49">
      <c r="A801" s="4">
        <v>800</v>
      </c>
      <c r="B801" s="6">
        <v>126</v>
      </c>
      <c r="C801" s="13" t="s">
        <v>179</v>
      </c>
      <c r="D801" s="42" t="s">
        <v>395</v>
      </c>
      <c r="E801" s="45">
        <v>37.5</v>
      </c>
      <c r="F801" s="45">
        <v>103.083</v>
      </c>
      <c r="G801" s="39">
        <v>7.8</v>
      </c>
      <c r="H801" s="40">
        <v>160</v>
      </c>
      <c r="I801" s="3"/>
      <c r="J801" s="13" t="s">
        <v>90</v>
      </c>
      <c r="K801" s="5" t="s">
        <v>78</v>
      </c>
      <c r="L801" s="3">
        <v>2013</v>
      </c>
      <c r="M801" s="3">
        <v>9</v>
      </c>
      <c r="N801" s="13" t="s">
        <v>108</v>
      </c>
      <c r="O801" s="28" t="s">
        <v>136</v>
      </c>
      <c r="P801" s="7">
        <v>8.42</v>
      </c>
      <c r="Q801" s="3">
        <v>5.1794</v>
      </c>
      <c r="R801" s="3">
        <v>0.87</v>
      </c>
      <c r="S801" s="13">
        <v>5.95333333333333</v>
      </c>
      <c r="T801" s="21">
        <v>18</v>
      </c>
      <c r="U801" s="21">
        <v>33</v>
      </c>
      <c r="V801" s="21">
        <v>49</v>
      </c>
      <c r="W801" s="6">
        <v>0.416666666666667</v>
      </c>
      <c r="X801" s="5" t="s">
        <v>81</v>
      </c>
      <c r="Y801" s="13" t="s">
        <v>82</v>
      </c>
      <c r="Z801" s="3">
        <v>3</v>
      </c>
      <c r="AA801" s="3">
        <v>3</v>
      </c>
      <c r="AB801" s="9">
        <v>-0.0219752546183694</v>
      </c>
      <c r="AC801" s="9">
        <v>0.00872385607315646</v>
      </c>
      <c r="AD801" s="25">
        <v>0.217641182617719</v>
      </c>
      <c r="AE801" s="25">
        <v>0.00163718147411747</v>
      </c>
      <c r="AF801" s="9">
        <v>0.23961643723609</v>
      </c>
      <c r="AG801" s="9">
        <v>0.0103610375472739</v>
      </c>
      <c r="AH801" s="25"/>
      <c r="AI801" s="25"/>
      <c r="AJ801" s="4"/>
      <c r="AK801" s="4"/>
      <c r="AL801" s="3"/>
      <c r="AM801" s="3"/>
      <c r="AN801" s="4"/>
      <c r="AO801" s="4"/>
      <c r="AP801" s="3"/>
      <c r="AQ801" s="3"/>
      <c r="AR801" s="4"/>
      <c r="AS801" s="4"/>
      <c r="AT801" s="3"/>
      <c r="AU801" s="3"/>
      <c r="AV801" s="4"/>
      <c r="AW801" s="4"/>
    </row>
    <row r="802" s="3" customFormat="1" spans="1:49">
      <c r="A802" s="4">
        <v>801</v>
      </c>
      <c r="B802" s="6">
        <v>126</v>
      </c>
      <c r="C802" s="13" t="s">
        <v>179</v>
      </c>
      <c r="D802" s="42" t="s">
        <v>395</v>
      </c>
      <c r="E802" s="45">
        <v>37.5</v>
      </c>
      <c r="F802" s="45">
        <v>103.083</v>
      </c>
      <c r="G802" s="39">
        <v>7.8</v>
      </c>
      <c r="H802" s="40">
        <v>160</v>
      </c>
      <c r="I802" s="3"/>
      <c r="J802" s="13" t="s">
        <v>90</v>
      </c>
      <c r="K802" s="5" t="s">
        <v>78</v>
      </c>
      <c r="L802" s="3">
        <v>2013</v>
      </c>
      <c r="M802" s="3">
        <v>9</v>
      </c>
      <c r="N802" s="13" t="s">
        <v>108</v>
      </c>
      <c r="O802" s="28" t="s">
        <v>80</v>
      </c>
      <c r="P802" s="7">
        <v>8.42</v>
      </c>
      <c r="Q802" s="3">
        <v>5.1794</v>
      </c>
      <c r="R802" s="3">
        <v>0.87</v>
      </c>
      <c r="S802" s="13">
        <v>5.95333333333333</v>
      </c>
      <c r="T802" s="21">
        <v>18</v>
      </c>
      <c r="U802" s="21">
        <v>33</v>
      </c>
      <c r="V802" s="21">
        <v>49</v>
      </c>
      <c r="W802" s="6">
        <v>0.416666666666667</v>
      </c>
      <c r="X802" s="5" t="s">
        <v>81</v>
      </c>
      <c r="Y802" s="13" t="s">
        <v>82</v>
      </c>
      <c r="Z802" s="3">
        <v>3</v>
      </c>
      <c r="AA802" s="3">
        <v>3</v>
      </c>
      <c r="AB802" s="9">
        <v>0.00116706900931192</v>
      </c>
      <c r="AC802" s="9">
        <v>0.00200273395163957</v>
      </c>
      <c r="AD802" s="25">
        <v>-0.200214267959076</v>
      </c>
      <c r="AE802" s="25">
        <v>0.00575618523445941</v>
      </c>
      <c r="AF802" s="9">
        <v>-0.201381336968387</v>
      </c>
      <c r="AG802" s="9">
        <v>0.007758919186099</v>
      </c>
      <c r="AH802" s="25"/>
      <c r="AI802" s="25"/>
      <c r="AJ802" s="4"/>
      <c r="AK802" s="4"/>
      <c r="AL802" s="3"/>
      <c r="AM802" s="3"/>
      <c r="AN802" s="4"/>
      <c r="AO802" s="4"/>
      <c r="AP802" s="3"/>
      <c r="AQ802" s="3"/>
      <c r="AR802" s="4"/>
      <c r="AS802" s="4"/>
      <c r="AT802" s="3"/>
      <c r="AU802" s="3"/>
      <c r="AV802" s="4"/>
      <c r="AW802" s="4"/>
    </row>
    <row r="803" s="3" customFormat="1" spans="1:49">
      <c r="A803" s="4">
        <v>802</v>
      </c>
      <c r="B803" s="6">
        <v>126</v>
      </c>
      <c r="C803" s="13" t="s">
        <v>179</v>
      </c>
      <c r="D803" s="42" t="s">
        <v>395</v>
      </c>
      <c r="E803" s="45">
        <v>37.5</v>
      </c>
      <c r="F803" s="45">
        <v>103.083</v>
      </c>
      <c r="G803" s="39">
        <v>7.8</v>
      </c>
      <c r="H803" s="40">
        <v>160</v>
      </c>
      <c r="I803" s="3"/>
      <c r="J803" s="13" t="s">
        <v>90</v>
      </c>
      <c r="K803" s="5" t="s">
        <v>78</v>
      </c>
      <c r="L803" s="3">
        <v>2013</v>
      </c>
      <c r="M803" s="3">
        <v>9</v>
      </c>
      <c r="N803" s="13" t="s">
        <v>108</v>
      </c>
      <c r="O803" s="28" t="s">
        <v>136</v>
      </c>
      <c r="P803" s="7">
        <v>8.42</v>
      </c>
      <c r="Q803" s="3">
        <v>5.1794</v>
      </c>
      <c r="R803" s="3">
        <v>0.87</v>
      </c>
      <c r="S803" s="13">
        <v>5.95333333333333</v>
      </c>
      <c r="T803" s="21">
        <v>18</v>
      </c>
      <c r="U803" s="21">
        <v>33</v>
      </c>
      <c r="V803" s="21">
        <v>49</v>
      </c>
      <c r="W803" s="6">
        <v>0.416666666666667</v>
      </c>
      <c r="X803" s="5" t="s">
        <v>81</v>
      </c>
      <c r="Y803" s="13" t="s">
        <v>82</v>
      </c>
      <c r="Z803" s="3">
        <v>3</v>
      </c>
      <c r="AA803" s="3">
        <v>3</v>
      </c>
      <c r="AB803" s="9">
        <v>-0.0847819351361198</v>
      </c>
      <c r="AC803" s="9">
        <v>0.0139869838053127</v>
      </c>
      <c r="AD803" s="25">
        <v>0.106738892809028</v>
      </c>
      <c r="AE803" s="25">
        <v>0.00287734361700254</v>
      </c>
      <c r="AF803" s="9">
        <v>0.191520827945149</v>
      </c>
      <c r="AG803" s="9">
        <v>0.0168643274223152</v>
      </c>
      <c r="AH803" s="25"/>
      <c r="AI803" s="25"/>
      <c r="AJ803" s="4"/>
      <c r="AK803" s="4"/>
      <c r="AL803" s="3"/>
      <c r="AM803" s="3"/>
      <c r="AN803" s="4"/>
      <c r="AO803" s="4"/>
      <c r="AP803" s="3"/>
      <c r="AQ803" s="3"/>
      <c r="AR803" s="4"/>
      <c r="AS803" s="4"/>
      <c r="AT803" s="3"/>
      <c r="AU803" s="3"/>
      <c r="AV803" s="4"/>
      <c r="AW803" s="4"/>
    </row>
    <row r="804" s="4" customFormat="1" spans="1:43">
      <c r="A804" s="4">
        <v>803</v>
      </c>
      <c r="B804" s="18">
        <v>127</v>
      </c>
      <c r="C804" s="5" t="s">
        <v>179</v>
      </c>
      <c r="D804" s="19" t="s">
        <v>396</v>
      </c>
      <c r="E804" s="4">
        <v>25.10625</v>
      </c>
      <c r="F804" s="4">
        <v>110.21875</v>
      </c>
      <c r="G804" s="20">
        <v>18</v>
      </c>
      <c r="H804" s="21">
        <v>1890.4</v>
      </c>
      <c r="I804" s="4">
        <v>155</v>
      </c>
      <c r="J804" s="13" t="s">
        <v>193</v>
      </c>
      <c r="K804" s="5" t="s">
        <v>182</v>
      </c>
      <c r="L804" s="4">
        <v>2020</v>
      </c>
      <c r="M804" s="4">
        <v>9</v>
      </c>
      <c r="N804" s="5" t="s">
        <v>108</v>
      </c>
      <c r="O804" s="36" t="s">
        <v>80</v>
      </c>
      <c r="P804" s="29">
        <v>7.48</v>
      </c>
      <c r="Q804" s="4">
        <v>25.02</v>
      </c>
      <c r="R804" s="4">
        <v>2.41</v>
      </c>
      <c r="S804" s="13">
        <v>10.3817427385892</v>
      </c>
      <c r="T804" s="34">
        <v>26.6</v>
      </c>
      <c r="U804" s="34">
        <v>53.95</v>
      </c>
      <c r="V804" s="34">
        <v>19.46</v>
      </c>
      <c r="W804" s="4"/>
      <c r="X804" s="4"/>
      <c r="Y804" s="5" t="s">
        <v>82</v>
      </c>
      <c r="Z804" s="4">
        <v>3</v>
      </c>
      <c r="AA804" s="4">
        <v>3</v>
      </c>
      <c r="AB804" s="9">
        <v>-0.161641351556416</v>
      </c>
      <c r="AC804" s="9">
        <v>0.000391181818703326</v>
      </c>
      <c r="AD804" s="9">
        <v>-0.117783035656383</v>
      </c>
      <c r="AE804" s="9">
        <v>0.00116007073806219</v>
      </c>
      <c r="AF804" s="9">
        <v>0.0438583159000303</v>
      </c>
      <c r="AG804" s="9">
        <v>0.00155125255676552</v>
      </c>
      <c r="AH804" s="9">
        <v>-0.154417168836164</v>
      </c>
      <c r="AI804" s="9">
        <v>0.00694155213105653</v>
      </c>
      <c r="AJ804" s="4">
        <v>-0.00722418272025281</v>
      </c>
      <c r="AK804" s="4">
        <v>0.00733273394975986</v>
      </c>
      <c r="AL804" s="4">
        <v>0.0366341331797802</v>
      </c>
      <c r="AM804" s="4">
        <v>0.00810162286911872</v>
      </c>
      <c r="AN804" s="4">
        <v>-0.0312313231198025</v>
      </c>
      <c r="AO804" s="4">
        <v>0.000376217392046544</v>
      </c>
      <c r="AP804" s="4">
        <v>-0.156920764701074</v>
      </c>
      <c r="AQ804" s="4">
        <v>0.0143562530821345</v>
      </c>
    </row>
    <row r="805" s="4" customFormat="1" spans="1:51">
      <c r="A805" s="4">
        <v>804</v>
      </c>
      <c r="B805" s="18">
        <v>127</v>
      </c>
      <c r="C805" s="5" t="s">
        <v>179</v>
      </c>
      <c r="D805" s="19" t="s">
        <v>397</v>
      </c>
      <c r="E805" s="4">
        <v>25.10625</v>
      </c>
      <c r="F805" s="4">
        <v>110.21875</v>
      </c>
      <c r="G805" s="20">
        <v>18</v>
      </c>
      <c r="H805" s="21">
        <v>1890.4</v>
      </c>
      <c r="I805" s="4">
        <v>155</v>
      </c>
      <c r="J805" s="13" t="s">
        <v>193</v>
      </c>
      <c r="K805" s="5" t="s">
        <v>182</v>
      </c>
      <c r="L805" s="4">
        <v>2020</v>
      </c>
      <c r="M805" s="4">
        <v>9</v>
      </c>
      <c r="N805" s="5" t="s">
        <v>108</v>
      </c>
      <c r="O805" s="28" t="s">
        <v>136</v>
      </c>
      <c r="P805" s="29">
        <v>7.58</v>
      </c>
      <c r="Q805" s="4">
        <v>21.56</v>
      </c>
      <c r="R805" s="4">
        <v>2.19</v>
      </c>
      <c r="S805" s="13">
        <v>9.84474885844749</v>
      </c>
      <c r="T805" s="34">
        <v>27.24</v>
      </c>
      <c r="U805" s="34">
        <v>51.06</v>
      </c>
      <c r="V805" s="34">
        <v>21.7</v>
      </c>
      <c r="W805" s="4"/>
      <c r="X805" s="4"/>
      <c r="Y805" s="5" t="s">
        <v>82</v>
      </c>
      <c r="Z805" s="4">
        <v>3</v>
      </c>
      <c r="AA805" s="4">
        <v>3</v>
      </c>
      <c r="AB805" s="9">
        <v>-0.149774305227459</v>
      </c>
      <c r="AC805" s="9">
        <v>0.000816369967524946</v>
      </c>
      <c r="AD805" s="9">
        <v>-0.290923566375952</v>
      </c>
      <c r="AE805" s="9">
        <v>0.00288050039119029</v>
      </c>
      <c r="AF805" s="9">
        <v>-0.141149261148493</v>
      </c>
      <c r="AG805" s="9">
        <v>0.00369687035871524</v>
      </c>
      <c r="AH805" s="9">
        <v>-0.349544318188566</v>
      </c>
      <c r="AI805" s="9">
        <v>0.00694155213105653</v>
      </c>
      <c r="AJ805" s="4">
        <v>0.199770012961109</v>
      </c>
      <c r="AK805" s="4">
        <v>0.00775792209858148</v>
      </c>
      <c r="AL805" s="4">
        <v>0.0586207518126128</v>
      </c>
      <c r="AM805" s="4">
        <v>0.00982205252224681</v>
      </c>
      <c r="AN805" s="4">
        <v>-0.0486582467495454</v>
      </c>
      <c r="AO805" s="4">
        <v>0.000376217392046544</v>
      </c>
      <c r="AP805" s="4">
        <v>-0.121213570753173</v>
      </c>
      <c r="AQ805" s="4">
        <v>0.0143562530821345</v>
      </c>
      <c r="AR805" s="4"/>
      <c r="AS805" s="4"/>
      <c r="AT805" s="4"/>
      <c r="AU805" s="4"/>
      <c r="AV805" s="4"/>
      <c r="AW805" s="4"/>
      <c r="AX805" s="4">
        <v>-0.609289849837885</v>
      </c>
      <c r="AY805" s="4">
        <v>0.0163860322421537</v>
      </c>
    </row>
    <row r="806" s="4" customFormat="1" spans="1:43">
      <c r="A806" s="4">
        <v>805</v>
      </c>
      <c r="B806" s="18">
        <v>127</v>
      </c>
      <c r="C806" s="5" t="s">
        <v>179</v>
      </c>
      <c r="D806" s="19" t="s">
        <v>398</v>
      </c>
      <c r="E806" s="4">
        <v>25.10625</v>
      </c>
      <c r="F806" s="4">
        <v>110.21875</v>
      </c>
      <c r="G806" s="20">
        <v>18</v>
      </c>
      <c r="H806" s="21">
        <v>1890.4</v>
      </c>
      <c r="I806" s="4">
        <v>155</v>
      </c>
      <c r="J806" s="13" t="s">
        <v>193</v>
      </c>
      <c r="K806" s="5" t="s">
        <v>182</v>
      </c>
      <c r="L806" s="4">
        <v>2020</v>
      </c>
      <c r="M806" s="4">
        <v>9</v>
      </c>
      <c r="N806" s="5" t="s">
        <v>108</v>
      </c>
      <c r="O806" s="28" t="s">
        <v>136</v>
      </c>
      <c r="P806" s="29">
        <v>7.63</v>
      </c>
      <c r="Q806" s="4">
        <v>15.39</v>
      </c>
      <c r="R806" s="4">
        <v>1.93</v>
      </c>
      <c r="S806" s="13">
        <v>7.97409326424871</v>
      </c>
      <c r="T806" s="34">
        <v>28.5</v>
      </c>
      <c r="U806" s="34">
        <v>48.45</v>
      </c>
      <c r="V806" s="34">
        <v>23.05</v>
      </c>
      <c r="W806" s="4"/>
      <c r="X806" s="4"/>
      <c r="Y806" s="5" t="s">
        <v>82</v>
      </c>
      <c r="Z806" s="4">
        <v>3</v>
      </c>
      <c r="AA806" s="4">
        <v>3</v>
      </c>
      <c r="AB806" s="9">
        <v>-0.0639038019794802</v>
      </c>
      <c r="AC806" s="9">
        <v>0.000692973419623718</v>
      </c>
      <c r="AD806" s="9">
        <v>-0.219362828474304</v>
      </c>
      <c r="AE806" s="9">
        <v>0.00229236058874558</v>
      </c>
      <c r="AF806" s="9">
        <v>-0.155459026494822</v>
      </c>
      <c r="AG806" s="9">
        <v>0.0029853340083693</v>
      </c>
      <c r="AH806" s="9">
        <v>-0.203200786810735</v>
      </c>
      <c r="AI806" s="9">
        <v>0.0069415521310565</v>
      </c>
      <c r="AJ806" s="4">
        <v>0.139296984831254</v>
      </c>
      <c r="AK806" s="4">
        <v>0.00763452555068017</v>
      </c>
      <c r="AL806" s="4">
        <v>-0.0161620416635673</v>
      </c>
      <c r="AM806" s="4">
        <v>0.00923391271980206</v>
      </c>
      <c r="AN806" s="4">
        <v>-0.0360279125555807</v>
      </c>
      <c r="AO806" s="4">
        <v>0.000376217392046544</v>
      </c>
      <c r="AP806" s="4">
        <v>-0.0922061938667337</v>
      </c>
      <c r="AQ806" s="4">
        <v>0.0143562530821345</v>
      </c>
    </row>
    <row r="807" s="4" customFormat="1" spans="1:43">
      <c r="A807" s="4">
        <v>806</v>
      </c>
      <c r="B807" s="18">
        <v>127</v>
      </c>
      <c r="C807" s="5" t="s">
        <v>179</v>
      </c>
      <c r="D807" s="19" t="s">
        <v>399</v>
      </c>
      <c r="E807" s="4">
        <v>25.10625</v>
      </c>
      <c r="F807" s="4">
        <v>110.21875</v>
      </c>
      <c r="G807" s="20">
        <v>18</v>
      </c>
      <c r="H807" s="21">
        <v>1890.4</v>
      </c>
      <c r="I807" s="4">
        <v>155</v>
      </c>
      <c r="J807" s="13" t="s">
        <v>193</v>
      </c>
      <c r="K807" s="5" t="s">
        <v>182</v>
      </c>
      <c r="L807" s="4">
        <v>2020</v>
      </c>
      <c r="M807" s="4">
        <v>9</v>
      </c>
      <c r="N807" s="5" t="s">
        <v>108</v>
      </c>
      <c r="O807" s="36" t="s">
        <v>80</v>
      </c>
      <c r="P807" s="29">
        <v>7.48</v>
      </c>
      <c r="Q807" s="4">
        <v>25.02</v>
      </c>
      <c r="R807" s="4">
        <v>2.41</v>
      </c>
      <c r="S807" s="13">
        <v>10.3817427385892</v>
      </c>
      <c r="T807" s="34">
        <v>26.6</v>
      </c>
      <c r="U807" s="34">
        <v>53.95</v>
      </c>
      <c r="V807" s="34">
        <v>19.46</v>
      </c>
      <c r="W807" s="4"/>
      <c r="X807" s="4"/>
      <c r="Y807" s="5" t="s">
        <v>82</v>
      </c>
      <c r="Z807" s="4">
        <v>3</v>
      </c>
      <c r="AA807" s="4">
        <v>3</v>
      </c>
      <c r="AB807" s="9">
        <v>-0.358809416467365</v>
      </c>
      <c r="AC807" s="9">
        <v>0.00155980721277087</v>
      </c>
      <c r="AD807" s="9">
        <v>-0.343333327001158</v>
      </c>
      <c r="AE807" s="9">
        <v>0.0052282388621877</v>
      </c>
      <c r="AF807" s="9">
        <v>0.0154760894662064</v>
      </c>
      <c r="AG807" s="9">
        <v>0.00678804607495856</v>
      </c>
      <c r="AH807" s="9">
        <v>-0.442721325289344</v>
      </c>
      <c r="AI807" s="9">
        <v>0.00694155213105653</v>
      </c>
      <c r="AJ807" s="4">
        <v>0.083911908821976</v>
      </c>
      <c r="AK807" s="4">
        <v>0.00850135934382743</v>
      </c>
      <c r="AL807" s="4">
        <v>0.0993879982881838</v>
      </c>
      <c r="AM807" s="4">
        <v>0.0121697909932442</v>
      </c>
      <c r="AN807" s="4">
        <v>-0.15593480162076</v>
      </c>
      <c r="AO807" s="4">
        <v>0.000376217392046544</v>
      </c>
      <c r="AP807" s="4">
        <v>-0.508063191070081</v>
      </c>
      <c r="AQ807" s="4">
        <v>0.0143562530821345</v>
      </c>
    </row>
    <row r="808" s="4" customFormat="1" spans="1:43">
      <c r="A808" s="4">
        <v>807</v>
      </c>
      <c r="B808" s="18">
        <v>127</v>
      </c>
      <c r="C808" s="5" t="s">
        <v>179</v>
      </c>
      <c r="D808" s="19" t="s">
        <v>400</v>
      </c>
      <c r="E808" s="4">
        <v>25.10625</v>
      </c>
      <c r="F808" s="4">
        <v>110.21875</v>
      </c>
      <c r="G808" s="20">
        <v>18</v>
      </c>
      <c r="H808" s="21">
        <v>1890.4</v>
      </c>
      <c r="I808" s="4">
        <v>155</v>
      </c>
      <c r="J808" s="13" t="s">
        <v>193</v>
      </c>
      <c r="K808" s="5" t="s">
        <v>182</v>
      </c>
      <c r="L808" s="4">
        <v>2020</v>
      </c>
      <c r="M808" s="4">
        <v>9</v>
      </c>
      <c r="N808" s="5" t="s">
        <v>108</v>
      </c>
      <c r="O808" s="28" t="s">
        <v>136</v>
      </c>
      <c r="P808" s="29">
        <v>7.58</v>
      </c>
      <c r="Q808" s="4">
        <v>21.56</v>
      </c>
      <c r="R808" s="4">
        <v>2.19</v>
      </c>
      <c r="S808" s="13">
        <v>9.84474885844749</v>
      </c>
      <c r="T808" s="34">
        <v>27.24</v>
      </c>
      <c r="U808" s="34">
        <v>51.06</v>
      </c>
      <c r="V808" s="34">
        <v>21.7</v>
      </c>
      <c r="W808" s="4"/>
      <c r="X808" s="4"/>
      <c r="Y808" s="5" t="s">
        <v>82</v>
      </c>
      <c r="Z808" s="4">
        <v>3</v>
      </c>
      <c r="AA808" s="4">
        <v>3</v>
      </c>
      <c r="AB808" s="9">
        <v>-0.396110502940944</v>
      </c>
      <c r="AC808" s="9">
        <v>0.00156030946807559</v>
      </c>
      <c r="AD808" s="9">
        <v>-0.574285977683216</v>
      </c>
      <c r="AE808" s="9">
        <v>0.000522033001915416</v>
      </c>
      <c r="AF808" s="9">
        <v>-0.178175474742273</v>
      </c>
      <c r="AG808" s="9">
        <v>0.00208234246999101</v>
      </c>
      <c r="AH808" s="9">
        <v>-0.496701962524853</v>
      </c>
      <c r="AI808" s="9">
        <v>0.0069415521310565</v>
      </c>
      <c r="AJ808" s="4">
        <v>0.10059145958391</v>
      </c>
      <c r="AK808" s="4">
        <v>0.00850186159913215</v>
      </c>
      <c r="AL808" s="4">
        <v>-0.0775840151583646</v>
      </c>
      <c r="AM808" s="4">
        <v>0.00746358513297191</v>
      </c>
      <c r="AN808" s="4">
        <v>-0.15988388185977</v>
      </c>
      <c r="AO808" s="4">
        <v>0.000376217392046545</v>
      </c>
      <c r="AP808" s="4">
        <v>-0.483796951378071</v>
      </c>
      <c r="AQ808" s="4">
        <v>0.0143562530821345</v>
      </c>
    </row>
    <row r="809" s="4" customFormat="1" spans="1:43">
      <c r="A809" s="4">
        <v>808</v>
      </c>
      <c r="B809" s="18">
        <v>127</v>
      </c>
      <c r="C809" s="5" t="s">
        <v>179</v>
      </c>
      <c r="D809" s="19" t="s">
        <v>401</v>
      </c>
      <c r="E809" s="4">
        <v>25.10625</v>
      </c>
      <c r="F809" s="4">
        <v>110.21875</v>
      </c>
      <c r="G809" s="20">
        <v>18</v>
      </c>
      <c r="H809" s="21">
        <v>1890.4</v>
      </c>
      <c r="I809" s="4">
        <v>155</v>
      </c>
      <c r="J809" s="13" t="s">
        <v>193</v>
      </c>
      <c r="K809" s="5" t="s">
        <v>182</v>
      </c>
      <c r="L809" s="4">
        <v>2020</v>
      </c>
      <c r="M809" s="4">
        <v>9</v>
      </c>
      <c r="N809" s="5" t="s">
        <v>108</v>
      </c>
      <c r="O809" s="28" t="s">
        <v>136</v>
      </c>
      <c r="P809" s="29">
        <v>7.63</v>
      </c>
      <c r="Q809" s="4">
        <v>15.39</v>
      </c>
      <c r="R809" s="4">
        <v>1.93</v>
      </c>
      <c r="S809" s="13">
        <v>7.97409326424871</v>
      </c>
      <c r="T809" s="34">
        <v>28.5</v>
      </c>
      <c r="U809" s="34">
        <v>48.45</v>
      </c>
      <c r="V809" s="34">
        <v>23.05</v>
      </c>
      <c r="W809" s="4"/>
      <c r="X809" s="4"/>
      <c r="Y809" s="5" t="s">
        <v>82</v>
      </c>
      <c r="Z809" s="4">
        <v>3</v>
      </c>
      <c r="AA809" s="4">
        <v>3</v>
      </c>
      <c r="AB809" s="9">
        <v>-0.31015492830384</v>
      </c>
      <c r="AC809" s="9">
        <v>0.000960814077697195</v>
      </c>
      <c r="AD809" s="9">
        <v>-0.428454626332863</v>
      </c>
      <c r="AE809" s="9">
        <v>0.00771435945239967</v>
      </c>
      <c r="AF809" s="9">
        <v>-0.118299698029024</v>
      </c>
      <c r="AG809" s="9">
        <v>0.00867517353009688</v>
      </c>
      <c r="AH809" s="9">
        <v>-0.361606792208132</v>
      </c>
      <c r="AI809" s="9">
        <v>0.00694155213105653</v>
      </c>
      <c r="AJ809" s="4">
        <v>0.0514518639042866</v>
      </c>
      <c r="AK809" s="4">
        <v>0.00790236620875369</v>
      </c>
      <c r="AL809" s="4">
        <v>-0.06684783412473</v>
      </c>
      <c r="AM809" s="4">
        <v>0.0146559115834562</v>
      </c>
      <c r="AN809" s="4">
        <v>-0.161825314580367</v>
      </c>
      <c r="AO809" s="4">
        <v>0.000376217392046543</v>
      </c>
      <c r="AP809" s="4">
        <v>-0.47519844612284</v>
      </c>
      <c r="AQ809" s="4">
        <v>0.0143562530821344</v>
      </c>
    </row>
    <row r="810" s="4" customFormat="1" spans="1:51">
      <c r="A810" s="4">
        <v>809</v>
      </c>
      <c r="B810" s="18">
        <v>127</v>
      </c>
      <c r="C810" s="5" t="s">
        <v>179</v>
      </c>
      <c r="D810" s="19" t="s">
        <v>402</v>
      </c>
      <c r="E810" s="4">
        <v>25.10625</v>
      </c>
      <c r="F810" s="4">
        <v>110.21875</v>
      </c>
      <c r="G810" s="20">
        <v>18</v>
      </c>
      <c r="H810" s="21">
        <v>1890.4</v>
      </c>
      <c r="I810" s="4">
        <v>155</v>
      </c>
      <c r="J810" s="13" t="s">
        <v>193</v>
      </c>
      <c r="K810" s="5" t="s">
        <v>182</v>
      </c>
      <c r="L810" s="4">
        <v>2020</v>
      </c>
      <c r="M810" s="4">
        <v>9</v>
      </c>
      <c r="N810" s="5" t="s">
        <v>108</v>
      </c>
      <c r="O810" s="36" t="s">
        <v>80</v>
      </c>
      <c r="P810" s="29">
        <v>7.48</v>
      </c>
      <c r="Q810" s="4">
        <v>25.02</v>
      </c>
      <c r="R810" s="4">
        <v>2.41</v>
      </c>
      <c r="S810" s="13">
        <v>10.3817427385892</v>
      </c>
      <c r="T810" s="34">
        <v>26.6</v>
      </c>
      <c r="U810" s="34">
        <v>53.95</v>
      </c>
      <c r="V810" s="34">
        <v>19.46</v>
      </c>
      <c r="W810" s="4"/>
      <c r="X810" s="4"/>
      <c r="Y810" s="5" t="s">
        <v>82</v>
      </c>
      <c r="Z810" s="4">
        <v>3</v>
      </c>
      <c r="AA810" s="4">
        <v>3</v>
      </c>
      <c r="AB810" s="9">
        <v>-0.443492503697404</v>
      </c>
      <c r="AC810" s="9">
        <v>0.000543438454587407</v>
      </c>
      <c r="AD810" s="9">
        <v>-0.635039549752665</v>
      </c>
      <c r="AE810" s="9">
        <v>0.00463865335971493</v>
      </c>
      <c r="AF810" s="9">
        <v>-0.191547046055262</v>
      </c>
      <c r="AG810" s="9">
        <v>0.00518209181430233</v>
      </c>
      <c r="AH810" s="9">
        <v>-0.523023348888924</v>
      </c>
      <c r="AI810" s="9">
        <v>0.00694155213105652</v>
      </c>
      <c r="AJ810" s="4">
        <v>0.0795308451915168</v>
      </c>
      <c r="AK810" s="4">
        <v>0.00748499058564397</v>
      </c>
      <c r="AL810" s="4">
        <v>-0.112016200863742</v>
      </c>
      <c r="AM810" s="4">
        <v>0.0115802054907715</v>
      </c>
      <c r="AN810" s="4">
        <v>-0.18125260960505</v>
      </c>
      <c r="AO810" s="4">
        <v>0.000376217392046544</v>
      </c>
      <c r="AP810" s="4">
        <v>-0.624984529128983</v>
      </c>
      <c r="AQ810" s="4">
        <v>0.0143562530821345</v>
      </c>
      <c r="AR810" s="4"/>
      <c r="AS810" s="4"/>
      <c r="AT810" s="4"/>
      <c r="AU810" s="4"/>
      <c r="AV810" s="4"/>
      <c r="AW810" s="4"/>
      <c r="AX810" s="4">
        <v>0.00250359586491494</v>
      </c>
      <c r="AY810" s="4">
        <v>0.0212978052131909</v>
      </c>
    </row>
    <row r="811" s="4" customFormat="1" spans="1:51">
      <c r="A811" s="4">
        <v>810</v>
      </c>
      <c r="B811" s="18">
        <v>127</v>
      </c>
      <c r="C811" s="5" t="s">
        <v>179</v>
      </c>
      <c r="D811" s="19" t="s">
        <v>403</v>
      </c>
      <c r="E811" s="4">
        <v>25.10625</v>
      </c>
      <c r="F811" s="4">
        <v>110.21875</v>
      </c>
      <c r="G811" s="20">
        <v>18</v>
      </c>
      <c r="H811" s="21">
        <v>1890.4</v>
      </c>
      <c r="I811" s="4">
        <v>155</v>
      </c>
      <c r="J811" s="13" t="s">
        <v>193</v>
      </c>
      <c r="K811" s="5" t="s">
        <v>182</v>
      </c>
      <c r="L811" s="4">
        <v>2020</v>
      </c>
      <c r="M811" s="4">
        <v>9</v>
      </c>
      <c r="N811" s="5" t="s">
        <v>108</v>
      </c>
      <c r="O811" s="28" t="s">
        <v>136</v>
      </c>
      <c r="P811" s="29">
        <v>7.58</v>
      </c>
      <c r="Q811" s="4">
        <v>21.56</v>
      </c>
      <c r="R811" s="4">
        <v>2.19</v>
      </c>
      <c r="S811" s="13">
        <v>9.84474885844749</v>
      </c>
      <c r="T811" s="34">
        <v>27.24</v>
      </c>
      <c r="U811" s="34">
        <v>51.06</v>
      </c>
      <c r="V811" s="34">
        <v>21.7</v>
      </c>
      <c r="W811" s="4"/>
      <c r="X811" s="4"/>
      <c r="Y811" s="5" t="s">
        <v>82</v>
      </c>
      <c r="Z811" s="4">
        <v>3</v>
      </c>
      <c r="AA811" s="4">
        <v>3</v>
      </c>
      <c r="AB811" s="9">
        <v>-0.418710334858185</v>
      </c>
      <c r="AC811" s="9">
        <v>0.0030879002016319</v>
      </c>
      <c r="AD811" s="9">
        <v>-0.850539354311375</v>
      </c>
      <c r="AE811" s="9">
        <v>0.00443008716804979</v>
      </c>
      <c r="AF811" s="9">
        <v>-0.431829019453191</v>
      </c>
      <c r="AG811" s="9">
        <v>0.0075179873696817</v>
      </c>
      <c r="AH811" s="9">
        <v>-0.634598268234077</v>
      </c>
      <c r="AI811" s="9">
        <v>0.00694155213105647</v>
      </c>
      <c r="AJ811" s="4">
        <v>0.215887933375895</v>
      </c>
      <c r="AK811" s="4">
        <v>0.0100294523326884</v>
      </c>
      <c r="AL811" s="4">
        <v>-0.215941086077299</v>
      </c>
      <c r="AM811" s="4">
        <v>0.0113716392991063</v>
      </c>
      <c r="AN811" s="4">
        <v>-0.19293173590597</v>
      </c>
      <c r="AO811" s="4">
        <v>0.000376217392046545</v>
      </c>
      <c r="AP811" s="4">
        <v>-0.652873281422005</v>
      </c>
      <c r="AQ811" s="4">
        <v>0.0143562530821345</v>
      </c>
      <c r="AR811" s="4"/>
      <c r="AS811" s="4"/>
      <c r="AT811" s="4"/>
      <c r="AU811" s="4"/>
      <c r="AV811" s="4"/>
      <c r="AW811" s="4"/>
      <c r="AX811" s="4">
        <v>-0.228330747435393</v>
      </c>
      <c r="AY811" s="4">
        <v>0.021297805213191</v>
      </c>
    </row>
    <row r="812" s="4" customFormat="1" spans="1:51">
      <c r="A812" s="4">
        <v>811</v>
      </c>
      <c r="B812" s="18">
        <v>127</v>
      </c>
      <c r="C812" s="5" t="s">
        <v>179</v>
      </c>
      <c r="D812" s="19" t="s">
        <v>404</v>
      </c>
      <c r="E812" s="4">
        <v>25.10625</v>
      </c>
      <c r="F812" s="4">
        <v>110.21875</v>
      </c>
      <c r="G812" s="20">
        <v>18</v>
      </c>
      <c r="H812" s="21">
        <v>1890.4</v>
      </c>
      <c r="I812" s="4">
        <v>155</v>
      </c>
      <c r="J812" s="13" t="s">
        <v>193</v>
      </c>
      <c r="K812" s="5" t="s">
        <v>182</v>
      </c>
      <c r="L812" s="4">
        <v>2020</v>
      </c>
      <c r="M812" s="4">
        <v>9</v>
      </c>
      <c r="N812" s="5" t="s">
        <v>108</v>
      </c>
      <c r="O812" s="28" t="s">
        <v>136</v>
      </c>
      <c r="P812" s="29">
        <v>7.63</v>
      </c>
      <c r="Q812" s="4">
        <v>15.39</v>
      </c>
      <c r="R812" s="4">
        <v>1.93</v>
      </c>
      <c r="S812" s="13">
        <v>7.97409326424871</v>
      </c>
      <c r="T812" s="34">
        <v>28.5</v>
      </c>
      <c r="U812" s="34">
        <v>48.45</v>
      </c>
      <c r="V812" s="34">
        <v>23.05</v>
      </c>
      <c r="W812" s="4"/>
      <c r="X812" s="4"/>
      <c r="Y812" s="5" t="s">
        <v>82</v>
      </c>
      <c r="Z812" s="4">
        <v>3</v>
      </c>
      <c r="AA812" s="4">
        <v>3</v>
      </c>
      <c r="AB812" s="9">
        <v>-0.464305608131098</v>
      </c>
      <c r="AC812" s="9">
        <v>0.00182169562039692</v>
      </c>
      <c r="AD812" s="9">
        <v>-0.663294217410264</v>
      </c>
      <c r="AE812" s="9">
        <v>0.0153535459449269</v>
      </c>
      <c r="AF812" s="9">
        <v>-0.198988609279164</v>
      </c>
      <c r="AG812" s="9">
        <v>0.0171752415653237</v>
      </c>
      <c r="AH812" s="9">
        <v>-0.460561665547554</v>
      </c>
      <c r="AI812" s="9">
        <v>0.00694155213105652</v>
      </c>
      <c r="AJ812" s="4">
        <v>-0.00374394258354884</v>
      </c>
      <c r="AK812" s="4">
        <v>0.00876324775145339</v>
      </c>
      <c r="AL812" s="4">
        <v>-0.202732551862709</v>
      </c>
      <c r="AM812" s="4">
        <v>0.0222950980759834</v>
      </c>
      <c r="AN812" s="4">
        <v>-0.178919747939667</v>
      </c>
      <c r="AO812" s="4">
        <v>0.000376217392046545</v>
      </c>
      <c r="AP812" s="4">
        <v>-0.677722710234314</v>
      </c>
      <c r="AQ812" s="4">
        <v>0.0143562530821344</v>
      </c>
      <c r="AR812" s="4"/>
      <c r="AS812" s="4"/>
      <c r="AT812" s="4"/>
      <c r="AU812" s="4"/>
      <c r="AV812" s="4"/>
      <c r="AW812" s="4"/>
      <c r="AX812" s="4">
        <v>-0.110994592944002</v>
      </c>
      <c r="AY812" s="4">
        <v>0.0212978052131911</v>
      </c>
    </row>
    <row r="813" s="4" customFormat="1" spans="1:51">
      <c r="A813" s="4">
        <v>812</v>
      </c>
      <c r="B813" s="18">
        <v>127</v>
      </c>
      <c r="C813" s="5" t="s">
        <v>179</v>
      </c>
      <c r="D813" s="19" t="s">
        <v>405</v>
      </c>
      <c r="E813" s="4">
        <v>25.10625</v>
      </c>
      <c r="F813" s="4">
        <v>110.21875</v>
      </c>
      <c r="G813" s="20">
        <v>18</v>
      </c>
      <c r="H813" s="21">
        <v>1890.4</v>
      </c>
      <c r="I813" s="4">
        <v>155</v>
      </c>
      <c r="J813" s="13" t="s">
        <v>193</v>
      </c>
      <c r="K813" s="5" t="s">
        <v>182</v>
      </c>
      <c r="L813" s="4">
        <v>2020</v>
      </c>
      <c r="M813" s="4">
        <v>9</v>
      </c>
      <c r="N813" s="5" t="s">
        <v>108</v>
      </c>
      <c r="O813" s="36" t="s">
        <v>80</v>
      </c>
      <c r="P813" s="29">
        <v>7.48</v>
      </c>
      <c r="Q813" s="4">
        <v>25.02</v>
      </c>
      <c r="R813" s="4">
        <v>2.41</v>
      </c>
      <c r="S813" s="13">
        <v>10.3817427385892</v>
      </c>
      <c r="T813" s="34">
        <v>26.6</v>
      </c>
      <c r="U813" s="34">
        <v>53.95</v>
      </c>
      <c r="V813" s="34">
        <v>19.46</v>
      </c>
      <c r="W813" s="4"/>
      <c r="X813" s="4"/>
      <c r="Y813" s="5" t="s">
        <v>82</v>
      </c>
      <c r="Z813" s="4">
        <v>3</v>
      </c>
      <c r="AA813" s="4">
        <v>3</v>
      </c>
      <c r="AB813" s="9">
        <v>-0.643646536786915</v>
      </c>
      <c r="AC813" s="9">
        <v>0.000459119786690085</v>
      </c>
      <c r="AD813" s="9">
        <v>-0.83034830207343</v>
      </c>
      <c r="AE813" s="9">
        <v>0.00154300976469965</v>
      </c>
      <c r="AF813" s="9">
        <v>-0.186701765286518</v>
      </c>
      <c r="AG813" s="9">
        <v>0.00200212955138973</v>
      </c>
      <c r="AH813" s="9">
        <v>-0.816340508944576</v>
      </c>
      <c r="AI813" s="9">
        <v>0.00694155213105652</v>
      </c>
      <c r="AJ813" s="4">
        <v>0.17269397215766</v>
      </c>
      <c r="AK813" s="4">
        <v>0.00740067191774661</v>
      </c>
      <c r="AL813" s="4">
        <v>-0.0140077931288551</v>
      </c>
      <c r="AM813" s="4">
        <v>0.00848456189575617</v>
      </c>
      <c r="AN813" s="4">
        <v>-0.199038042038266</v>
      </c>
      <c r="AO813" s="4">
        <v>0.000376217392046544</v>
      </c>
      <c r="AP813" s="4">
        <v>-0.811968099028749</v>
      </c>
      <c r="AQ813" s="4">
        <v>0.0143562530821345</v>
      </c>
      <c r="AR813" s="4"/>
      <c r="AS813" s="4"/>
      <c r="AT813" s="4"/>
      <c r="AU813" s="4"/>
      <c r="AV813" s="4"/>
      <c r="AW813" s="4"/>
      <c r="AX813" s="4">
        <v>0.065341865780742</v>
      </c>
      <c r="AY813" s="4">
        <v>0.0212978052131909</v>
      </c>
    </row>
    <row r="814" s="4" customFormat="1" spans="1:51">
      <c r="A814" s="4">
        <v>813</v>
      </c>
      <c r="B814" s="18">
        <v>127</v>
      </c>
      <c r="C814" s="5" t="s">
        <v>179</v>
      </c>
      <c r="D814" s="19" t="s">
        <v>406</v>
      </c>
      <c r="E814" s="4">
        <v>25.10625</v>
      </c>
      <c r="F814" s="4">
        <v>110.21875</v>
      </c>
      <c r="G814" s="20">
        <v>18</v>
      </c>
      <c r="H814" s="21">
        <v>1890.4</v>
      </c>
      <c r="I814" s="4">
        <v>155</v>
      </c>
      <c r="J814" s="13" t="s">
        <v>193</v>
      </c>
      <c r="K814" s="5" t="s">
        <v>182</v>
      </c>
      <c r="L814" s="4">
        <v>2020</v>
      </c>
      <c r="M814" s="4">
        <v>9</v>
      </c>
      <c r="N814" s="5" t="s">
        <v>108</v>
      </c>
      <c r="O814" s="28" t="s">
        <v>136</v>
      </c>
      <c r="P814" s="29">
        <v>7.58</v>
      </c>
      <c r="Q814" s="4">
        <v>21.56</v>
      </c>
      <c r="R814" s="4">
        <v>2.19</v>
      </c>
      <c r="S814" s="13">
        <v>9.84474885844749</v>
      </c>
      <c r="T814" s="34">
        <v>27.24</v>
      </c>
      <c r="U814" s="34">
        <v>51.06</v>
      </c>
      <c r="V814" s="34">
        <v>21.7</v>
      </c>
      <c r="W814" s="4"/>
      <c r="X814" s="4"/>
      <c r="Y814" s="5" t="s">
        <v>82</v>
      </c>
      <c r="Z814" s="4">
        <v>3</v>
      </c>
      <c r="AA814" s="4">
        <v>3</v>
      </c>
      <c r="AB814" s="9">
        <v>-0.656242623624495</v>
      </c>
      <c r="AC814" s="9">
        <v>0.0037321574676553</v>
      </c>
      <c r="AD814" s="9">
        <v>-0.99714282850325</v>
      </c>
      <c r="AE814" s="9">
        <v>0.00220324178142097</v>
      </c>
      <c r="AF814" s="9">
        <v>-0.340900204878755</v>
      </c>
      <c r="AG814" s="9">
        <v>0.00593539924907626</v>
      </c>
      <c r="AH814" s="9">
        <v>-1.0639688971958</v>
      </c>
      <c r="AI814" s="9">
        <v>0.00694155213105651</v>
      </c>
      <c r="AJ814" s="4">
        <v>0.407726273571305</v>
      </c>
      <c r="AK814" s="4">
        <v>0.0106737095987118</v>
      </c>
      <c r="AL814" s="4">
        <v>0.0668260686925449</v>
      </c>
      <c r="AM814" s="4">
        <v>0.00914479391247748</v>
      </c>
      <c r="AN814" s="4">
        <v>-0.204194928184681</v>
      </c>
      <c r="AO814" s="4">
        <v>0.000376217392046545</v>
      </c>
      <c r="AP814" s="4">
        <v>-0.845776947546497</v>
      </c>
      <c r="AQ814" s="4">
        <v>0.0143562530821345</v>
      </c>
      <c r="AR814" s="4"/>
      <c r="AS814" s="4"/>
      <c r="AT814" s="4"/>
      <c r="AU814" s="4"/>
      <c r="AV814" s="4"/>
      <c r="AW814" s="4"/>
      <c r="AX814" s="4">
        <v>-0.0129050111467821</v>
      </c>
      <c r="AY814" s="4">
        <v>0.021297805213191</v>
      </c>
    </row>
    <row r="815" s="4" customFormat="1" spans="1:51">
      <c r="A815" s="4">
        <v>814</v>
      </c>
      <c r="B815" s="18">
        <v>127</v>
      </c>
      <c r="C815" s="5" t="s">
        <v>179</v>
      </c>
      <c r="D815" s="19" t="s">
        <v>407</v>
      </c>
      <c r="E815" s="4">
        <v>25.10625</v>
      </c>
      <c r="F815" s="4">
        <v>110.21875</v>
      </c>
      <c r="G815" s="20">
        <v>18</v>
      </c>
      <c r="H815" s="21">
        <v>1890.4</v>
      </c>
      <c r="I815" s="4">
        <v>155</v>
      </c>
      <c r="J815" s="13" t="s">
        <v>193</v>
      </c>
      <c r="K815" s="5" t="s">
        <v>182</v>
      </c>
      <c r="L815" s="4">
        <v>2020</v>
      </c>
      <c r="M815" s="4">
        <v>9</v>
      </c>
      <c r="N815" s="5" t="s">
        <v>108</v>
      </c>
      <c r="O815" s="28" t="s">
        <v>136</v>
      </c>
      <c r="P815" s="29">
        <v>7.63</v>
      </c>
      <c r="Q815" s="4">
        <v>15.39</v>
      </c>
      <c r="R815" s="4">
        <v>1.93</v>
      </c>
      <c r="S815" s="13">
        <v>7.97409326424871</v>
      </c>
      <c r="T815" s="34">
        <v>28.5</v>
      </c>
      <c r="U815" s="34">
        <v>48.45</v>
      </c>
      <c r="V815" s="34">
        <v>23.05</v>
      </c>
      <c r="W815" s="4"/>
      <c r="X815" s="4"/>
      <c r="Y815" s="5" t="s">
        <v>82</v>
      </c>
      <c r="Z815" s="4">
        <v>3</v>
      </c>
      <c r="AA815" s="4">
        <v>3</v>
      </c>
      <c r="AB815" s="9">
        <v>-0.664976303593249</v>
      </c>
      <c r="AC815" s="9">
        <v>0.000986557860455568</v>
      </c>
      <c r="AD815" s="9">
        <v>-0.78845736036427</v>
      </c>
      <c r="AE815" s="9">
        <v>0.00159473523109887</v>
      </c>
      <c r="AF815" s="9">
        <v>-0.123481056771019</v>
      </c>
      <c r="AG815" s="9">
        <v>0.00258129309155443</v>
      </c>
      <c r="AH815" s="9">
        <v>-1.03626915809397</v>
      </c>
      <c r="AI815" s="9">
        <v>0.00694155213105652</v>
      </c>
      <c r="AJ815" s="4">
        <v>0.371292854500723</v>
      </c>
      <c r="AK815" s="4">
        <v>0.00792810999151203</v>
      </c>
      <c r="AL815" s="4">
        <v>0.247811797729703</v>
      </c>
      <c r="AM815" s="4">
        <v>0.00853628736215539</v>
      </c>
      <c r="AN815" s="4">
        <v>-0.201107662915029</v>
      </c>
      <c r="AO815" s="4">
        <v>0.000376217392046544</v>
      </c>
      <c r="AP815" s="4">
        <v>-0.855970941640632</v>
      </c>
      <c r="AQ815" s="4">
        <v>0.0143562530821344</v>
      </c>
      <c r="AR815" s="4"/>
      <c r="AS815" s="4"/>
      <c r="AT815" s="4"/>
      <c r="AU815" s="4"/>
      <c r="AV815" s="4"/>
      <c r="AW815" s="4"/>
      <c r="AX815" s="4">
        <v>0.113591653914707</v>
      </c>
      <c r="AY815" s="4">
        <v>0.0212978052131911</v>
      </c>
    </row>
    <row r="816" s="3" customFormat="1" spans="1:51">
      <c r="A816" s="4">
        <v>815</v>
      </c>
      <c r="B816" s="6">
        <v>128</v>
      </c>
      <c r="C816" s="13" t="s">
        <v>179</v>
      </c>
      <c r="D816" s="13" t="s">
        <v>408</v>
      </c>
      <c r="E816" s="3">
        <v>26.875</v>
      </c>
      <c r="F816" s="3">
        <v>107.233333333333</v>
      </c>
      <c r="G816" s="26">
        <v>16</v>
      </c>
      <c r="H816" s="27">
        <v>1100</v>
      </c>
      <c r="I816" s="3">
        <v>1150</v>
      </c>
      <c r="J816" s="13" t="s">
        <v>237</v>
      </c>
      <c r="K816" s="5" t="s">
        <v>78</v>
      </c>
      <c r="L816" s="3">
        <v>2020</v>
      </c>
      <c r="M816" s="3">
        <v>10</v>
      </c>
      <c r="N816" s="13" t="s">
        <v>108</v>
      </c>
      <c r="O816" s="28" t="s">
        <v>80</v>
      </c>
      <c r="P816" s="20"/>
      <c r="Q816" s="5"/>
      <c r="R816" s="5"/>
      <c r="S816" s="13"/>
      <c r="T816" s="21">
        <v>19</v>
      </c>
      <c r="U816" s="21">
        <v>41</v>
      </c>
      <c r="V816" s="21">
        <v>40</v>
      </c>
      <c r="W816" s="3"/>
      <c r="X816" s="3"/>
      <c r="Y816" s="13" t="s">
        <v>82</v>
      </c>
      <c r="Z816" s="3">
        <v>3</v>
      </c>
      <c r="AA816" s="3">
        <v>3</v>
      </c>
      <c r="AB816" s="9">
        <v>0.162519620674888</v>
      </c>
      <c r="AC816" s="9">
        <v>0.00305142881257831</v>
      </c>
      <c r="AD816" s="25">
        <v>0.133530405231069</v>
      </c>
      <c r="AE816" s="25">
        <v>0.00699258445517037</v>
      </c>
      <c r="AF816" s="9">
        <v>-0.0289892154438187</v>
      </c>
      <c r="AG816" s="9">
        <v>0.0100440132677487</v>
      </c>
      <c r="AH816" s="25">
        <v>-0.381934208881449</v>
      </c>
      <c r="AI816" s="25">
        <v>0.0069415521310565</v>
      </c>
      <c r="AJ816" s="4">
        <v>0.544453829556336</v>
      </c>
      <c r="AK816" s="4">
        <v>0.00999298094363479</v>
      </c>
      <c r="AL816" s="3">
        <v>0.515464614112517</v>
      </c>
      <c r="AM816" s="3">
        <v>0.0139341365862269</v>
      </c>
      <c r="AN816" s="4"/>
      <c r="AO816" s="4"/>
      <c r="AP816" s="3"/>
      <c r="AQ816" s="3"/>
      <c r="AR816" s="4"/>
      <c r="AS816" s="4"/>
      <c r="AT816" s="3"/>
      <c r="AU816" s="3"/>
      <c r="AV816" s="4"/>
      <c r="AW816" s="4"/>
      <c r="AX816" s="3">
        <v>0.101961180240064</v>
      </c>
      <c r="AY816" s="3">
        <v>0.0212978052131909</v>
      </c>
    </row>
    <row r="817" s="3" customFormat="1" spans="1:51">
      <c r="A817" s="4">
        <v>816</v>
      </c>
      <c r="B817" s="6">
        <v>128</v>
      </c>
      <c r="C817" s="13" t="s">
        <v>179</v>
      </c>
      <c r="D817" s="13" t="s">
        <v>408</v>
      </c>
      <c r="E817" s="3">
        <v>26.875</v>
      </c>
      <c r="F817" s="3">
        <v>107.233333333333</v>
      </c>
      <c r="G817" s="26">
        <v>16</v>
      </c>
      <c r="H817" s="27">
        <v>1100</v>
      </c>
      <c r="I817" s="3">
        <v>1150</v>
      </c>
      <c r="J817" s="13" t="s">
        <v>237</v>
      </c>
      <c r="K817" s="5" t="s">
        <v>78</v>
      </c>
      <c r="L817" s="3">
        <v>2020</v>
      </c>
      <c r="M817" s="3">
        <v>10</v>
      </c>
      <c r="N817" s="13" t="s">
        <v>108</v>
      </c>
      <c r="O817" s="28" t="s">
        <v>136</v>
      </c>
      <c r="P817" s="20"/>
      <c r="Q817" s="5"/>
      <c r="R817" s="5"/>
      <c r="S817" s="13"/>
      <c r="T817" s="21">
        <v>19</v>
      </c>
      <c r="U817" s="21">
        <v>41</v>
      </c>
      <c r="V817" s="21">
        <v>40</v>
      </c>
      <c r="W817" s="3"/>
      <c r="X817" s="3"/>
      <c r="Y817" s="13" t="s">
        <v>82</v>
      </c>
      <c r="Z817" s="3">
        <v>3</v>
      </c>
      <c r="AA817" s="3">
        <v>3</v>
      </c>
      <c r="AB817" s="9">
        <v>0.0285711658762068</v>
      </c>
      <c r="AC817" s="9">
        <v>0.0138274720758213</v>
      </c>
      <c r="AD817" s="25">
        <v>-0.0851594282950112</v>
      </c>
      <c r="AE817" s="25">
        <v>0.000797285399748984</v>
      </c>
      <c r="AF817" s="9">
        <v>-0.113730594171218</v>
      </c>
      <c r="AG817" s="9">
        <v>0.0146247574755703</v>
      </c>
      <c r="AH817" s="25">
        <v>-0.578974683644214</v>
      </c>
      <c r="AI817" s="25">
        <v>0.00694155213105649</v>
      </c>
      <c r="AJ817" s="4">
        <v>0.60754584952042</v>
      </c>
      <c r="AK817" s="4">
        <v>0.0207690242068778</v>
      </c>
      <c r="AL817" s="3">
        <v>0.493815255349204</v>
      </c>
      <c r="AM817" s="3">
        <v>0.00773883753080546</v>
      </c>
      <c r="AN817" s="4"/>
      <c r="AO817" s="4"/>
      <c r="AP817" s="3"/>
      <c r="AQ817" s="3"/>
      <c r="AR817" s="4"/>
      <c r="AS817" s="4"/>
      <c r="AT817" s="3"/>
      <c r="AU817" s="3"/>
      <c r="AV817" s="4"/>
      <c r="AW817" s="4"/>
      <c r="AX817" s="3">
        <v>0.0182750131879295</v>
      </c>
      <c r="AY817" s="3">
        <v>0.021297805213191</v>
      </c>
    </row>
    <row r="818" s="3" customFormat="1" spans="1:51">
      <c r="A818" s="4">
        <v>817</v>
      </c>
      <c r="B818" s="6">
        <v>128</v>
      </c>
      <c r="C818" s="13" t="s">
        <v>179</v>
      </c>
      <c r="D818" s="13" t="s">
        <v>408</v>
      </c>
      <c r="E818" s="3">
        <v>26.875</v>
      </c>
      <c r="F818" s="3">
        <v>107.233333333333</v>
      </c>
      <c r="G818" s="26">
        <v>16</v>
      </c>
      <c r="H818" s="27">
        <v>1100</v>
      </c>
      <c r="I818" s="3">
        <v>1150</v>
      </c>
      <c r="J818" s="13" t="s">
        <v>237</v>
      </c>
      <c r="K818" s="5" t="s">
        <v>78</v>
      </c>
      <c r="L818" s="3">
        <v>2020</v>
      </c>
      <c r="M818" s="3">
        <v>10</v>
      </c>
      <c r="N818" s="13" t="s">
        <v>108</v>
      </c>
      <c r="O818" s="28" t="s">
        <v>136</v>
      </c>
      <c r="P818" s="20"/>
      <c r="Q818" s="5"/>
      <c r="R818" s="5"/>
      <c r="S818" s="13"/>
      <c r="T818" s="21">
        <v>19</v>
      </c>
      <c r="U818" s="21">
        <v>41</v>
      </c>
      <c r="V818" s="21">
        <v>40</v>
      </c>
      <c r="W818" s="3"/>
      <c r="X818" s="3"/>
      <c r="Y818" s="13" t="s">
        <v>82</v>
      </c>
      <c r="Z818" s="3">
        <v>3</v>
      </c>
      <c r="AA818" s="3">
        <v>3</v>
      </c>
      <c r="AB818" s="9">
        <v>-0.0377463536219416</v>
      </c>
      <c r="AC818" s="9">
        <v>0.00460848344393789</v>
      </c>
      <c r="AD818" s="25">
        <v>-0.417734861043141</v>
      </c>
      <c r="AE818" s="25">
        <v>0.0342210436950487</v>
      </c>
      <c r="AF818" s="9">
        <v>-0.379988507421201</v>
      </c>
      <c r="AG818" s="9">
        <v>0.0388295271389867</v>
      </c>
      <c r="AH818" s="25">
        <v>-0.536393125619894</v>
      </c>
      <c r="AI818" s="25">
        <v>0.0069415521310565</v>
      </c>
      <c r="AJ818" s="4">
        <v>0.498646771997954</v>
      </c>
      <c r="AK818" s="4">
        <v>0.0115500355749944</v>
      </c>
      <c r="AL818" s="3">
        <v>0.118658264576754</v>
      </c>
      <c r="AM818" s="3">
        <v>0.0411625958261052</v>
      </c>
      <c r="AN818" s="4"/>
      <c r="AO818" s="4"/>
      <c r="AP818" s="3"/>
      <c r="AQ818" s="3"/>
      <c r="AR818" s="4"/>
      <c r="AS818" s="4"/>
      <c r="AT818" s="3"/>
      <c r="AU818" s="3"/>
      <c r="AV818" s="4"/>
      <c r="AW818" s="4"/>
      <c r="AX818" s="3">
        <v>0.217161044686758</v>
      </c>
      <c r="AY818" s="3">
        <v>0.021297805213191</v>
      </c>
    </row>
    <row r="819" s="4" customFormat="1" spans="1:51">
      <c r="A819" s="4">
        <v>818</v>
      </c>
      <c r="B819" s="18">
        <v>129</v>
      </c>
      <c r="C819" s="5" t="s">
        <v>179</v>
      </c>
      <c r="D819" s="5" t="s">
        <v>409</v>
      </c>
      <c r="E819" s="46">
        <v>19.233</v>
      </c>
      <c r="F819" s="4">
        <v>109.267</v>
      </c>
      <c r="G819" s="20">
        <v>23.375</v>
      </c>
      <c r="H819" s="21">
        <v>1477</v>
      </c>
      <c r="I819" s="4"/>
      <c r="J819" s="13" t="s">
        <v>181</v>
      </c>
      <c r="K819" s="5" t="s">
        <v>182</v>
      </c>
      <c r="L819" s="4">
        <v>2008</v>
      </c>
      <c r="M819" s="4">
        <v>1</v>
      </c>
      <c r="N819" s="5" t="s">
        <v>79</v>
      </c>
      <c r="O819" s="36" t="s">
        <v>80</v>
      </c>
      <c r="P819" s="29">
        <v>5.43</v>
      </c>
      <c r="Q819" s="4">
        <v>24.99</v>
      </c>
      <c r="R819" s="5"/>
      <c r="S819" s="13"/>
      <c r="T819" s="34">
        <v>21.5148</v>
      </c>
      <c r="U819" s="34">
        <v>16.8852</v>
      </c>
      <c r="V819" s="34">
        <v>61.6</v>
      </c>
      <c r="W819" s="18"/>
      <c r="X819" s="4"/>
      <c r="Y819" s="5" t="s">
        <v>82</v>
      </c>
      <c r="Z819" s="4">
        <v>6</v>
      </c>
      <c r="AA819" s="4">
        <v>6</v>
      </c>
      <c r="AB819" s="9">
        <v>-0.35965557207687</v>
      </c>
      <c r="AC819" s="9">
        <v>0.0035637892884252</v>
      </c>
      <c r="AD819" s="9"/>
      <c r="AE819" s="9"/>
      <c r="AF819" s="9"/>
      <c r="AG819" s="9"/>
      <c r="AH819" s="9">
        <v>-0.476990767658414</v>
      </c>
      <c r="AI819" s="9">
        <v>0.0158226916049772</v>
      </c>
      <c r="AJ819" s="4">
        <v>0.117335195581541</v>
      </c>
      <c r="AK819" s="4">
        <v>0.0193864808934025</v>
      </c>
      <c r="AL819" s="4"/>
      <c r="AM819" s="4"/>
      <c r="AN819" s="4">
        <v>0.0272496424473755</v>
      </c>
      <c r="AO819" s="4">
        <v>0.000188108696023272</v>
      </c>
      <c r="AP819" s="4"/>
      <c r="AQ819" s="4"/>
      <c r="AR819" s="4"/>
      <c r="AS819" s="4"/>
      <c r="AT819" s="4"/>
      <c r="AU819" s="4"/>
      <c r="AV819" s="4"/>
      <c r="AW819" s="4"/>
      <c r="AX819" s="4">
        <v>-0.00437240991583032</v>
      </c>
      <c r="AY819" s="4">
        <v>0.0212978052131911</v>
      </c>
    </row>
    <row r="820" s="4" customFormat="1" spans="1:51">
      <c r="A820" s="4">
        <v>819</v>
      </c>
      <c r="B820" s="18">
        <v>129</v>
      </c>
      <c r="C820" s="5" t="s">
        <v>179</v>
      </c>
      <c r="D820" s="5" t="s">
        <v>409</v>
      </c>
      <c r="E820" s="46">
        <v>19.233</v>
      </c>
      <c r="F820" s="4">
        <v>109.267</v>
      </c>
      <c r="G820" s="20">
        <v>23.375</v>
      </c>
      <c r="H820" s="21">
        <v>1477</v>
      </c>
      <c r="I820" s="4"/>
      <c r="J820" s="13" t="s">
        <v>181</v>
      </c>
      <c r="K820" s="5" t="s">
        <v>182</v>
      </c>
      <c r="L820" s="4">
        <v>2008</v>
      </c>
      <c r="M820" s="4">
        <v>1</v>
      </c>
      <c r="N820" s="5" t="s">
        <v>79</v>
      </c>
      <c r="O820" s="36" t="s">
        <v>80</v>
      </c>
      <c r="P820" s="29">
        <v>5.43</v>
      </c>
      <c r="Q820" s="4">
        <v>24.99</v>
      </c>
      <c r="R820" s="5"/>
      <c r="S820" s="13"/>
      <c r="T820" s="34">
        <v>21.5148</v>
      </c>
      <c r="U820" s="34">
        <v>16.8852</v>
      </c>
      <c r="V820" s="34">
        <v>61.6</v>
      </c>
      <c r="W820" s="18"/>
      <c r="X820" s="4"/>
      <c r="Y820" s="5" t="s">
        <v>82</v>
      </c>
      <c r="Z820" s="4">
        <v>6</v>
      </c>
      <c r="AA820" s="4">
        <v>6</v>
      </c>
      <c r="AB820" s="9">
        <v>-0.238891908282349</v>
      </c>
      <c r="AC820" s="9">
        <v>0.00956632725964185</v>
      </c>
      <c r="AD820" s="9"/>
      <c r="AE820" s="9"/>
      <c r="AF820" s="9"/>
      <c r="AG820" s="9"/>
      <c r="AH820" s="9">
        <v>-0.32035630015987</v>
      </c>
      <c r="AI820" s="9">
        <v>0.0119210907542308</v>
      </c>
      <c r="AJ820" s="4">
        <v>0.0814643918775229</v>
      </c>
      <c r="AK820" s="4">
        <v>0.0214874180138726</v>
      </c>
      <c r="AL820" s="4"/>
      <c r="AM820" s="4"/>
      <c r="AN820" s="4">
        <v>0.140642329802466</v>
      </c>
      <c r="AO820" s="4">
        <v>0.000188108696023273</v>
      </c>
      <c r="AP820" s="4"/>
      <c r="AQ820" s="4"/>
      <c r="AR820" s="4"/>
      <c r="AS820" s="4"/>
      <c r="AT820" s="4"/>
      <c r="AU820" s="4"/>
      <c r="AV820" s="4"/>
      <c r="AW820" s="4"/>
      <c r="AX820" s="4">
        <v>-0.218191949649299</v>
      </c>
      <c r="AY820" s="4">
        <v>0.0212978052131911</v>
      </c>
    </row>
    <row r="821" s="4" customFormat="1" spans="1:51">
      <c r="A821" s="4">
        <v>820</v>
      </c>
      <c r="B821" s="18">
        <v>129</v>
      </c>
      <c r="C821" s="5" t="s">
        <v>179</v>
      </c>
      <c r="D821" s="5" t="s">
        <v>409</v>
      </c>
      <c r="E821" s="46">
        <v>19.233</v>
      </c>
      <c r="F821" s="4">
        <v>109.267</v>
      </c>
      <c r="G821" s="20">
        <v>23.375</v>
      </c>
      <c r="H821" s="21">
        <v>1477</v>
      </c>
      <c r="I821" s="4"/>
      <c r="J821" s="13" t="s">
        <v>181</v>
      </c>
      <c r="K821" s="5" t="s">
        <v>182</v>
      </c>
      <c r="L821" s="4">
        <v>2008</v>
      </c>
      <c r="M821" s="4">
        <v>1</v>
      </c>
      <c r="N821" s="5" t="s">
        <v>79</v>
      </c>
      <c r="O821" s="36" t="s">
        <v>80</v>
      </c>
      <c r="P821" s="29">
        <v>5.43</v>
      </c>
      <c r="Q821" s="4">
        <v>24.99</v>
      </c>
      <c r="R821" s="5"/>
      <c r="S821" s="13"/>
      <c r="T821" s="34">
        <v>21.5148</v>
      </c>
      <c r="U821" s="34">
        <v>16.8852</v>
      </c>
      <c r="V821" s="34">
        <v>61.6</v>
      </c>
      <c r="W821" s="18"/>
      <c r="X821" s="4"/>
      <c r="Y821" s="5" t="s">
        <v>82</v>
      </c>
      <c r="Z821" s="4">
        <v>6</v>
      </c>
      <c r="AA821" s="4">
        <v>6</v>
      </c>
      <c r="AB821" s="9">
        <v>-1.20397280432594</v>
      </c>
      <c r="AC821" s="9">
        <v>0.00829025205761317</v>
      </c>
      <c r="AD821" s="9"/>
      <c r="AE821" s="9"/>
      <c r="AF821" s="9"/>
      <c r="AG821" s="9"/>
      <c r="AH821" s="9">
        <v>-0.466089729924599</v>
      </c>
      <c r="AI821" s="9">
        <v>0.00974877748822785</v>
      </c>
      <c r="AJ821" s="4">
        <v>-0.737883074401337</v>
      </c>
      <c r="AK821" s="4">
        <v>0.018039029545841</v>
      </c>
      <c r="AL821" s="4"/>
      <c r="AM821" s="4"/>
      <c r="AN821" s="4">
        <v>0.0572607208634151</v>
      </c>
      <c r="AO821" s="4">
        <v>0.000188108696023272</v>
      </c>
      <c r="AP821" s="4"/>
      <c r="AQ821" s="4"/>
      <c r="AR821" s="4"/>
      <c r="AS821" s="4"/>
      <c r="AT821" s="4"/>
      <c r="AU821" s="4"/>
      <c r="AV821" s="4"/>
      <c r="AW821" s="4"/>
      <c r="AX821" s="4">
        <v>-0.180298216453343</v>
      </c>
      <c r="AY821" s="4">
        <v>0.0212978052131911</v>
      </c>
    </row>
    <row r="822" s="4" customFormat="1" spans="1:41">
      <c r="A822" s="4">
        <v>821</v>
      </c>
      <c r="B822" s="18">
        <v>129</v>
      </c>
      <c r="C822" s="5" t="s">
        <v>179</v>
      </c>
      <c r="D822" s="5" t="s">
        <v>409</v>
      </c>
      <c r="E822" s="46">
        <v>19.233</v>
      </c>
      <c r="F822" s="4">
        <v>109.267</v>
      </c>
      <c r="G822" s="20">
        <v>23.375</v>
      </c>
      <c r="H822" s="21">
        <v>1477</v>
      </c>
      <c r="I822" s="4"/>
      <c r="J822" s="13" t="s">
        <v>181</v>
      </c>
      <c r="K822" s="5" t="s">
        <v>182</v>
      </c>
      <c r="L822" s="4">
        <v>2008</v>
      </c>
      <c r="M822" s="4">
        <v>1</v>
      </c>
      <c r="N822" s="5" t="s">
        <v>79</v>
      </c>
      <c r="O822" s="36" t="s">
        <v>80</v>
      </c>
      <c r="P822" s="29">
        <v>5.43</v>
      </c>
      <c r="Q822" s="4">
        <v>24.99</v>
      </c>
      <c r="R822" s="5"/>
      <c r="S822" s="13"/>
      <c r="T822" s="34">
        <v>21.5148</v>
      </c>
      <c r="U822" s="34">
        <v>16.8852</v>
      </c>
      <c r="V822" s="34">
        <v>61.6</v>
      </c>
      <c r="W822" s="18"/>
      <c r="X822" s="4"/>
      <c r="Y822" s="5" t="s">
        <v>82</v>
      </c>
      <c r="Z822" s="4">
        <v>6</v>
      </c>
      <c r="AA822" s="4">
        <v>6</v>
      </c>
      <c r="AB822" s="9">
        <v>-0.826678573184468</v>
      </c>
      <c r="AC822" s="9">
        <v>0.0069879653250189</v>
      </c>
      <c r="AD822" s="9"/>
      <c r="AE822" s="9"/>
      <c r="AF822" s="9"/>
      <c r="AG822" s="9"/>
      <c r="AH822" s="9">
        <v>-0.620240409751858</v>
      </c>
      <c r="AI822" s="9">
        <v>0.00979122068078265</v>
      </c>
      <c r="AJ822" s="4">
        <v>-0.206438163432611</v>
      </c>
      <c r="AK822" s="4">
        <v>0.0167791860058015</v>
      </c>
      <c r="AL822" s="4"/>
      <c r="AM822" s="4"/>
      <c r="AN822" s="4">
        <v>0.126137643599584</v>
      </c>
      <c r="AO822" s="4">
        <v>0.000188108696023273</v>
      </c>
    </row>
    <row r="823" s="4" customFormat="1" spans="1:41">
      <c r="A823" s="4">
        <v>822</v>
      </c>
      <c r="B823" s="18">
        <v>129</v>
      </c>
      <c r="C823" s="5" t="s">
        <v>179</v>
      </c>
      <c r="D823" s="5" t="s">
        <v>409</v>
      </c>
      <c r="E823" s="46">
        <v>19.233</v>
      </c>
      <c r="F823" s="4">
        <v>109.267</v>
      </c>
      <c r="G823" s="20">
        <v>23.375</v>
      </c>
      <c r="H823" s="21">
        <v>1477</v>
      </c>
      <c r="I823" s="4"/>
      <c r="J823" s="13" t="s">
        <v>181</v>
      </c>
      <c r="K823" s="5" t="s">
        <v>182</v>
      </c>
      <c r="L823" s="4">
        <v>2008</v>
      </c>
      <c r="M823" s="4">
        <v>1</v>
      </c>
      <c r="N823" s="5" t="s">
        <v>79</v>
      </c>
      <c r="O823" s="28" t="s">
        <v>136</v>
      </c>
      <c r="P823" s="29">
        <v>5.43</v>
      </c>
      <c r="Q823" s="4">
        <v>17.66</v>
      </c>
      <c r="R823" s="5"/>
      <c r="S823" s="13"/>
      <c r="T823" s="34">
        <v>19.7731</v>
      </c>
      <c r="U823" s="34">
        <v>19.0269</v>
      </c>
      <c r="V823" s="34">
        <v>61.2</v>
      </c>
      <c r="W823" s="18"/>
      <c r="X823" s="4"/>
      <c r="Y823" s="5" t="s">
        <v>82</v>
      </c>
      <c r="Z823" s="4">
        <v>6</v>
      </c>
      <c r="AA823" s="4">
        <v>6</v>
      </c>
      <c r="AB823" s="9">
        <v>-0.494448594484668</v>
      </c>
      <c r="AC823" s="9">
        <v>0.022959953887961</v>
      </c>
      <c r="AD823" s="9"/>
      <c r="AE823" s="9"/>
      <c r="AF823" s="9"/>
      <c r="AG823" s="9"/>
      <c r="AH823" s="9">
        <v>-0.589940738633395</v>
      </c>
      <c r="AI823" s="9">
        <v>0.0111557746451601</v>
      </c>
      <c r="AJ823" s="4">
        <v>0.0954921441487262</v>
      </c>
      <c r="AK823" s="4">
        <v>0.0341157285331212</v>
      </c>
      <c r="AL823" s="4"/>
      <c r="AM823" s="4"/>
      <c r="AN823" s="4">
        <v>0.0272496424473755</v>
      </c>
      <c r="AO823" s="4">
        <v>0.000188108696023272</v>
      </c>
    </row>
    <row r="824" s="4" customFormat="1" spans="1:41">
      <c r="A824" s="4">
        <v>823</v>
      </c>
      <c r="B824" s="18">
        <v>129</v>
      </c>
      <c r="C824" s="5" t="s">
        <v>179</v>
      </c>
      <c r="D824" s="5" t="s">
        <v>409</v>
      </c>
      <c r="E824" s="46">
        <v>19.233</v>
      </c>
      <c r="F824" s="4">
        <v>109.267</v>
      </c>
      <c r="G824" s="20">
        <v>23.375</v>
      </c>
      <c r="H824" s="21">
        <v>1477</v>
      </c>
      <c r="I824" s="4"/>
      <c r="J824" s="13" t="s">
        <v>181</v>
      </c>
      <c r="K824" s="5" t="s">
        <v>182</v>
      </c>
      <c r="L824" s="4">
        <v>2008</v>
      </c>
      <c r="M824" s="4">
        <v>1</v>
      </c>
      <c r="N824" s="5" t="s">
        <v>79</v>
      </c>
      <c r="O824" s="28" t="s">
        <v>136</v>
      </c>
      <c r="P824" s="29">
        <v>5.43</v>
      </c>
      <c r="Q824" s="4">
        <v>17.66</v>
      </c>
      <c r="R824" s="5"/>
      <c r="S824" s="13"/>
      <c r="T824" s="34">
        <v>19.7731</v>
      </c>
      <c r="U824" s="34">
        <v>19.0269</v>
      </c>
      <c r="V824" s="34">
        <v>61.2</v>
      </c>
      <c r="W824" s="18"/>
      <c r="X824" s="4"/>
      <c r="Y824" s="5" t="s">
        <v>82</v>
      </c>
      <c r="Z824" s="4">
        <v>6</v>
      </c>
      <c r="AA824" s="4">
        <v>6</v>
      </c>
      <c r="AB824" s="9">
        <v>0.154592864225354</v>
      </c>
      <c r="AC824" s="9">
        <v>0.0167873065954615</v>
      </c>
      <c r="AD824" s="9"/>
      <c r="AE824" s="9"/>
      <c r="AF824" s="9"/>
      <c r="AG824" s="9"/>
      <c r="AH824" s="9">
        <v>-0.024069929940267</v>
      </c>
      <c r="AI824" s="9">
        <v>0.0133868964338303</v>
      </c>
      <c r="AJ824" s="4">
        <v>0.178662794165622</v>
      </c>
      <c r="AK824" s="4">
        <v>0.0301742030292918</v>
      </c>
      <c r="AL824" s="4"/>
      <c r="AM824" s="4"/>
      <c r="AN824" s="4">
        <v>0.140642329802466</v>
      </c>
      <c r="AO824" s="4">
        <v>0.000188108696023273</v>
      </c>
    </row>
    <row r="825" s="4" customFormat="1" spans="1:41">
      <c r="A825" s="4">
        <v>824</v>
      </c>
      <c r="B825" s="18">
        <v>129</v>
      </c>
      <c r="C825" s="5" t="s">
        <v>179</v>
      </c>
      <c r="D825" s="5" t="s">
        <v>409</v>
      </c>
      <c r="E825" s="46">
        <v>19.233</v>
      </c>
      <c r="F825" s="4">
        <v>109.267</v>
      </c>
      <c r="G825" s="20">
        <v>23.375</v>
      </c>
      <c r="H825" s="21">
        <v>1477</v>
      </c>
      <c r="I825" s="4"/>
      <c r="J825" s="13" t="s">
        <v>181</v>
      </c>
      <c r="K825" s="5" t="s">
        <v>182</v>
      </c>
      <c r="L825" s="4">
        <v>2008</v>
      </c>
      <c r="M825" s="4">
        <v>1</v>
      </c>
      <c r="N825" s="5" t="s">
        <v>79</v>
      </c>
      <c r="O825" s="28" t="s">
        <v>136</v>
      </c>
      <c r="P825" s="29">
        <v>5.43</v>
      </c>
      <c r="Q825" s="4">
        <v>17.66</v>
      </c>
      <c r="R825" s="5"/>
      <c r="S825" s="13"/>
      <c r="T825" s="34">
        <v>19.7731</v>
      </c>
      <c r="U825" s="34">
        <v>19.0269</v>
      </c>
      <c r="V825" s="34">
        <v>61.2</v>
      </c>
      <c r="W825" s="18"/>
      <c r="X825" s="4"/>
      <c r="Y825" s="5" t="s">
        <v>82</v>
      </c>
      <c r="Z825" s="4">
        <v>6</v>
      </c>
      <c r="AA825" s="4">
        <v>6</v>
      </c>
      <c r="AB825" s="9">
        <v>-1.06812212191032</v>
      </c>
      <c r="AC825" s="9">
        <v>0.0139239493549521</v>
      </c>
      <c r="AD825" s="9"/>
      <c r="AE825" s="9"/>
      <c r="AF825" s="9"/>
      <c r="AG825" s="9"/>
      <c r="AH825" s="9">
        <v>-0.24373924498629</v>
      </c>
      <c r="AI825" s="9">
        <v>0.0165710505094675</v>
      </c>
      <c r="AJ825" s="4">
        <v>-0.824382876924031</v>
      </c>
      <c r="AK825" s="4">
        <v>0.0304949998644196</v>
      </c>
      <c r="AL825" s="4"/>
      <c r="AM825" s="4"/>
      <c r="AN825" s="4">
        <v>0.0572607208634151</v>
      </c>
      <c r="AO825" s="4">
        <v>0.000188108696023272</v>
      </c>
    </row>
    <row r="826" s="4" customFormat="1" spans="1:41">
      <c r="A826" s="4">
        <v>825</v>
      </c>
      <c r="B826" s="18">
        <v>129</v>
      </c>
      <c r="C826" s="5" t="s">
        <v>179</v>
      </c>
      <c r="D826" s="5" t="s">
        <v>409</v>
      </c>
      <c r="E826" s="46">
        <v>19.233</v>
      </c>
      <c r="F826" s="4">
        <v>109.267</v>
      </c>
      <c r="G826" s="20">
        <v>23.375</v>
      </c>
      <c r="H826" s="21">
        <v>1477</v>
      </c>
      <c r="I826" s="4"/>
      <c r="J826" s="13" t="s">
        <v>181</v>
      </c>
      <c r="K826" s="5" t="s">
        <v>182</v>
      </c>
      <c r="L826" s="4">
        <v>2008</v>
      </c>
      <c r="M826" s="4">
        <v>1</v>
      </c>
      <c r="N826" s="5" t="s">
        <v>79</v>
      </c>
      <c r="O826" s="28" t="s">
        <v>136</v>
      </c>
      <c r="P826" s="29">
        <v>5.43</v>
      </c>
      <c r="Q826" s="4">
        <v>17.66</v>
      </c>
      <c r="R826" s="5"/>
      <c r="S826" s="13"/>
      <c r="T826" s="34">
        <v>19.7731</v>
      </c>
      <c r="U826" s="34">
        <v>19.0269</v>
      </c>
      <c r="V826" s="34">
        <v>61.2</v>
      </c>
      <c r="W826" s="18"/>
      <c r="X826" s="4"/>
      <c r="Y826" s="5" t="s">
        <v>82</v>
      </c>
      <c r="Z826" s="4">
        <v>6</v>
      </c>
      <c r="AA826" s="4">
        <v>6</v>
      </c>
      <c r="AB826" s="9">
        <v>-0.53062825106217</v>
      </c>
      <c r="AC826" s="9">
        <v>0.01354083396435</v>
      </c>
      <c r="AD826" s="9"/>
      <c r="AE826" s="9"/>
      <c r="AF826" s="9"/>
      <c r="AG826" s="9"/>
      <c r="AH826" s="9">
        <v>-0.401509183197862</v>
      </c>
      <c r="AI826" s="9">
        <v>0.0112675124061937</v>
      </c>
      <c r="AJ826" s="4">
        <v>-0.129119067864306</v>
      </c>
      <c r="AK826" s="4">
        <v>0.0248083463705436</v>
      </c>
      <c r="AL826" s="4"/>
      <c r="AM826" s="4"/>
      <c r="AN826" s="4">
        <v>0.126137643599584</v>
      </c>
      <c r="AO826" s="4">
        <v>0.000188108696023273</v>
      </c>
    </row>
    <row r="827" s="4" customFormat="1" spans="1:41">
      <c r="A827" s="4">
        <v>826</v>
      </c>
      <c r="B827" s="18">
        <v>129</v>
      </c>
      <c r="C827" s="5" t="s">
        <v>179</v>
      </c>
      <c r="D827" s="5" t="s">
        <v>409</v>
      </c>
      <c r="E827" s="46">
        <v>19.233</v>
      </c>
      <c r="F827" s="4">
        <v>109.267</v>
      </c>
      <c r="G827" s="20">
        <v>23.375</v>
      </c>
      <c r="H827" s="21">
        <v>1477</v>
      </c>
      <c r="I827" s="4"/>
      <c r="J827" s="13" t="s">
        <v>181</v>
      </c>
      <c r="K827" s="5" t="s">
        <v>182</v>
      </c>
      <c r="L827" s="4">
        <v>2008</v>
      </c>
      <c r="M827" s="4">
        <v>1</v>
      </c>
      <c r="N827" s="5" t="s">
        <v>79</v>
      </c>
      <c r="O827" s="28" t="s">
        <v>136</v>
      </c>
      <c r="P827" s="29">
        <v>5.43</v>
      </c>
      <c r="Q827" s="4">
        <v>12.53</v>
      </c>
      <c r="R827" s="5"/>
      <c r="S827" s="13"/>
      <c r="T827" s="34">
        <v>18.5093</v>
      </c>
      <c r="U827" s="34">
        <v>17.8907</v>
      </c>
      <c r="V827" s="34">
        <v>63.6</v>
      </c>
      <c r="W827" s="18"/>
      <c r="X827" s="4"/>
      <c r="Y827" s="5" t="s">
        <v>82</v>
      </c>
      <c r="Z827" s="4">
        <v>6</v>
      </c>
      <c r="AA827" s="4">
        <v>6</v>
      </c>
      <c r="AB827" s="9">
        <v>-0.453196510929354</v>
      </c>
      <c r="AC827" s="9">
        <v>0.0219036866800728</v>
      </c>
      <c r="AD827" s="9"/>
      <c r="AE827" s="9"/>
      <c r="AF827" s="9"/>
      <c r="AG827" s="9"/>
      <c r="AH827" s="9">
        <v>-0.671827778542351</v>
      </c>
      <c r="AI827" s="9">
        <v>0.0184697560860336</v>
      </c>
      <c r="AJ827" s="4">
        <v>0.218631267612995</v>
      </c>
      <c r="AK827" s="4">
        <v>0.0403734427661064</v>
      </c>
      <c r="AL827" s="4"/>
      <c r="AM827" s="4"/>
      <c r="AN827" s="4">
        <v>0.0272496424473755</v>
      </c>
      <c r="AO827" s="4">
        <v>0.000188108696023272</v>
      </c>
    </row>
    <row r="828" s="4" customFormat="1" spans="1:41">
      <c r="A828" s="4">
        <v>827</v>
      </c>
      <c r="B828" s="18">
        <v>129</v>
      </c>
      <c r="C828" s="5" t="s">
        <v>179</v>
      </c>
      <c r="D828" s="5" t="s">
        <v>409</v>
      </c>
      <c r="E828" s="46">
        <v>19.233</v>
      </c>
      <c r="F828" s="4">
        <v>109.267</v>
      </c>
      <c r="G828" s="20">
        <v>23.375</v>
      </c>
      <c r="H828" s="21">
        <v>1477</v>
      </c>
      <c r="I828" s="4"/>
      <c r="J828" s="13" t="s">
        <v>181</v>
      </c>
      <c r="K828" s="5" t="s">
        <v>182</v>
      </c>
      <c r="L828" s="4">
        <v>2008</v>
      </c>
      <c r="M828" s="4">
        <v>1</v>
      </c>
      <c r="N828" s="5" t="s">
        <v>79</v>
      </c>
      <c r="O828" s="28" t="s">
        <v>136</v>
      </c>
      <c r="P828" s="29">
        <v>5.43</v>
      </c>
      <c r="Q828" s="4">
        <v>12.53</v>
      </c>
      <c r="R828" s="5"/>
      <c r="S828" s="13"/>
      <c r="T828" s="34">
        <v>18.5093</v>
      </c>
      <c r="U828" s="34">
        <v>17.8907</v>
      </c>
      <c r="V828" s="34">
        <v>63.6</v>
      </c>
      <c r="W828" s="18"/>
      <c r="X828" s="4"/>
      <c r="Y828" s="5" t="s">
        <v>82</v>
      </c>
      <c r="Z828" s="4">
        <v>6</v>
      </c>
      <c r="AA828" s="4">
        <v>6</v>
      </c>
      <c r="AB828" s="9">
        <v>-0.819440905884237</v>
      </c>
      <c r="AC828" s="9">
        <v>0.0142222517688302</v>
      </c>
      <c r="AD828" s="9"/>
      <c r="AE828" s="9"/>
      <c r="AF828" s="9"/>
      <c r="AG828" s="9"/>
      <c r="AH828" s="9">
        <v>-1.09304124361865</v>
      </c>
      <c r="AI828" s="9">
        <v>0.00826590696826154</v>
      </c>
      <c r="AJ828" s="4">
        <v>0.273600337734417</v>
      </c>
      <c r="AK828" s="4">
        <v>0.0224881587370916</v>
      </c>
      <c r="AL828" s="4"/>
      <c r="AM828" s="4"/>
      <c r="AN828" s="4">
        <v>0.140642329802466</v>
      </c>
      <c r="AO828" s="4">
        <v>0.000188108696023273</v>
      </c>
    </row>
    <row r="829" s="4" customFormat="1" spans="1:41">
      <c r="A829" s="4">
        <v>828</v>
      </c>
      <c r="B829" s="18">
        <v>129</v>
      </c>
      <c r="C829" s="5" t="s">
        <v>179</v>
      </c>
      <c r="D829" s="5" t="s">
        <v>409</v>
      </c>
      <c r="E829" s="46">
        <v>19.233</v>
      </c>
      <c r="F829" s="4">
        <v>109.267</v>
      </c>
      <c r="G829" s="20">
        <v>23.375</v>
      </c>
      <c r="H829" s="21">
        <v>1477</v>
      </c>
      <c r="I829" s="4"/>
      <c r="J829" s="13" t="s">
        <v>181</v>
      </c>
      <c r="K829" s="5" t="s">
        <v>182</v>
      </c>
      <c r="L829" s="4">
        <v>2008</v>
      </c>
      <c r="M829" s="4">
        <v>1</v>
      </c>
      <c r="N829" s="5" t="s">
        <v>79</v>
      </c>
      <c r="O829" s="28" t="s">
        <v>136</v>
      </c>
      <c r="P829" s="29">
        <v>5.43</v>
      </c>
      <c r="Q829" s="4">
        <v>12.53</v>
      </c>
      <c r="R829" s="5"/>
      <c r="S829" s="13"/>
      <c r="T829" s="34">
        <v>18.5093</v>
      </c>
      <c r="U829" s="34">
        <v>17.8907</v>
      </c>
      <c r="V829" s="34">
        <v>63.6</v>
      </c>
      <c r="W829" s="18"/>
      <c r="X829" s="4"/>
      <c r="Y829" s="5" t="s">
        <v>82</v>
      </c>
      <c r="Z829" s="4">
        <v>6</v>
      </c>
      <c r="AA829" s="4">
        <v>6</v>
      </c>
      <c r="AB829" s="9">
        <v>-1.49353989147349</v>
      </c>
      <c r="AC829" s="9">
        <v>0.0309842847576805</v>
      </c>
      <c r="AD829" s="9"/>
      <c r="AE829" s="9"/>
      <c r="AF829" s="9"/>
      <c r="AG829" s="9"/>
      <c r="AH829" s="9">
        <v>-0.612674827337372</v>
      </c>
      <c r="AI829" s="9">
        <v>0.014623906220678</v>
      </c>
      <c r="AJ829" s="4">
        <v>-0.880865064136117</v>
      </c>
      <c r="AK829" s="4">
        <v>0.0456081909783584</v>
      </c>
      <c r="AL829" s="4"/>
      <c r="AM829" s="4"/>
      <c r="AN829" s="4">
        <v>0.0572607208634151</v>
      </c>
      <c r="AO829" s="4">
        <v>0.000188108696023272</v>
      </c>
    </row>
    <row r="830" s="4" customFormat="1" spans="1:41">
      <c r="A830" s="4">
        <v>829</v>
      </c>
      <c r="B830" s="18">
        <v>129</v>
      </c>
      <c r="C830" s="5" t="s">
        <v>179</v>
      </c>
      <c r="D830" s="5" t="s">
        <v>409</v>
      </c>
      <c r="E830" s="46">
        <v>19.233</v>
      </c>
      <c r="F830" s="4">
        <v>109.267</v>
      </c>
      <c r="G830" s="20">
        <v>23.375</v>
      </c>
      <c r="H830" s="21">
        <v>1477</v>
      </c>
      <c r="I830" s="4"/>
      <c r="J830" s="13" t="s">
        <v>181</v>
      </c>
      <c r="K830" s="5" t="s">
        <v>182</v>
      </c>
      <c r="L830" s="4">
        <v>2008</v>
      </c>
      <c r="M830" s="4">
        <v>1</v>
      </c>
      <c r="N830" s="5" t="s">
        <v>79</v>
      </c>
      <c r="O830" s="28" t="s">
        <v>136</v>
      </c>
      <c r="P830" s="29">
        <v>5.43</v>
      </c>
      <c r="Q830" s="4">
        <v>12.53</v>
      </c>
      <c r="R830" s="5"/>
      <c r="S830" s="13"/>
      <c r="T830" s="34">
        <v>18.5093</v>
      </c>
      <c r="U830" s="34">
        <v>17.8907</v>
      </c>
      <c r="V830" s="34">
        <v>63.6</v>
      </c>
      <c r="W830" s="18"/>
      <c r="X830" s="4"/>
      <c r="Y830" s="5" t="s">
        <v>82</v>
      </c>
      <c r="Z830" s="4">
        <v>6</v>
      </c>
      <c r="AA830" s="4">
        <v>6</v>
      </c>
      <c r="AB830" s="9">
        <v>-0.684708311914081</v>
      </c>
      <c r="AC830" s="9">
        <v>0.0274424621902769</v>
      </c>
      <c r="AD830" s="9"/>
      <c r="AE830" s="9"/>
      <c r="AF830" s="9"/>
      <c r="AG830" s="9"/>
      <c r="AH830" s="9">
        <v>-0.28105338584419</v>
      </c>
      <c r="AI830" s="9">
        <v>0.00524430676517327</v>
      </c>
      <c r="AJ830" s="4">
        <v>-0.403654926069896</v>
      </c>
      <c r="AK830" s="4">
        <v>0.0326867689554502</v>
      </c>
      <c r="AL830" s="4"/>
      <c r="AM830" s="4"/>
      <c r="AN830" s="4">
        <v>0.126137643599584</v>
      </c>
      <c r="AO830" s="4">
        <v>0.000188108696023273</v>
      </c>
    </row>
    <row r="831" s="4" customFormat="1" spans="1:75">
      <c r="A831" s="4">
        <v>830</v>
      </c>
      <c r="B831" s="22">
        <v>131</v>
      </c>
      <c r="C831" s="19" t="s">
        <v>410</v>
      </c>
      <c r="D831" s="5" t="s">
        <v>411</v>
      </c>
      <c r="E831" s="5">
        <v>63.9166666666667</v>
      </c>
      <c r="F831" s="5">
        <v>145.733333333333</v>
      </c>
      <c r="G831" s="20">
        <v>-16.4583339691162</v>
      </c>
      <c r="H831" s="21">
        <v>274</v>
      </c>
      <c r="I831" s="5"/>
      <c r="J831" s="5" t="s">
        <v>237</v>
      </c>
      <c r="K831" s="5" t="s">
        <v>78</v>
      </c>
      <c r="L831" s="5">
        <v>2002</v>
      </c>
      <c r="M831" s="5">
        <v>6</v>
      </c>
      <c r="N831" s="5" t="s">
        <v>96</v>
      </c>
      <c r="O831" s="28" t="s">
        <v>80</v>
      </c>
      <c r="P831" s="20">
        <v>5.5</v>
      </c>
      <c r="Q831" s="5">
        <f t="shared" ref="Q831:Q833" si="4">42*0.58</f>
        <v>24.36</v>
      </c>
      <c r="R831" s="5"/>
      <c r="S831" s="13"/>
      <c r="T831" s="21">
        <v>14</v>
      </c>
      <c r="U831" s="21">
        <v>56</v>
      </c>
      <c r="V831" s="21">
        <v>30</v>
      </c>
      <c r="W831" s="5">
        <v>46</v>
      </c>
      <c r="X831" s="13" t="s">
        <v>141</v>
      </c>
      <c r="Y831" s="5" t="s">
        <v>82</v>
      </c>
      <c r="Z831" s="5">
        <v>9</v>
      </c>
      <c r="AA831" s="5">
        <v>9</v>
      </c>
      <c r="AB831" s="9">
        <v>1.86562231066354</v>
      </c>
      <c r="AC831" s="9">
        <v>0.238536741621222</v>
      </c>
      <c r="AD831" s="9"/>
      <c r="AE831" s="9"/>
      <c r="AF831" s="9">
        <v>-0.042188228097562</v>
      </c>
      <c r="AG831" s="9">
        <v>0.473883723193261</v>
      </c>
      <c r="AH831" s="9">
        <v>-1.03630840533195</v>
      </c>
      <c r="AI831" s="9">
        <v>0.0120861678004535</v>
      </c>
      <c r="AJ831" s="4">
        <v>2.90193071599549</v>
      </c>
      <c r="AK831" s="4">
        <v>0.250622909421676</v>
      </c>
      <c r="AL831" s="4"/>
      <c r="AM831" s="4"/>
      <c r="AN831" s="4"/>
      <c r="AO831" s="4"/>
      <c r="AP831" s="4"/>
      <c r="AQ831" s="4"/>
      <c r="AR831" s="4"/>
      <c r="AS831" s="4"/>
      <c r="AT831" s="4"/>
      <c r="AU831" s="4"/>
      <c r="AV831" s="4"/>
      <c r="AW831" s="4"/>
      <c r="AX831" s="4"/>
      <c r="AY831" s="4"/>
      <c r="BP831" s="4">
        <v>-0.115676407816401</v>
      </c>
      <c r="BQ831" s="4">
        <v>0.03321716518774</v>
      </c>
      <c r="BV831" s="4">
        <v>-0.154136394010931</v>
      </c>
      <c r="BW831" s="4">
        <v>2.04822564072275</v>
      </c>
    </row>
    <row r="832" s="4" customFormat="1" spans="1:75">
      <c r="A832" s="4">
        <v>831</v>
      </c>
      <c r="B832" s="22">
        <v>131</v>
      </c>
      <c r="C832" s="19" t="s">
        <v>410</v>
      </c>
      <c r="D832" s="5" t="s">
        <v>411</v>
      </c>
      <c r="E832" s="5">
        <v>63.9166666666667</v>
      </c>
      <c r="F832" s="5">
        <v>145.733333333333</v>
      </c>
      <c r="G832" s="20">
        <v>-16.4583339691162</v>
      </c>
      <c r="H832" s="21">
        <v>274</v>
      </c>
      <c r="I832" s="5"/>
      <c r="J832" s="5" t="s">
        <v>237</v>
      </c>
      <c r="K832" s="5" t="s">
        <v>78</v>
      </c>
      <c r="L832" s="5">
        <v>2002</v>
      </c>
      <c r="M832" s="5">
        <v>6</v>
      </c>
      <c r="N832" s="5" t="s">
        <v>96</v>
      </c>
      <c r="O832" s="28" t="s">
        <v>80</v>
      </c>
      <c r="P832" s="20">
        <v>5.5</v>
      </c>
      <c r="Q832" s="5">
        <f t="shared" si="4"/>
        <v>24.36</v>
      </c>
      <c r="R832" s="5"/>
      <c r="S832" s="13"/>
      <c r="T832" s="21">
        <v>14</v>
      </c>
      <c r="U832" s="21">
        <v>56</v>
      </c>
      <c r="V832" s="21">
        <v>30</v>
      </c>
      <c r="W832" s="5">
        <v>15</v>
      </c>
      <c r="X832" s="5" t="s">
        <v>91</v>
      </c>
      <c r="Y832" s="5" t="s">
        <v>82</v>
      </c>
      <c r="Z832" s="5">
        <v>9</v>
      </c>
      <c r="AA832" s="5">
        <v>9</v>
      </c>
      <c r="AB832" s="9">
        <v>2.23332649906492</v>
      </c>
      <c r="AC832" s="9">
        <v>0.172877405528338</v>
      </c>
      <c r="AD832" s="9">
        <v>1.95758339758731</v>
      </c>
      <c r="AE832" s="9">
        <v>0.178262322968323</v>
      </c>
      <c r="AF832" s="9">
        <v>-0.275743101477614</v>
      </c>
      <c r="AG832" s="9">
        <v>0.35113972849666</v>
      </c>
      <c r="AH832" s="9">
        <v>-0.253357329910706</v>
      </c>
      <c r="AI832" s="9">
        <v>0.020610345936209</v>
      </c>
      <c r="AJ832" s="4">
        <v>2.48668382897563</v>
      </c>
      <c r="AK832" s="4">
        <v>0.193487751464547</v>
      </c>
      <c r="AL832" s="4">
        <v>2.21094072749802</v>
      </c>
      <c r="AM832" s="4">
        <v>0.198872668904532</v>
      </c>
      <c r="AN832" s="4"/>
      <c r="AO832" s="4"/>
      <c r="AP832" s="4"/>
      <c r="AQ832" s="4"/>
      <c r="AR832" s="4"/>
      <c r="AS832" s="4"/>
      <c r="AT832" s="4"/>
      <c r="AU832" s="4"/>
      <c r="AV832" s="4"/>
      <c r="AW832" s="4"/>
      <c r="AX832" s="4"/>
      <c r="AY832" s="4"/>
      <c r="BP832" s="4">
        <v>-0.115676407816401</v>
      </c>
      <c r="BQ832" s="4">
        <v>0.0461156255105748</v>
      </c>
      <c r="BV832" s="4">
        <v>1.49878237503471</v>
      </c>
      <c r="BW832" s="4">
        <v>1.1005365884836</v>
      </c>
    </row>
    <row r="833" s="4" customFormat="1" spans="1:75">
      <c r="A833" s="4">
        <v>832</v>
      </c>
      <c r="B833" s="22">
        <v>131</v>
      </c>
      <c r="C833" s="19" t="s">
        <v>410</v>
      </c>
      <c r="D833" s="5" t="s">
        <v>411</v>
      </c>
      <c r="E833" s="5">
        <v>63.9166666666667</v>
      </c>
      <c r="F833" s="5">
        <v>145.733333333333</v>
      </c>
      <c r="G833" s="20">
        <v>-16.4583339691162</v>
      </c>
      <c r="H833" s="21">
        <v>274</v>
      </c>
      <c r="I833" s="5"/>
      <c r="J833" s="5" t="s">
        <v>237</v>
      </c>
      <c r="K833" s="5" t="s">
        <v>78</v>
      </c>
      <c r="L833" s="5">
        <v>2002</v>
      </c>
      <c r="M833" s="5">
        <v>6</v>
      </c>
      <c r="N833" s="5" t="s">
        <v>96</v>
      </c>
      <c r="O833" s="28" t="s">
        <v>80</v>
      </c>
      <c r="P833" s="20">
        <v>5.5</v>
      </c>
      <c r="Q833" s="5">
        <f t="shared" si="4"/>
        <v>24.36</v>
      </c>
      <c r="R833" s="5"/>
      <c r="S833" s="13"/>
      <c r="T833" s="21">
        <v>14</v>
      </c>
      <c r="U833" s="21">
        <v>56</v>
      </c>
      <c r="V833" s="21">
        <v>30</v>
      </c>
      <c r="W833" s="5">
        <v>3</v>
      </c>
      <c r="X833" s="5" t="s">
        <v>81</v>
      </c>
      <c r="Y833" s="5" t="s">
        <v>82</v>
      </c>
      <c r="Z833" s="5">
        <v>9</v>
      </c>
      <c r="AA833" s="5">
        <v>9</v>
      </c>
      <c r="AB833" s="9">
        <v>0.0659582760826157</v>
      </c>
      <c r="AC833" s="9">
        <v>0.40818333160323</v>
      </c>
      <c r="AD833" s="9">
        <v>0.195676238656411</v>
      </c>
      <c r="AE833" s="9">
        <v>0.341757661264789</v>
      </c>
      <c r="AF833" s="9">
        <v>0.129717962573795</v>
      </c>
      <c r="AG833" s="9">
        <v>0.749940992868018</v>
      </c>
      <c r="AH833" s="9"/>
      <c r="AI833" s="9"/>
      <c r="AJ833" s="4"/>
      <c r="AK833" s="4"/>
      <c r="AL833" s="4"/>
      <c r="AM833" s="4"/>
      <c r="AN833" s="4"/>
      <c r="AO833" s="4"/>
      <c r="AP833" s="4"/>
      <c r="AQ833" s="4"/>
      <c r="AR833" s="4"/>
      <c r="AS833" s="4"/>
      <c r="AT833" s="4"/>
      <c r="AU833" s="4"/>
      <c r="AV833" s="4"/>
      <c r="AW833" s="4"/>
      <c r="AX833" s="4"/>
      <c r="AY833" s="4"/>
      <c r="BP833" s="4">
        <v>-0.409638559734181</v>
      </c>
      <c r="BQ833" s="4">
        <v>0.084467097620407</v>
      </c>
      <c r="BV833" s="4">
        <v>0</v>
      </c>
      <c r="BW833" s="4">
        <v>2.0964512814455</v>
      </c>
    </row>
    <row r="834" s="3" customFormat="1" spans="1:75">
      <c r="A834" s="4">
        <v>833</v>
      </c>
      <c r="B834" s="6">
        <v>132</v>
      </c>
      <c r="C834" s="24" t="s">
        <v>412</v>
      </c>
      <c r="D834" s="13" t="s">
        <v>413</v>
      </c>
      <c r="E834" s="13">
        <v>39.1085910395701</v>
      </c>
      <c r="F834" s="13">
        <v>-96.6136970520019</v>
      </c>
      <c r="G834" s="20">
        <v>12.5541667938232</v>
      </c>
      <c r="H834" s="21">
        <v>887</v>
      </c>
      <c r="I834" s="13"/>
      <c r="J834" s="13" t="s">
        <v>94</v>
      </c>
      <c r="K834" s="5" t="s">
        <v>78</v>
      </c>
      <c r="L834" s="3">
        <v>2002</v>
      </c>
      <c r="M834" s="3">
        <v>9</v>
      </c>
      <c r="N834" s="13" t="s">
        <v>108</v>
      </c>
      <c r="O834" s="28" t="s">
        <v>80</v>
      </c>
      <c r="P834" s="20"/>
      <c r="Q834" s="5"/>
      <c r="R834" s="5"/>
      <c r="S834" s="13"/>
      <c r="T834" s="21">
        <v>26</v>
      </c>
      <c r="U834" s="21">
        <v>46</v>
      </c>
      <c r="V834" s="21">
        <v>28</v>
      </c>
      <c r="W834" s="35">
        <v>16</v>
      </c>
      <c r="X834" s="5" t="s">
        <v>91</v>
      </c>
      <c r="Y834" s="13" t="s">
        <v>82</v>
      </c>
      <c r="Z834" s="13">
        <v>8</v>
      </c>
      <c r="AA834" s="13">
        <v>8</v>
      </c>
      <c r="AB834" s="9">
        <v>0.0172418064345062</v>
      </c>
      <c r="AC834" s="9">
        <v>9.61356314963646e-5</v>
      </c>
      <c r="AD834" s="25">
        <v>0</v>
      </c>
      <c r="AE834" s="25">
        <v>0.00200043355106871</v>
      </c>
      <c r="AF834" s="9">
        <v>-0.017241806434508</v>
      </c>
      <c r="AG834" s="9">
        <v>0.00209656918256507</v>
      </c>
      <c r="AH834" s="25">
        <v>0.160085415347073</v>
      </c>
      <c r="AI834" s="25">
        <v>0.00260308204914619</v>
      </c>
      <c r="AJ834" s="4">
        <v>-0.142843608912567</v>
      </c>
      <c r="AK834" s="4">
        <v>0.00269921768064256</v>
      </c>
      <c r="AL834" s="3">
        <v>-0.160085415347071</v>
      </c>
      <c r="AM834" s="3">
        <v>0.00460351560021492</v>
      </c>
      <c r="AN834" s="4">
        <v>-0.0344861760711693</v>
      </c>
      <c r="AO834" s="4">
        <v>0.000141081522017455</v>
      </c>
      <c r="AP834" s="3">
        <v>0.0772313479359902</v>
      </c>
      <c r="AQ834" s="3">
        <v>0.00538359490580042</v>
      </c>
      <c r="AR834" s="4"/>
      <c r="AS834" s="4"/>
      <c r="AT834" s="3"/>
      <c r="AU834" s="3"/>
      <c r="AV834" s="4"/>
      <c r="AW834" s="4"/>
      <c r="AX834" s="3"/>
      <c r="AY834" s="3"/>
      <c r="BD834" s="3">
        <v>0.285505793029185</v>
      </c>
      <c r="BE834" s="3">
        <v>0.00260308204914619</v>
      </c>
      <c r="BF834" s="3">
        <v>-0.418924261482169</v>
      </c>
      <c r="BG834" s="3">
        <v>0.00872893480017734</v>
      </c>
      <c r="BH834" s="3">
        <v>0.693147180559945</v>
      </c>
      <c r="BI834" s="3">
        <v>0.00771261107366766</v>
      </c>
      <c r="BJ834" s="3">
        <v>0.00594061153012115</v>
      </c>
      <c r="BK834" s="3">
        <v>0.00308641975308644</v>
      </c>
      <c r="BL834" s="3">
        <v>0.00503417100563766</v>
      </c>
      <c r="BM834" s="3">
        <v>0.0025</v>
      </c>
      <c r="BP834" s="3">
        <v>0.191221806264219</v>
      </c>
      <c r="BV834" s="3">
        <v>0.34566933010213</v>
      </c>
      <c r="BW834" s="3">
        <v>0.00308641975308642</v>
      </c>
    </row>
    <row r="835" s="3" customFormat="1" spans="1:75">
      <c r="A835" s="4">
        <v>834</v>
      </c>
      <c r="B835" s="6">
        <v>132</v>
      </c>
      <c r="C835" s="24" t="s">
        <v>412</v>
      </c>
      <c r="D835" s="13" t="s">
        <v>413</v>
      </c>
      <c r="E835" s="13">
        <v>39.1085910395701</v>
      </c>
      <c r="F835" s="13">
        <v>-96.6136970520019</v>
      </c>
      <c r="G835" s="20">
        <v>12.5541667938232</v>
      </c>
      <c r="H835" s="21">
        <v>887</v>
      </c>
      <c r="I835" s="13"/>
      <c r="J835" s="13" t="s">
        <v>237</v>
      </c>
      <c r="K835" s="5" t="s">
        <v>78</v>
      </c>
      <c r="L835" s="3">
        <v>2002</v>
      </c>
      <c r="M835" s="3">
        <v>9</v>
      </c>
      <c r="N835" s="13" t="s">
        <v>108</v>
      </c>
      <c r="O835" s="28" t="s">
        <v>80</v>
      </c>
      <c r="P835" s="20"/>
      <c r="Q835" s="5"/>
      <c r="R835" s="5"/>
      <c r="S835" s="13"/>
      <c r="T835" s="21">
        <v>26</v>
      </c>
      <c r="U835" s="21">
        <v>46</v>
      </c>
      <c r="V835" s="21">
        <v>28</v>
      </c>
      <c r="W835" s="35">
        <v>16</v>
      </c>
      <c r="X835" s="5" t="s">
        <v>91</v>
      </c>
      <c r="Y835" s="13" t="s">
        <v>82</v>
      </c>
      <c r="Z835" s="13">
        <v>8</v>
      </c>
      <c r="AA835" s="13">
        <v>8</v>
      </c>
      <c r="AB835" s="9">
        <v>-0.0253178079842897</v>
      </c>
      <c r="AC835" s="9">
        <v>9.61356314963646e-5</v>
      </c>
      <c r="AD835" s="25">
        <v>0.0141846349919564</v>
      </c>
      <c r="AE835" s="25">
        <v>0.00200043355106872</v>
      </c>
      <c r="AF835" s="9">
        <v>0.0395024429762432</v>
      </c>
      <c r="AG835" s="9">
        <v>0.00209656918256508</v>
      </c>
      <c r="AH835" s="25">
        <v>0.130053128248198</v>
      </c>
      <c r="AI835" s="25">
        <v>0.00260308204914618</v>
      </c>
      <c r="AJ835" s="4">
        <v>-0.155370936232488</v>
      </c>
      <c r="AK835" s="4">
        <v>0.00269921768064255</v>
      </c>
      <c r="AL835" s="3">
        <v>-0.11586849325624</v>
      </c>
      <c r="AM835" s="3">
        <v>0.00460351560021492</v>
      </c>
      <c r="AN835" s="4">
        <v>0.0333364202675917</v>
      </c>
      <c r="AO835" s="4">
        <v>0.000141081522017455</v>
      </c>
      <c r="AP835" s="3">
        <v>-0.18378247743363</v>
      </c>
      <c r="AQ835" s="3">
        <v>0.00538359490580043</v>
      </c>
      <c r="AR835" s="4"/>
      <c r="AS835" s="4"/>
      <c r="AT835" s="3"/>
      <c r="AU835" s="3"/>
      <c r="AV835" s="4"/>
      <c r="AW835" s="4"/>
      <c r="AX835" s="3"/>
      <c r="AY835" s="3"/>
      <c r="BD835" s="3">
        <v>0.156632070678644</v>
      </c>
      <c r="BE835" s="3">
        <v>0.00260308204914618</v>
      </c>
      <c r="BF835" s="3">
        <v>0.0341688956152498</v>
      </c>
      <c r="BG835" s="3">
        <v>0.00872893480017734</v>
      </c>
      <c r="BH835" s="3">
        <v>0.405465108108164</v>
      </c>
      <c r="BI835" s="3">
        <v>0.00771261107366766</v>
      </c>
      <c r="BJ835" s="3">
        <v>0.00297471711674287</v>
      </c>
      <c r="BK835" s="3">
        <v>0.00308641975308642</v>
      </c>
      <c r="BL835" s="3">
        <v>0.511402241916608</v>
      </c>
      <c r="BM835" s="3">
        <v>0.0025</v>
      </c>
      <c r="BP835" s="3">
        <v>0.0412816589733038</v>
      </c>
      <c r="BV835" s="3">
        <v>-0.872488109215762</v>
      </c>
      <c r="BW835" s="3">
        <v>0.00308641975308641</v>
      </c>
    </row>
    <row r="836" s="4" customFormat="1" spans="1:53">
      <c r="A836" s="4">
        <v>835</v>
      </c>
      <c r="B836" s="18">
        <v>133</v>
      </c>
      <c r="C836" s="19" t="s">
        <v>414</v>
      </c>
      <c r="D836" s="5" t="s">
        <v>415</v>
      </c>
      <c r="E836" s="9">
        <v>41.8</v>
      </c>
      <c r="F836" s="9">
        <v>123.55</v>
      </c>
      <c r="G836" s="20">
        <v>7.5</v>
      </c>
      <c r="H836" s="21">
        <v>634</v>
      </c>
      <c r="I836" s="4"/>
      <c r="J836" s="5" t="s">
        <v>90</v>
      </c>
      <c r="K836" s="5" t="s">
        <v>78</v>
      </c>
      <c r="L836" s="4">
        <v>2008</v>
      </c>
      <c r="M836" s="4">
        <v>10</v>
      </c>
      <c r="N836" s="5" t="s">
        <v>108</v>
      </c>
      <c r="O836" s="28" t="s">
        <v>80</v>
      </c>
      <c r="P836" s="29">
        <v>6.5</v>
      </c>
      <c r="Q836" s="4">
        <v>9.2</v>
      </c>
      <c r="R836" s="4">
        <v>0.8</v>
      </c>
      <c r="S836" s="13">
        <v>11.5</v>
      </c>
      <c r="T836" s="21">
        <v>26</v>
      </c>
      <c r="U836" s="21">
        <v>46</v>
      </c>
      <c r="V836" s="21">
        <v>28</v>
      </c>
      <c r="W836" s="4">
        <v>30</v>
      </c>
      <c r="X836" s="5" t="s">
        <v>91</v>
      </c>
      <c r="Y836" s="5" t="s">
        <v>82</v>
      </c>
      <c r="Z836" s="4">
        <v>3</v>
      </c>
      <c r="AA836" s="4">
        <v>3</v>
      </c>
      <c r="AB836" s="9">
        <v>0.244196960512042</v>
      </c>
      <c r="AC836" s="9">
        <v>0.00518827765948132</v>
      </c>
      <c r="AD836" s="9">
        <v>0.377294231141468</v>
      </c>
      <c r="AE836" s="9">
        <v>0.00911753590325019</v>
      </c>
      <c r="AF836" s="9">
        <v>0.133097270629423</v>
      </c>
      <c r="AG836" s="9">
        <v>0.0143058135627316</v>
      </c>
      <c r="AH836" s="9">
        <v>0.230412664660889</v>
      </c>
      <c r="AI836" s="9">
        <v>0.000145612272894033</v>
      </c>
      <c r="AJ836" s="4">
        <v>0.0137842958511529</v>
      </c>
      <c r="AK836" s="4">
        <v>0.00533388993237532</v>
      </c>
      <c r="AL836" s="4">
        <v>0.146881566480581</v>
      </c>
      <c r="AM836" s="4">
        <v>0.00926314817614419</v>
      </c>
      <c r="AN836" s="4"/>
      <c r="AO836" s="4"/>
      <c r="AP836" s="4"/>
      <c r="AQ836" s="4"/>
      <c r="AR836" s="4"/>
      <c r="AS836" s="4"/>
      <c r="AT836" s="4"/>
      <c r="AU836" s="4"/>
      <c r="AV836" s="4"/>
      <c r="AW836" s="4"/>
      <c r="AX836" s="4"/>
      <c r="AY836" s="4"/>
      <c r="AZ836" s="4">
        <v>-2.24006473601271</v>
      </c>
      <c r="BA836" s="4">
        <v>0.00744855967078189</v>
      </c>
    </row>
    <row r="837" s="4" customFormat="1" spans="1:39">
      <c r="A837" s="4">
        <v>836</v>
      </c>
      <c r="B837" s="18">
        <v>133</v>
      </c>
      <c r="C837" s="19" t="s">
        <v>414</v>
      </c>
      <c r="D837" s="5" t="s">
        <v>416</v>
      </c>
      <c r="E837" s="9">
        <v>41.8</v>
      </c>
      <c r="F837" s="9">
        <v>123.55</v>
      </c>
      <c r="G837" s="20">
        <v>7.5</v>
      </c>
      <c r="H837" s="21">
        <v>634</v>
      </c>
      <c r="I837" s="4"/>
      <c r="J837" s="5" t="s">
        <v>90</v>
      </c>
      <c r="K837" s="5" t="s">
        <v>78</v>
      </c>
      <c r="L837" s="4">
        <v>2008</v>
      </c>
      <c r="M837" s="4">
        <v>10</v>
      </c>
      <c r="N837" s="5" t="s">
        <v>108</v>
      </c>
      <c r="O837" s="28" t="s">
        <v>80</v>
      </c>
      <c r="P837" s="29">
        <v>6.5</v>
      </c>
      <c r="Q837" s="4">
        <v>9.2</v>
      </c>
      <c r="R837" s="4">
        <v>0.8</v>
      </c>
      <c r="S837" s="13">
        <v>11.5</v>
      </c>
      <c r="T837" s="21">
        <v>26</v>
      </c>
      <c r="U837" s="21">
        <v>46</v>
      </c>
      <c r="V837" s="21">
        <v>28</v>
      </c>
      <c r="W837" s="4">
        <v>30</v>
      </c>
      <c r="X837" s="5" t="s">
        <v>91</v>
      </c>
      <c r="Y837" s="5" t="s">
        <v>82</v>
      </c>
      <c r="Z837" s="4">
        <v>3</v>
      </c>
      <c r="AA837" s="4">
        <v>3</v>
      </c>
      <c r="AB837" s="9">
        <v>0.279584862219162</v>
      </c>
      <c r="AC837" s="9">
        <v>0.000616761981770051</v>
      </c>
      <c r="AD837" s="9">
        <v>0.209720530982069</v>
      </c>
      <c r="AE837" s="9">
        <v>0.00134431729026324</v>
      </c>
      <c r="AF837" s="9">
        <v>-0.0698643312370892</v>
      </c>
      <c r="AG837" s="9">
        <v>0.00196107927203328</v>
      </c>
      <c r="AH837" s="9">
        <v>0.113500373864383</v>
      </c>
      <c r="AI837" s="9">
        <v>0.000184318021605679</v>
      </c>
      <c r="AJ837" s="4">
        <v>0.166084488354779</v>
      </c>
      <c r="AK837" s="4">
        <v>0.000801080003375728</v>
      </c>
      <c r="AL837" s="4">
        <v>0.0962201571176877</v>
      </c>
      <c r="AM837" s="4">
        <v>0.00152863531186892</v>
      </c>
    </row>
    <row r="838" s="4" customFormat="1" spans="1:39">
      <c r="A838" s="4">
        <v>837</v>
      </c>
      <c r="B838" s="18">
        <v>133</v>
      </c>
      <c r="C838" s="19" t="s">
        <v>414</v>
      </c>
      <c r="D838" s="5" t="s">
        <v>417</v>
      </c>
      <c r="E838" s="9">
        <v>41.8</v>
      </c>
      <c r="F838" s="9">
        <v>123.55</v>
      </c>
      <c r="G838" s="20">
        <v>7.5</v>
      </c>
      <c r="H838" s="21">
        <v>634</v>
      </c>
      <c r="I838" s="4"/>
      <c r="J838" s="5" t="s">
        <v>90</v>
      </c>
      <c r="K838" s="5" t="s">
        <v>78</v>
      </c>
      <c r="L838" s="4">
        <v>2008</v>
      </c>
      <c r="M838" s="4">
        <v>10</v>
      </c>
      <c r="N838" s="5" t="s">
        <v>108</v>
      </c>
      <c r="O838" s="28" t="s">
        <v>80</v>
      </c>
      <c r="P838" s="29">
        <v>6.5</v>
      </c>
      <c r="Q838" s="4">
        <v>9.2</v>
      </c>
      <c r="R838" s="4">
        <v>0.8</v>
      </c>
      <c r="S838" s="13">
        <v>11.5</v>
      </c>
      <c r="T838" s="21">
        <v>26</v>
      </c>
      <c r="U838" s="21">
        <v>46</v>
      </c>
      <c r="V838" s="21">
        <v>28</v>
      </c>
      <c r="W838" s="4">
        <v>30</v>
      </c>
      <c r="X838" s="5" t="s">
        <v>91</v>
      </c>
      <c r="Y838" s="5" t="s">
        <v>82</v>
      </c>
      <c r="Z838" s="4">
        <v>3</v>
      </c>
      <c r="AA838" s="4">
        <v>3</v>
      </c>
      <c r="AB838" s="9">
        <v>-0.00407332538763579</v>
      </c>
      <c r="AC838" s="9">
        <v>0.000469817774368897</v>
      </c>
      <c r="AD838" s="9">
        <v>0</v>
      </c>
      <c r="AE838" s="9">
        <v>0.00115420129270545</v>
      </c>
      <c r="AF838" s="9">
        <v>0.00407332538763985</v>
      </c>
      <c r="AG838" s="9">
        <v>0.00162401906707434</v>
      </c>
      <c r="AH838" s="9">
        <v>0.0171678036223653</v>
      </c>
      <c r="AI838" s="9">
        <v>6.22567491280489e-5</v>
      </c>
      <c r="AJ838" s="4">
        <v>-0.0212411290100029</v>
      </c>
      <c r="AK838" s="4">
        <v>0.000532074523496947</v>
      </c>
      <c r="AL838" s="4">
        <v>-0.0171678036223652</v>
      </c>
      <c r="AM838" s="4">
        <v>0.00121645804183349</v>
      </c>
    </row>
    <row r="839" s="4" customFormat="1" spans="1:39">
      <c r="A839" s="4">
        <v>838</v>
      </c>
      <c r="B839" s="18">
        <v>133</v>
      </c>
      <c r="C839" s="19" t="s">
        <v>414</v>
      </c>
      <c r="D839" s="5" t="s">
        <v>417</v>
      </c>
      <c r="E839" s="9">
        <v>41.8</v>
      </c>
      <c r="F839" s="9">
        <v>123.55</v>
      </c>
      <c r="G839" s="20">
        <v>7.5</v>
      </c>
      <c r="H839" s="21">
        <v>634</v>
      </c>
      <c r="I839" s="4"/>
      <c r="J839" s="5" t="s">
        <v>90</v>
      </c>
      <c r="K839" s="5" t="s">
        <v>78</v>
      </c>
      <c r="L839" s="4">
        <v>2008</v>
      </c>
      <c r="M839" s="4">
        <v>10</v>
      </c>
      <c r="N839" s="5" t="s">
        <v>108</v>
      </c>
      <c r="O839" s="28" t="s">
        <v>80</v>
      </c>
      <c r="P839" s="29">
        <v>6.5</v>
      </c>
      <c r="Q839" s="4">
        <v>9.2</v>
      </c>
      <c r="R839" s="4">
        <v>0.8</v>
      </c>
      <c r="S839" s="13">
        <v>11.5</v>
      </c>
      <c r="T839" s="21">
        <v>26</v>
      </c>
      <c r="U839" s="21">
        <v>46</v>
      </c>
      <c r="V839" s="21">
        <v>28</v>
      </c>
      <c r="W839" s="4">
        <v>30</v>
      </c>
      <c r="X839" s="5" t="s">
        <v>91</v>
      </c>
      <c r="Y839" s="5" t="s">
        <v>82</v>
      </c>
      <c r="Z839" s="4">
        <v>3</v>
      </c>
      <c r="AA839" s="4">
        <v>3</v>
      </c>
      <c r="AB839" s="9">
        <v>0.208341851227225</v>
      </c>
      <c r="AC839" s="9">
        <v>0.00144662892984961</v>
      </c>
      <c r="AD839" s="9">
        <v>-0.0953277440556622</v>
      </c>
      <c r="AE839" s="9">
        <v>0.00260593097370089</v>
      </c>
      <c r="AF839" s="9">
        <v>-0.303669595282888</v>
      </c>
      <c r="AG839" s="9">
        <v>0.0040525599035505</v>
      </c>
      <c r="AH839" s="9">
        <v>0.134788478353578</v>
      </c>
      <c r="AI839" s="9">
        <v>0.000393482280614165</v>
      </c>
      <c r="AJ839" s="4">
        <v>0.0735533728736434</v>
      </c>
      <c r="AK839" s="4">
        <v>0.00184011121046378</v>
      </c>
      <c r="AL839" s="4">
        <v>-0.23011622240924</v>
      </c>
      <c r="AM839" s="4">
        <v>0.00299941325431505</v>
      </c>
    </row>
    <row r="840" s="4" customFormat="1" spans="1:51">
      <c r="A840" s="4">
        <v>839</v>
      </c>
      <c r="B840" s="18">
        <v>133</v>
      </c>
      <c r="C840" s="19" t="s">
        <v>414</v>
      </c>
      <c r="D840" s="5" t="s">
        <v>417</v>
      </c>
      <c r="E840" s="9">
        <v>41.8</v>
      </c>
      <c r="F840" s="9">
        <v>123.55</v>
      </c>
      <c r="G840" s="20">
        <v>7.5</v>
      </c>
      <c r="H840" s="21">
        <v>634</v>
      </c>
      <c r="I840" s="4"/>
      <c r="J840" s="5" t="s">
        <v>90</v>
      </c>
      <c r="K840" s="5" t="s">
        <v>78</v>
      </c>
      <c r="L840" s="4">
        <v>2008</v>
      </c>
      <c r="M840" s="4">
        <v>10</v>
      </c>
      <c r="N840" s="5" t="s">
        <v>108</v>
      </c>
      <c r="O840" s="28" t="s">
        <v>80</v>
      </c>
      <c r="P840" s="29">
        <v>6.5</v>
      </c>
      <c r="Q840" s="4">
        <v>9.2</v>
      </c>
      <c r="R840" s="4">
        <v>0.8</v>
      </c>
      <c r="S840" s="13">
        <v>11.5</v>
      </c>
      <c r="T840" s="21">
        <v>26</v>
      </c>
      <c r="U840" s="21">
        <v>46</v>
      </c>
      <c r="V840" s="21">
        <v>28</v>
      </c>
      <c r="W840" s="4">
        <v>30</v>
      </c>
      <c r="X840" s="5" t="s">
        <v>91</v>
      </c>
      <c r="Y840" s="5" t="s">
        <v>82</v>
      </c>
      <c r="Z840" s="4">
        <v>3</v>
      </c>
      <c r="AA840" s="4">
        <v>3</v>
      </c>
      <c r="AB840" s="9">
        <v>0.214325000356329</v>
      </c>
      <c r="AC840" s="9">
        <v>0.00123294317011749</v>
      </c>
      <c r="AD840" s="9">
        <v>0.0245790919536156</v>
      </c>
      <c r="AE840" s="9">
        <v>0.0015609656353992</v>
      </c>
      <c r="AF840" s="9">
        <v>-0.189745908402713</v>
      </c>
      <c r="AG840" s="9">
        <v>0.00279390880551667</v>
      </c>
      <c r="AH840" s="9">
        <v>0.16926773815138</v>
      </c>
      <c r="AI840" s="9">
        <v>0.000182830288697278</v>
      </c>
      <c r="AJ840" s="4">
        <v>0.0450572622049498</v>
      </c>
      <c r="AK840" s="4">
        <v>0.00141577345881478</v>
      </c>
      <c r="AL840" s="4">
        <v>-0.144688646197762</v>
      </c>
      <c r="AM840" s="4">
        <v>0.00174379592409647</v>
      </c>
      <c r="AN840" s="4"/>
      <c r="AO840" s="4"/>
      <c r="AP840" s="4"/>
      <c r="AQ840" s="4"/>
      <c r="AR840" s="4"/>
      <c r="AS840" s="4"/>
      <c r="AT840" s="4"/>
      <c r="AU840" s="4"/>
      <c r="AV840" s="4"/>
      <c r="AW840" s="4"/>
      <c r="AX840" s="4">
        <v>0.08285406741108</v>
      </c>
      <c r="AY840" s="4">
        <v>0.00798667695494661</v>
      </c>
    </row>
    <row r="841" s="4" customFormat="1" spans="1:51">
      <c r="A841" s="4">
        <v>840</v>
      </c>
      <c r="B841" s="18">
        <v>133</v>
      </c>
      <c r="C841" s="19" t="s">
        <v>414</v>
      </c>
      <c r="D841" s="5" t="s">
        <v>417</v>
      </c>
      <c r="E841" s="9">
        <v>41.8</v>
      </c>
      <c r="F841" s="9">
        <v>123.55</v>
      </c>
      <c r="G841" s="20">
        <v>7.5</v>
      </c>
      <c r="H841" s="21">
        <v>634</v>
      </c>
      <c r="I841" s="4"/>
      <c r="J841" s="5" t="s">
        <v>90</v>
      </c>
      <c r="K841" s="5" t="s">
        <v>78</v>
      </c>
      <c r="L841" s="4">
        <v>2008</v>
      </c>
      <c r="M841" s="4">
        <v>10</v>
      </c>
      <c r="N841" s="5" t="s">
        <v>108</v>
      </c>
      <c r="O841" s="28" t="s">
        <v>80</v>
      </c>
      <c r="P841" s="29">
        <v>6.5</v>
      </c>
      <c r="Q841" s="4">
        <v>9.2</v>
      </c>
      <c r="R841" s="4">
        <v>0.8</v>
      </c>
      <c r="S841" s="13">
        <v>11.5</v>
      </c>
      <c r="T841" s="21">
        <v>26</v>
      </c>
      <c r="U841" s="21">
        <v>46</v>
      </c>
      <c r="V841" s="21">
        <v>28</v>
      </c>
      <c r="W841" s="4">
        <v>30</v>
      </c>
      <c r="X841" s="5" t="s">
        <v>91</v>
      </c>
      <c r="Y841" s="5" t="s">
        <v>82</v>
      </c>
      <c r="Z841" s="4">
        <v>3</v>
      </c>
      <c r="AA841" s="4">
        <v>3</v>
      </c>
      <c r="AB841" s="9">
        <v>0.0514280716759435</v>
      </c>
      <c r="AC841" s="9">
        <v>0.00100179228159615</v>
      </c>
      <c r="AD841" s="9">
        <v>-0.186863373653595</v>
      </c>
      <c r="AE841" s="9">
        <v>0.00350100173576484</v>
      </c>
      <c r="AF841" s="9">
        <v>-0.238291445329533</v>
      </c>
      <c r="AG841" s="9">
        <v>0.00450279401736096</v>
      </c>
      <c r="AH841" s="9">
        <v>0.138265014949398</v>
      </c>
      <c r="AI841" s="9">
        <v>0.000668126793007177</v>
      </c>
      <c r="AJ841" s="4">
        <v>-0.0868369432734565</v>
      </c>
      <c r="AK841" s="4">
        <v>0.00166991907460333</v>
      </c>
      <c r="AL841" s="4">
        <v>-0.325128388602994</v>
      </c>
      <c r="AM841" s="4">
        <v>0.00416912852877203</v>
      </c>
      <c r="AN841" s="4"/>
      <c r="AO841" s="4"/>
      <c r="AP841" s="4"/>
      <c r="AQ841" s="4"/>
      <c r="AR841" s="4"/>
      <c r="AS841" s="4"/>
      <c r="AT841" s="4"/>
      <c r="AU841" s="4"/>
      <c r="AV841" s="4"/>
      <c r="AW841" s="4"/>
      <c r="AX841" s="4">
        <v>0.313835605681826</v>
      </c>
      <c r="AY841" s="4">
        <v>0.00798667695494661</v>
      </c>
    </row>
    <row r="842" s="4" customFormat="1" spans="1:39">
      <c r="A842" s="4">
        <v>841</v>
      </c>
      <c r="B842" s="18">
        <v>133</v>
      </c>
      <c r="C842" s="19" t="s">
        <v>414</v>
      </c>
      <c r="D842" s="5" t="s">
        <v>417</v>
      </c>
      <c r="E842" s="9">
        <v>41.8</v>
      </c>
      <c r="F842" s="9">
        <v>123.55</v>
      </c>
      <c r="G842" s="20">
        <v>7.5</v>
      </c>
      <c r="H842" s="21">
        <v>634</v>
      </c>
      <c r="I842" s="4"/>
      <c r="J842" s="5" t="s">
        <v>90</v>
      </c>
      <c r="K842" s="5" t="s">
        <v>78</v>
      </c>
      <c r="L842" s="4">
        <v>2008</v>
      </c>
      <c r="M842" s="4">
        <v>10</v>
      </c>
      <c r="N842" s="5" t="s">
        <v>108</v>
      </c>
      <c r="O842" s="28" t="s">
        <v>80</v>
      </c>
      <c r="P842" s="29">
        <v>6.5</v>
      </c>
      <c r="Q842" s="4">
        <v>9.2</v>
      </c>
      <c r="R842" s="4">
        <v>0.8</v>
      </c>
      <c r="S842" s="13">
        <v>11.5</v>
      </c>
      <c r="T842" s="21">
        <v>26</v>
      </c>
      <c r="U842" s="21">
        <v>46</v>
      </c>
      <c r="V842" s="21">
        <v>28</v>
      </c>
      <c r="W842" s="4">
        <v>30</v>
      </c>
      <c r="X842" s="5" t="s">
        <v>91</v>
      </c>
      <c r="Y842" s="5" t="s">
        <v>82</v>
      </c>
      <c r="Z842" s="4">
        <v>3</v>
      </c>
      <c r="AA842" s="4">
        <v>3</v>
      </c>
      <c r="AB842" s="9">
        <v>0.198880958714691</v>
      </c>
      <c r="AC842" s="9">
        <v>0.00202056738782672</v>
      </c>
      <c r="AD842" s="9">
        <v>-0.260204582181067</v>
      </c>
      <c r="AE842" s="9">
        <v>0.00333101728945623</v>
      </c>
      <c r="AF842" s="9">
        <v>-0.459085540895756</v>
      </c>
      <c r="AG842" s="9">
        <v>0.00535158467728294</v>
      </c>
      <c r="AH842" s="9">
        <v>-0.0248676833774846</v>
      </c>
      <c r="AI842" s="9">
        <v>0.000718795091943178</v>
      </c>
      <c r="AJ842" s="4">
        <v>0.223748642092178</v>
      </c>
      <c r="AK842" s="4">
        <v>0.00273936247976991</v>
      </c>
      <c r="AL842" s="4">
        <v>-0.235336898803582</v>
      </c>
      <c r="AM842" s="4">
        <v>0.00404981238139942</v>
      </c>
    </row>
    <row r="843" s="4" customFormat="1" spans="1:39">
      <c r="A843" s="4">
        <v>842</v>
      </c>
      <c r="B843" s="18">
        <v>133</v>
      </c>
      <c r="C843" s="19" t="s">
        <v>414</v>
      </c>
      <c r="D843" s="5" t="s">
        <v>417</v>
      </c>
      <c r="E843" s="9">
        <v>41.8</v>
      </c>
      <c r="F843" s="9">
        <v>123.55</v>
      </c>
      <c r="G843" s="20">
        <v>7.5</v>
      </c>
      <c r="H843" s="21">
        <v>634</v>
      </c>
      <c r="I843" s="4"/>
      <c r="J843" s="5" t="s">
        <v>90</v>
      </c>
      <c r="K843" s="5" t="s">
        <v>78</v>
      </c>
      <c r="L843" s="4">
        <v>2008</v>
      </c>
      <c r="M843" s="4">
        <v>10</v>
      </c>
      <c r="N843" s="5" t="s">
        <v>108</v>
      </c>
      <c r="O843" s="28" t="s">
        <v>80</v>
      </c>
      <c r="P843" s="29">
        <v>6.5</v>
      </c>
      <c r="Q843" s="4">
        <v>9.2</v>
      </c>
      <c r="R843" s="4">
        <v>0.8</v>
      </c>
      <c r="S843" s="13">
        <v>11.5</v>
      </c>
      <c r="T843" s="21">
        <v>26</v>
      </c>
      <c r="U843" s="21">
        <v>46</v>
      </c>
      <c r="V843" s="21">
        <v>28</v>
      </c>
      <c r="W843" s="4">
        <v>30</v>
      </c>
      <c r="X843" s="5" t="s">
        <v>91</v>
      </c>
      <c r="Y843" s="5" t="s">
        <v>82</v>
      </c>
      <c r="Z843" s="4">
        <v>3</v>
      </c>
      <c r="AA843" s="4">
        <v>3</v>
      </c>
      <c r="AB843" s="9">
        <v>0.113909019542328</v>
      </c>
      <c r="AC843" s="9">
        <v>0.00860933836580431</v>
      </c>
      <c r="AD843" s="9">
        <v>-0.298288698430021</v>
      </c>
      <c r="AE843" s="9">
        <v>0.00345532307734873</v>
      </c>
      <c r="AF843" s="9">
        <v>-0.412197717972346</v>
      </c>
      <c r="AG843" s="9">
        <v>0.0120646614431531</v>
      </c>
      <c r="AH843" s="9">
        <v>-0.122854443889977</v>
      </c>
      <c r="AI843" s="9">
        <v>0.00108236281777973</v>
      </c>
      <c r="AJ843" s="4">
        <v>0.236763463432302</v>
      </c>
      <c r="AK843" s="4">
        <v>0.00969170118358409</v>
      </c>
      <c r="AL843" s="4">
        <v>-0.175434254540047</v>
      </c>
      <c r="AM843" s="4">
        <v>0.00453768589512845</v>
      </c>
    </row>
    <row r="844" s="4" customFormat="1" spans="1:39">
      <c r="A844" s="4">
        <v>843</v>
      </c>
      <c r="B844" s="18">
        <v>133</v>
      </c>
      <c r="C844" s="19" t="s">
        <v>414</v>
      </c>
      <c r="D844" s="5" t="s">
        <v>417</v>
      </c>
      <c r="E844" s="9">
        <v>41.8</v>
      </c>
      <c r="F844" s="9">
        <v>123.55</v>
      </c>
      <c r="G844" s="20">
        <v>7.5</v>
      </c>
      <c r="H844" s="21">
        <v>634</v>
      </c>
      <c r="I844" s="4"/>
      <c r="J844" s="5" t="s">
        <v>90</v>
      </c>
      <c r="K844" s="5" t="s">
        <v>78</v>
      </c>
      <c r="L844" s="4">
        <v>2008</v>
      </c>
      <c r="M844" s="4">
        <v>10</v>
      </c>
      <c r="N844" s="5" t="s">
        <v>108</v>
      </c>
      <c r="O844" s="28" t="s">
        <v>80</v>
      </c>
      <c r="P844" s="29">
        <v>6.5</v>
      </c>
      <c r="Q844" s="4">
        <v>9.2</v>
      </c>
      <c r="R844" s="4">
        <v>0.8</v>
      </c>
      <c r="S844" s="13">
        <v>11.5</v>
      </c>
      <c r="T844" s="21">
        <v>26</v>
      </c>
      <c r="U844" s="21">
        <v>46</v>
      </c>
      <c r="V844" s="21">
        <v>28</v>
      </c>
      <c r="W844" s="4">
        <v>30</v>
      </c>
      <c r="X844" s="5" t="s">
        <v>91</v>
      </c>
      <c r="Y844" s="5" t="s">
        <v>82</v>
      </c>
      <c r="Z844" s="4">
        <v>3</v>
      </c>
      <c r="AA844" s="4">
        <v>3</v>
      </c>
      <c r="AB844" s="9">
        <v>0.0517668018704307</v>
      </c>
      <c r="AC844" s="9">
        <v>0.00178028155979731</v>
      </c>
      <c r="AD844" s="9">
        <v>-0.218835328178107</v>
      </c>
      <c r="AE844" s="9">
        <v>0.000691056701883202</v>
      </c>
      <c r="AF844" s="9">
        <v>-0.270602130048538</v>
      </c>
      <c r="AG844" s="9">
        <v>0.00247133826168051</v>
      </c>
      <c r="AH844" s="9">
        <v>-0.21685856874783</v>
      </c>
      <c r="AI844" s="9">
        <v>0.00116713487115679</v>
      </c>
      <c r="AJ844" s="4">
        <v>0.268625370618262</v>
      </c>
      <c r="AK844" s="4">
        <v>0.00294741643095409</v>
      </c>
      <c r="AL844" s="4">
        <v>-0.00197675943027736</v>
      </c>
      <c r="AM844" s="4">
        <v>0.00185819157303999</v>
      </c>
    </row>
    <row r="845" s="4" customFormat="1" spans="1:39">
      <c r="A845" s="4">
        <v>844</v>
      </c>
      <c r="B845" s="18">
        <v>133</v>
      </c>
      <c r="C845" s="19" t="s">
        <v>414</v>
      </c>
      <c r="D845" s="5" t="s">
        <v>417</v>
      </c>
      <c r="E845" s="9">
        <v>41.8</v>
      </c>
      <c r="F845" s="9">
        <v>123.55</v>
      </c>
      <c r="G845" s="20">
        <v>7.5</v>
      </c>
      <c r="H845" s="21">
        <v>634</v>
      </c>
      <c r="I845" s="4"/>
      <c r="J845" s="5" t="s">
        <v>90</v>
      </c>
      <c r="K845" s="5" t="s">
        <v>78</v>
      </c>
      <c r="L845" s="4">
        <v>2008</v>
      </c>
      <c r="M845" s="4">
        <v>10</v>
      </c>
      <c r="N845" s="5" t="s">
        <v>108</v>
      </c>
      <c r="O845" s="28" t="s">
        <v>80</v>
      </c>
      <c r="P845" s="29">
        <v>6.5</v>
      </c>
      <c r="Q845" s="4">
        <v>9.2</v>
      </c>
      <c r="R845" s="4">
        <v>0.8</v>
      </c>
      <c r="S845" s="13">
        <v>11.5</v>
      </c>
      <c r="T845" s="21">
        <v>26</v>
      </c>
      <c r="U845" s="21">
        <v>46</v>
      </c>
      <c r="V845" s="21">
        <v>28</v>
      </c>
      <c r="W845" s="4">
        <v>30</v>
      </c>
      <c r="X845" s="5" t="s">
        <v>91</v>
      </c>
      <c r="Y845" s="5" t="s">
        <v>82</v>
      </c>
      <c r="Z845" s="4">
        <v>3</v>
      </c>
      <c r="AA845" s="4">
        <v>3</v>
      </c>
      <c r="AB845" s="9">
        <v>0.0242445538917572</v>
      </c>
      <c r="AC845" s="9">
        <v>0.00286350647035419</v>
      </c>
      <c r="AD845" s="9">
        <v>-0.32963832628251</v>
      </c>
      <c r="AE845" s="9">
        <v>0.000438818690747116</v>
      </c>
      <c r="AF845" s="9">
        <v>-0.353882880174264</v>
      </c>
      <c r="AG845" s="9">
        <v>0.00330232516110128</v>
      </c>
      <c r="AH845" s="9">
        <v>-0.216787575989808</v>
      </c>
      <c r="AI845" s="9">
        <v>0.000249808575548578</v>
      </c>
      <c r="AJ845" s="4">
        <v>0.241032129881563</v>
      </c>
      <c r="AK845" s="4">
        <v>0.00311331504590276</v>
      </c>
      <c r="AL845" s="4">
        <v>-0.112850750292702</v>
      </c>
      <c r="AM845" s="4">
        <v>0.000688627266295695</v>
      </c>
    </row>
    <row r="846" s="4" customFormat="1" spans="1:39">
      <c r="A846" s="4">
        <v>845</v>
      </c>
      <c r="B846" s="18">
        <v>133</v>
      </c>
      <c r="C846" s="19" t="s">
        <v>414</v>
      </c>
      <c r="D846" s="5" t="s">
        <v>417</v>
      </c>
      <c r="E846" s="9">
        <v>41.8</v>
      </c>
      <c r="F846" s="9">
        <v>123.55</v>
      </c>
      <c r="G846" s="20">
        <v>7.5</v>
      </c>
      <c r="H846" s="21">
        <v>634</v>
      </c>
      <c r="I846" s="4"/>
      <c r="J846" s="5" t="s">
        <v>90</v>
      </c>
      <c r="K846" s="5" t="s">
        <v>78</v>
      </c>
      <c r="L846" s="4">
        <v>2008</v>
      </c>
      <c r="M846" s="4">
        <v>10</v>
      </c>
      <c r="N846" s="5" t="s">
        <v>108</v>
      </c>
      <c r="O846" s="28" t="s">
        <v>80</v>
      </c>
      <c r="P846" s="29">
        <v>6.5</v>
      </c>
      <c r="Q846" s="4">
        <v>9.2</v>
      </c>
      <c r="R846" s="4">
        <v>0.8</v>
      </c>
      <c r="S846" s="13">
        <v>11.5</v>
      </c>
      <c r="T846" s="21">
        <v>26</v>
      </c>
      <c r="U846" s="21">
        <v>46</v>
      </c>
      <c r="V846" s="21">
        <v>28</v>
      </c>
      <c r="W846" s="4">
        <v>30</v>
      </c>
      <c r="X846" s="5" t="s">
        <v>91</v>
      </c>
      <c r="Y846" s="5" t="s">
        <v>82</v>
      </c>
      <c r="Z846" s="4">
        <v>3</v>
      </c>
      <c r="AA846" s="4">
        <v>3</v>
      </c>
      <c r="AB846" s="9">
        <v>0.046412005266707</v>
      </c>
      <c r="AC846" s="9">
        <v>0.00101739449650603</v>
      </c>
      <c r="AD846" s="9">
        <v>-0.184108244432069</v>
      </c>
      <c r="AE846" s="9">
        <v>0.00399631581116866</v>
      </c>
      <c r="AF846" s="9">
        <v>-0.23052024969878</v>
      </c>
      <c r="AG846" s="9">
        <v>0.00501371030767469</v>
      </c>
      <c r="AH846" s="9">
        <v>-0.169820916296863</v>
      </c>
      <c r="AI846" s="9">
        <v>0.0057789341395321</v>
      </c>
      <c r="AJ846" s="4">
        <v>0.216232921563571</v>
      </c>
      <c r="AK846" s="4">
        <v>0.00679632863603816</v>
      </c>
      <c r="AL846" s="4">
        <v>-0.0142873281352081</v>
      </c>
      <c r="AM846" s="4">
        <v>0.00977524995070075</v>
      </c>
    </row>
    <row r="847" s="4" customFormat="1" spans="1:39">
      <c r="A847" s="4">
        <v>846</v>
      </c>
      <c r="B847" s="18">
        <v>133</v>
      </c>
      <c r="C847" s="19" t="s">
        <v>414</v>
      </c>
      <c r="D847" s="5" t="s">
        <v>417</v>
      </c>
      <c r="E847" s="9">
        <v>41.8</v>
      </c>
      <c r="F847" s="9">
        <v>123.55</v>
      </c>
      <c r="G847" s="20">
        <v>7.5</v>
      </c>
      <c r="H847" s="21">
        <v>634</v>
      </c>
      <c r="I847" s="4"/>
      <c r="J847" s="5" t="s">
        <v>90</v>
      </c>
      <c r="K847" s="5" t="s">
        <v>78</v>
      </c>
      <c r="L847" s="4">
        <v>2008</v>
      </c>
      <c r="M847" s="4">
        <v>10</v>
      </c>
      <c r="N847" s="5" t="s">
        <v>108</v>
      </c>
      <c r="O847" s="28" t="s">
        <v>80</v>
      </c>
      <c r="P847" s="29">
        <v>6.5</v>
      </c>
      <c r="Q847" s="4">
        <v>9.2</v>
      </c>
      <c r="R847" s="4">
        <v>0.8</v>
      </c>
      <c r="S847" s="13">
        <v>11.5</v>
      </c>
      <c r="T847" s="21">
        <v>26</v>
      </c>
      <c r="U847" s="21">
        <v>46</v>
      </c>
      <c r="V847" s="21">
        <v>28</v>
      </c>
      <c r="W847" s="4">
        <v>30</v>
      </c>
      <c r="X847" s="5" t="s">
        <v>91</v>
      </c>
      <c r="Y847" s="5" t="s">
        <v>82</v>
      </c>
      <c r="Z847" s="4">
        <v>3</v>
      </c>
      <c r="AA847" s="4">
        <v>3</v>
      </c>
      <c r="AB847" s="9">
        <v>-0.0808394009003072</v>
      </c>
      <c r="AC847" s="9">
        <v>0.00234495631362164</v>
      </c>
      <c r="AD847" s="9">
        <v>0.00623002907147265</v>
      </c>
      <c r="AE847" s="9">
        <v>0.00101942706260602</v>
      </c>
      <c r="AF847" s="9">
        <v>0.0870694299717804</v>
      </c>
      <c r="AG847" s="9">
        <v>0.00336438337622765</v>
      </c>
      <c r="AH847" s="9">
        <v>0.0779494630303545</v>
      </c>
      <c r="AI847" s="9">
        <v>0.00530497223064784</v>
      </c>
      <c r="AJ847" s="4">
        <v>-0.158788863930665</v>
      </c>
      <c r="AK847" s="4">
        <v>0.00764992854426952</v>
      </c>
      <c r="AL847" s="4">
        <v>-0.0717194339588794</v>
      </c>
      <c r="AM847" s="4">
        <v>0.00632439929325382</v>
      </c>
    </row>
    <row r="848" s="4" customFormat="1" spans="1:39">
      <c r="A848" s="4">
        <v>847</v>
      </c>
      <c r="B848" s="18">
        <v>133</v>
      </c>
      <c r="C848" s="19" t="s">
        <v>414</v>
      </c>
      <c r="D848" s="5" t="s">
        <v>417</v>
      </c>
      <c r="E848" s="9">
        <v>41.8</v>
      </c>
      <c r="F848" s="9">
        <v>123.55</v>
      </c>
      <c r="G848" s="20">
        <v>7.5</v>
      </c>
      <c r="H848" s="21">
        <v>634</v>
      </c>
      <c r="I848" s="4"/>
      <c r="J848" s="5" t="s">
        <v>90</v>
      </c>
      <c r="K848" s="5" t="s">
        <v>78</v>
      </c>
      <c r="L848" s="4">
        <v>2008</v>
      </c>
      <c r="M848" s="4">
        <v>10</v>
      </c>
      <c r="N848" s="5" t="s">
        <v>108</v>
      </c>
      <c r="O848" s="28" t="s">
        <v>80</v>
      </c>
      <c r="P848" s="29">
        <v>6.5</v>
      </c>
      <c r="Q848" s="4">
        <v>9.2</v>
      </c>
      <c r="R848" s="4">
        <v>0.8</v>
      </c>
      <c r="S848" s="13">
        <v>11.5</v>
      </c>
      <c r="T848" s="21">
        <v>26</v>
      </c>
      <c r="U848" s="21">
        <v>46</v>
      </c>
      <c r="V848" s="21">
        <v>28</v>
      </c>
      <c r="W848" s="4">
        <v>30</v>
      </c>
      <c r="X848" s="5" t="s">
        <v>91</v>
      </c>
      <c r="Y848" s="5" t="s">
        <v>82</v>
      </c>
      <c r="Z848" s="4">
        <v>3</v>
      </c>
      <c r="AA848" s="4">
        <v>3</v>
      </c>
      <c r="AB848" s="9">
        <v>-0.0474857347289312</v>
      </c>
      <c r="AC848" s="9">
        <v>0.00185497086683984</v>
      </c>
      <c r="AD848" s="9">
        <v>-0.309204436470638</v>
      </c>
      <c r="AE848" s="9">
        <v>0.00162858101032547</v>
      </c>
      <c r="AF848" s="9">
        <v>-0.261718701741706</v>
      </c>
      <c r="AG848" s="9">
        <v>0.00348355187716531</v>
      </c>
      <c r="AH848" s="9">
        <v>-0.116297626287995</v>
      </c>
      <c r="AI848" s="9">
        <v>0.00158330655227469</v>
      </c>
      <c r="AJ848" s="4">
        <v>0.0688118915590643</v>
      </c>
      <c r="AK848" s="4">
        <v>0.00343827741911454</v>
      </c>
      <c r="AL848" s="4">
        <v>-0.192906810182643</v>
      </c>
      <c r="AM848" s="4">
        <v>0.00321188756260015</v>
      </c>
    </row>
    <row r="849" s="4" customFormat="1" spans="1:39">
      <c r="A849" s="4">
        <v>848</v>
      </c>
      <c r="B849" s="18">
        <v>133</v>
      </c>
      <c r="C849" s="19" t="s">
        <v>414</v>
      </c>
      <c r="D849" s="5" t="s">
        <v>417</v>
      </c>
      <c r="E849" s="9">
        <v>41.8</v>
      </c>
      <c r="F849" s="9">
        <v>123.55</v>
      </c>
      <c r="G849" s="20">
        <v>7.5</v>
      </c>
      <c r="H849" s="21">
        <v>634</v>
      </c>
      <c r="I849" s="4"/>
      <c r="J849" s="5" t="s">
        <v>90</v>
      </c>
      <c r="K849" s="5" t="s">
        <v>78</v>
      </c>
      <c r="L849" s="4">
        <v>2008</v>
      </c>
      <c r="M849" s="4">
        <v>10</v>
      </c>
      <c r="N849" s="5" t="s">
        <v>108</v>
      </c>
      <c r="O849" s="28" t="s">
        <v>80</v>
      </c>
      <c r="P849" s="29">
        <v>6.5</v>
      </c>
      <c r="Q849" s="4">
        <v>9.2</v>
      </c>
      <c r="R849" s="4">
        <v>0.8</v>
      </c>
      <c r="S849" s="13">
        <v>11.5</v>
      </c>
      <c r="T849" s="21">
        <v>26</v>
      </c>
      <c r="U849" s="21">
        <v>46</v>
      </c>
      <c r="V849" s="21">
        <v>28</v>
      </c>
      <c r="W849" s="4">
        <v>30</v>
      </c>
      <c r="X849" s="5" t="s">
        <v>91</v>
      </c>
      <c r="Y849" s="5" t="s">
        <v>82</v>
      </c>
      <c r="Z849" s="4">
        <v>3</v>
      </c>
      <c r="AA849" s="4">
        <v>3</v>
      </c>
      <c r="AB849" s="9">
        <v>-0.0292903941331036</v>
      </c>
      <c r="AC849" s="9">
        <v>0.00285049788780935</v>
      </c>
      <c r="AD849" s="9">
        <v>-0.522881300732996</v>
      </c>
      <c r="AE849" s="9">
        <v>0.00483022986066142</v>
      </c>
      <c r="AF849" s="9">
        <v>-0.493590906599893</v>
      </c>
      <c r="AG849" s="9">
        <v>0.0076807277484708</v>
      </c>
      <c r="AH849" s="9">
        <v>-0.212920380258444</v>
      </c>
      <c r="AI849" s="9">
        <v>0.00087018570800855</v>
      </c>
      <c r="AJ849" s="4">
        <v>0.18362998612534</v>
      </c>
      <c r="AK849" s="4">
        <v>0.00372068359581791</v>
      </c>
      <c r="AL849" s="4">
        <v>-0.309960920474552</v>
      </c>
      <c r="AM849" s="4">
        <v>0.00570041556867</v>
      </c>
    </row>
    <row r="850" s="4" customFormat="1" spans="1:39">
      <c r="A850" s="4">
        <v>849</v>
      </c>
      <c r="B850" s="18">
        <v>133</v>
      </c>
      <c r="C850" s="19" t="s">
        <v>414</v>
      </c>
      <c r="D850" s="5" t="s">
        <v>417</v>
      </c>
      <c r="E850" s="9">
        <v>41.8</v>
      </c>
      <c r="F850" s="9">
        <v>123.55</v>
      </c>
      <c r="G850" s="20">
        <v>7.5</v>
      </c>
      <c r="H850" s="21">
        <v>634</v>
      </c>
      <c r="I850" s="4"/>
      <c r="J850" s="5" t="s">
        <v>90</v>
      </c>
      <c r="K850" s="5" t="s">
        <v>78</v>
      </c>
      <c r="L850" s="4">
        <v>2008</v>
      </c>
      <c r="M850" s="4">
        <v>10</v>
      </c>
      <c r="N850" s="5" t="s">
        <v>108</v>
      </c>
      <c r="O850" s="28" t="s">
        <v>80</v>
      </c>
      <c r="P850" s="29">
        <v>6.5</v>
      </c>
      <c r="Q850" s="4">
        <v>9.2</v>
      </c>
      <c r="R850" s="4">
        <v>0.8</v>
      </c>
      <c r="S850" s="13">
        <v>11.5</v>
      </c>
      <c r="T850" s="21">
        <v>26</v>
      </c>
      <c r="U850" s="21">
        <v>46</v>
      </c>
      <c r="V850" s="21">
        <v>28</v>
      </c>
      <c r="W850" s="4">
        <v>30</v>
      </c>
      <c r="X850" s="5" t="s">
        <v>91</v>
      </c>
      <c r="Y850" s="5" t="s">
        <v>82</v>
      </c>
      <c r="Z850" s="4">
        <v>3</v>
      </c>
      <c r="AA850" s="4">
        <v>3</v>
      </c>
      <c r="AB850" s="9">
        <v>0.0278315199432098</v>
      </c>
      <c r="AC850" s="9">
        <v>0.000771844480521453</v>
      </c>
      <c r="AD850" s="9">
        <v>-0.539288790753064</v>
      </c>
      <c r="AE850" s="9">
        <v>0.0066261951634068</v>
      </c>
      <c r="AF850" s="9">
        <v>-0.567120310696275</v>
      </c>
      <c r="AG850" s="9">
        <v>0.00739803964392825</v>
      </c>
      <c r="AH850" s="9">
        <v>-0.167640959888504</v>
      </c>
      <c r="AI850" s="9">
        <v>0.000575759287386363</v>
      </c>
      <c r="AJ850" s="4">
        <v>0.195472479831713</v>
      </c>
      <c r="AK850" s="4">
        <v>0.00134760376790782</v>
      </c>
      <c r="AL850" s="4">
        <v>-0.371647830864559</v>
      </c>
      <c r="AM850" s="4">
        <v>0.00720195445079315</v>
      </c>
    </row>
    <row r="851" s="3" customFormat="1" spans="1:75">
      <c r="A851" s="4">
        <v>850</v>
      </c>
      <c r="B851" s="6">
        <v>134</v>
      </c>
      <c r="C851" s="24" t="s">
        <v>418</v>
      </c>
      <c r="D851" s="13" t="s">
        <v>419</v>
      </c>
      <c r="E851" s="3">
        <v>29.468</v>
      </c>
      <c r="F851" s="3">
        <v>94.415</v>
      </c>
      <c r="G851" s="20">
        <v>9.20833301544189</v>
      </c>
      <c r="H851" s="27">
        <v>700</v>
      </c>
      <c r="I851" s="3">
        <f>(2940+2965)/2</f>
        <v>2952.5</v>
      </c>
      <c r="J851" s="13" t="s">
        <v>185</v>
      </c>
      <c r="K851" s="5" t="s">
        <v>182</v>
      </c>
      <c r="L851" s="3">
        <v>2012</v>
      </c>
      <c r="M851" s="3">
        <v>7</v>
      </c>
      <c r="N851" s="13" t="s">
        <v>96</v>
      </c>
      <c r="O851" s="36" t="s">
        <v>80</v>
      </c>
      <c r="P851" s="7">
        <v>5.33</v>
      </c>
      <c r="Q851" s="3">
        <v>49.9</v>
      </c>
      <c r="R851" s="3">
        <v>4</v>
      </c>
      <c r="S851" s="13">
        <v>12.475</v>
      </c>
      <c r="T851" s="21">
        <v>26</v>
      </c>
      <c r="U851" s="21">
        <v>34</v>
      </c>
      <c r="V851" s="21">
        <v>40</v>
      </c>
      <c r="W851" s="3"/>
      <c r="X851" s="3"/>
      <c r="Y851" s="13" t="s">
        <v>82</v>
      </c>
      <c r="Z851" s="3">
        <v>5</v>
      </c>
      <c r="AA851" s="3">
        <v>5</v>
      </c>
      <c r="AB851" s="9">
        <v>-0.023784905023442</v>
      </c>
      <c r="AC851" s="9">
        <v>0.00341543566000545</v>
      </c>
      <c r="AD851" s="25">
        <v>-0.15684247149297</v>
      </c>
      <c r="AE851" s="25">
        <v>0.00559155775863888</v>
      </c>
      <c r="AF851" s="9">
        <v>-0.133057566469528</v>
      </c>
      <c r="AG851" s="9">
        <v>0.00900699341864431</v>
      </c>
      <c r="AH851" s="25">
        <v>-0.744545954616388</v>
      </c>
      <c r="AI851" s="25">
        <v>0.0260268296815243</v>
      </c>
      <c r="AJ851" s="4">
        <v>0.720761049592944</v>
      </c>
      <c r="AK851" s="4">
        <v>0.0294422653415298</v>
      </c>
      <c r="AL851" s="3">
        <v>0.587703483123418</v>
      </c>
      <c r="AM851" s="3">
        <v>0.0316183874401632</v>
      </c>
      <c r="AN851" s="4">
        <v>0.0965033956622519</v>
      </c>
      <c r="AO851" s="4">
        <v>0.000128874787023915</v>
      </c>
      <c r="AP851" s="3">
        <v>-0.470003629245736</v>
      </c>
      <c r="AQ851" s="3">
        <v>0.0164</v>
      </c>
      <c r="AR851" s="4"/>
      <c r="AS851" s="4"/>
      <c r="AT851" s="3"/>
      <c r="AU851" s="3"/>
      <c r="AV851" s="4"/>
      <c r="AW851" s="4"/>
      <c r="AX851" s="3"/>
      <c r="AY851" s="3"/>
      <c r="BN851" s="3">
        <v>0.214559807622818</v>
      </c>
      <c r="BO851" s="3">
        <v>0.00520567124510172</v>
      </c>
      <c r="BV851" s="3">
        <v>-0.120281163360739</v>
      </c>
      <c r="BW851" s="3">
        <v>0.153971242228157</v>
      </c>
    </row>
    <row r="852" s="3" customFormat="1" spans="1:75">
      <c r="A852" s="4">
        <v>851</v>
      </c>
      <c r="B852" s="6">
        <v>134</v>
      </c>
      <c r="C852" s="24" t="s">
        <v>418</v>
      </c>
      <c r="D852" s="13" t="s">
        <v>419</v>
      </c>
      <c r="E852" s="3">
        <v>29.468</v>
      </c>
      <c r="F852" s="3">
        <v>94.415</v>
      </c>
      <c r="G852" s="20">
        <v>9.20833301544189</v>
      </c>
      <c r="H852" s="27">
        <v>700</v>
      </c>
      <c r="I852" s="3">
        <f>(2940+2965)/2</f>
        <v>2952.5</v>
      </c>
      <c r="J852" s="13" t="s">
        <v>181</v>
      </c>
      <c r="K852" s="5" t="s">
        <v>182</v>
      </c>
      <c r="L852" s="3">
        <v>2012</v>
      </c>
      <c r="M852" s="3">
        <v>7</v>
      </c>
      <c r="N852" s="13" t="s">
        <v>96</v>
      </c>
      <c r="O852" s="36" t="s">
        <v>80</v>
      </c>
      <c r="P852" s="7">
        <v>5.33</v>
      </c>
      <c r="Q852" s="3">
        <v>49.9</v>
      </c>
      <c r="R852" s="3">
        <v>4</v>
      </c>
      <c r="S852" s="13">
        <v>12.475</v>
      </c>
      <c r="T852" s="21">
        <v>26</v>
      </c>
      <c r="U852" s="21">
        <v>34</v>
      </c>
      <c r="V852" s="21">
        <v>40</v>
      </c>
      <c r="W852" s="3"/>
      <c r="X852" s="3"/>
      <c r="Y852" s="13" t="s">
        <v>82</v>
      </c>
      <c r="Z852" s="3">
        <v>5</v>
      </c>
      <c r="AA852" s="3">
        <v>5</v>
      </c>
      <c r="AB852" s="9">
        <v>-0.768570942377187</v>
      </c>
      <c r="AC852" s="9">
        <v>0.00169804492225048</v>
      </c>
      <c r="AD852" s="25">
        <v>-0.908258560176891</v>
      </c>
      <c r="AE852" s="25">
        <v>0.00548532778355877</v>
      </c>
      <c r="AF852" s="9">
        <v>-0.139687617799703</v>
      </c>
      <c r="AG852" s="9">
        <v>0.00718337270580923</v>
      </c>
      <c r="AH852" s="25">
        <v>-1.18872557490524</v>
      </c>
      <c r="AI852" s="25">
        <v>0.0141302040808255</v>
      </c>
      <c r="AJ852" s="4">
        <v>0.420154632528056</v>
      </c>
      <c r="AK852" s="4">
        <v>0.015828249003076</v>
      </c>
      <c r="AL852" s="3">
        <v>0.280467014728351</v>
      </c>
      <c r="AM852" s="3">
        <v>0.0196155318643843</v>
      </c>
      <c r="AN852" s="4">
        <v>0.382053725673841</v>
      </c>
      <c r="AO852" s="4">
        <v>0.00018911575391498</v>
      </c>
      <c r="AP852" s="3">
        <v>-1.04982212449868</v>
      </c>
      <c r="AQ852" s="3">
        <v>0.0151020408163265</v>
      </c>
      <c r="AR852" s="4"/>
      <c r="AS852" s="4"/>
      <c r="AT852" s="3"/>
      <c r="AU852" s="3"/>
      <c r="AV852" s="4"/>
      <c r="AW852" s="4"/>
      <c r="AX852" s="3"/>
      <c r="AY852" s="3"/>
      <c r="BN852" s="3">
        <v>-0.0436750635026615</v>
      </c>
      <c r="BO852" s="3">
        <v>0.0060297233408211</v>
      </c>
      <c r="BV852" s="3">
        <v>-0.981938761613284</v>
      </c>
      <c r="BW852" s="3">
        <v>0.0341735220778267</v>
      </c>
    </row>
    <row r="853" s="3" customFormat="1" spans="1:75">
      <c r="A853" s="4">
        <v>852</v>
      </c>
      <c r="B853" s="6">
        <v>134</v>
      </c>
      <c r="C853" s="24" t="s">
        <v>418</v>
      </c>
      <c r="D853" s="13" t="s">
        <v>419</v>
      </c>
      <c r="E853" s="3">
        <v>29.278</v>
      </c>
      <c r="F853" s="3">
        <v>94.327</v>
      </c>
      <c r="G853" s="20">
        <v>7.64166688919067</v>
      </c>
      <c r="H853" s="27">
        <v>700</v>
      </c>
      <c r="I853" s="3">
        <f>(2930+2957)/2</f>
        <v>2943.5</v>
      </c>
      <c r="J853" s="13" t="s">
        <v>185</v>
      </c>
      <c r="K853" s="5" t="s">
        <v>182</v>
      </c>
      <c r="L853" s="3">
        <v>2012</v>
      </c>
      <c r="M853" s="3">
        <v>7</v>
      </c>
      <c r="N853" s="13" t="s">
        <v>96</v>
      </c>
      <c r="O853" s="36" t="s">
        <v>80</v>
      </c>
      <c r="P853" s="7">
        <v>5.5</v>
      </c>
      <c r="Q853" s="3">
        <v>25.6</v>
      </c>
      <c r="R853" s="3">
        <v>2</v>
      </c>
      <c r="S853" s="13">
        <v>12.8</v>
      </c>
      <c r="T853" s="21">
        <v>17</v>
      </c>
      <c r="U853" s="21">
        <v>42</v>
      </c>
      <c r="V853" s="21">
        <v>41</v>
      </c>
      <c r="W853" s="3"/>
      <c r="X853" s="3"/>
      <c r="Y853" s="13" t="s">
        <v>82</v>
      </c>
      <c r="Z853" s="3">
        <v>5</v>
      </c>
      <c r="AA853" s="3">
        <v>5</v>
      </c>
      <c r="AB853" s="9">
        <v>0.315852949418477</v>
      </c>
      <c r="AC853" s="9">
        <v>0.0149765019176394</v>
      </c>
      <c r="AD853" s="25">
        <v>-0.0686285063890962</v>
      </c>
      <c r="AE853" s="25">
        <v>0.0156926586410808</v>
      </c>
      <c r="AF853" s="9">
        <v>-0.384481455807573</v>
      </c>
      <c r="AG853" s="9">
        <v>0.0306691605587203</v>
      </c>
      <c r="AH853" s="25">
        <v>-0.0855919303354035</v>
      </c>
      <c r="AI853" s="25">
        <v>0.00277802843214033</v>
      </c>
      <c r="AJ853" s="4">
        <v>0.401444879753883</v>
      </c>
      <c r="AK853" s="4">
        <v>0.0177545303497797</v>
      </c>
      <c r="AL853" s="3">
        <v>0.0169634239463071</v>
      </c>
      <c r="AM853" s="3">
        <v>0.0184706870732211</v>
      </c>
      <c r="AN853" s="4">
        <v>0.111703989580001</v>
      </c>
      <c r="AO853" s="4">
        <v>0.00105055334044572</v>
      </c>
      <c r="AP853" s="3">
        <v>0</v>
      </c>
      <c r="AQ853" s="3">
        <v>0.0625</v>
      </c>
      <c r="AR853" s="4"/>
      <c r="AS853" s="4"/>
      <c r="AT853" s="3"/>
      <c r="AU853" s="3"/>
      <c r="AV853" s="4"/>
      <c r="AW853" s="4"/>
      <c r="AX853" s="3"/>
      <c r="AY853" s="3"/>
      <c r="BN853" s="3">
        <v>0.0923733201310151</v>
      </c>
      <c r="BO853" s="3">
        <v>0.00401143065722341</v>
      </c>
      <c r="BV853" s="3">
        <v>-0.108948953709019</v>
      </c>
      <c r="BW853" s="3">
        <v>0.0966059675918004</v>
      </c>
    </row>
    <row r="854" s="3" customFormat="1" spans="1:75">
      <c r="A854" s="4">
        <v>853</v>
      </c>
      <c r="B854" s="6">
        <v>134</v>
      </c>
      <c r="C854" s="24" t="s">
        <v>418</v>
      </c>
      <c r="D854" s="13" t="s">
        <v>419</v>
      </c>
      <c r="E854" s="3">
        <v>29.278</v>
      </c>
      <c r="F854" s="3">
        <v>94.327</v>
      </c>
      <c r="G854" s="20">
        <v>7.64166688919067</v>
      </c>
      <c r="H854" s="27">
        <v>700</v>
      </c>
      <c r="I854" s="3">
        <f>(2930+2957)/2</f>
        <v>2943.5</v>
      </c>
      <c r="J854" s="13" t="s">
        <v>181</v>
      </c>
      <c r="K854" s="5" t="s">
        <v>182</v>
      </c>
      <c r="L854" s="3">
        <v>2012</v>
      </c>
      <c r="M854" s="3">
        <v>7</v>
      </c>
      <c r="N854" s="13" t="s">
        <v>96</v>
      </c>
      <c r="O854" s="36" t="s">
        <v>80</v>
      </c>
      <c r="P854" s="7">
        <v>5.5</v>
      </c>
      <c r="Q854" s="3">
        <v>25.6</v>
      </c>
      <c r="R854" s="3">
        <v>2</v>
      </c>
      <c r="S854" s="13">
        <v>12.8</v>
      </c>
      <c r="T854" s="21">
        <v>17</v>
      </c>
      <c r="U854" s="21">
        <v>42</v>
      </c>
      <c r="V854" s="21">
        <v>41</v>
      </c>
      <c r="W854" s="3"/>
      <c r="X854" s="3"/>
      <c r="Y854" s="13" t="s">
        <v>82</v>
      </c>
      <c r="Z854" s="3">
        <v>5</v>
      </c>
      <c r="AA854" s="3">
        <v>5</v>
      </c>
      <c r="AB854" s="9">
        <v>-0.255404413532431</v>
      </c>
      <c r="AC854" s="9">
        <v>0.00446122746230884</v>
      </c>
      <c r="AD854" s="25">
        <v>-0.559615787935423</v>
      </c>
      <c r="AE854" s="25">
        <v>0.00661833610995418</v>
      </c>
      <c r="AF854" s="9">
        <v>-0.304211374402991</v>
      </c>
      <c r="AG854" s="9">
        <v>0.011079563572263</v>
      </c>
      <c r="AH854" s="25">
        <v>-0.495321437230025</v>
      </c>
      <c r="AI854" s="25">
        <v>0.00277802843214032</v>
      </c>
      <c r="AJ854" s="4">
        <v>0.239917023697591</v>
      </c>
      <c r="AK854" s="4">
        <v>0.00723925589444915</v>
      </c>
      <c r="AL854" s="3">
        <v>-0.0642943507053973</v>
      </c>
      <c r="AM854" s="3">
        <v>0.00939636454209444</v>
      </c>
      <c r="AN854" s="4">
        <v>0.316799471022508</v>
      </c>
      <c r="AO854" s="4">
        <v>0.000983440845170991</v>
      </c>
      <c r="AP854" s="3">
        <v>-0.0512932943875506</v>
      </c>
      <c r="AQ854" s="3">
        <v>0.0252700831024931</v>
      </c>
      <c r="AR854" s="4"/>
      <c r="AS854" s="4"/>
      <c r="AT854" s="3"/>
      <c r="AU854" s="3"/>
      <c r="AV854" s="4"/>
      <c r="AW854" s="4"/>
      <c r="AX854" s="3"/>
      <c r="AY854" s="3"/>
      <c r="BN854" s="3">
        <v>-0.215111379616946</v>
      </c>
      <c r="BO854" s="3">
        <v>0.00342014276795005</v>
      </c>
      <c r="BV854" s="3">
        <v>-0.909648242014555</v>
      </c>
      <c r="BW854" s="3">
        <v>0.026884142805881</v>
      </c>
    </row>
    <row r="855" s="3" customFormat="1" spans="1:75">
      <c r="A855" s="4">
        <v>854</v>
      </c>
      <c r="B855" s="6">
        <v>134</v>
      </c>
      <c r="C855" s="24" t="s">
        <v>418</v>
      </c>
      <c r="D855" s="13" t="s">
        <v>419</v>
      </c>
      <c r="E855" s="3">
        <v>29.667</v>
      </c>
      <c r="F855" s="3">
        <v>94.337</v>
      </c>
      <c r="G855" s="20">
        <v>8.89999961853027</v>
      </c>
      <c r="H855" s="27">
        <v>700</v>
      </c>
      <c r="I855" s="3">
        <f>(3032+3096)/2</f>
        <v>3064</v>
      </c>
      <c r="J855" s="13" t="s">
        <v>185</v>
      </c>
      <c r="K855" s="5" t="s">
        <v>182</v>
      </c>
      <c r="L855" s="3">
        <v>2012</v>
      </c>
      <c r="M855" s="3">
        <v>7</v>
      </c>
      <c r="N855" s="13" t="s">
        <v>96</v>
      </c>
      <c r="O855" s="36" t="s">
        <v>80</v>
      </c>
      <c r="P855" s="7">
        <v>5.41</v>
      </c>
      <c r="Q855" s="3">
        <v>24.2</v>
      </c>
      <c r="R855" s="3">
        <v>1.7</v>
      </c>
      <c r="S855" s="13">
        <v>14.2352941176471</v>
      </c>
      <c r="T855" s="21">
        <v>20</v>
      </c>
      <c r="U855" s="21">
        <v>36</v>
      </c>
      <c r="V855" s="21">
        <v>44</v>
      </c>
      <c r="W855" s="3"/>
      <c r="X855" s="3"/>
      <c r="Y855" s="13" t="s">
        <v>82</v>
      </c>
      <c r="Z855" s="3">
        <v>5</v>
      </c>
      <c r="AA855" s="3">
        <v>5</v>
      </c>
      <c r="AB855" s="9">
        <v>0.396881364416773</v>
      </c>
      <c r="AC855" s="9">
        <v>0.0266743109594884</v>
      </c>
      <c r="AD855" s="25">
        <v>0.294452579018992</v>
      </c>
      <c r="AE855" s="25">
        <v>0.0105194670563806</v>
      </c>
      <c r="AF855" s="9">
        <v>-0.102428785397781</v>
      </c>
      <c r="AG855" s="9">
        <v>0.0371937780158688</v>
      </c>
      <c r="AH855" s="25">
        <v>0.482324113633776</v>
      </c>
      <c r="AI855" s="25">
        <v>0.038280849318982</v>
      </c>
      <c r="AJ855" s="4">
        <v>-0.0854427492170096</v>
      </c>
      <c r="AK855" s="4">
        <v>0.0649551602784704</v>
      </c>
      <c r="AL855" s="3">
        <v>-0.187871534614784</v>
      </c>
      <c r="AM855" s="3">
        <v>0.0488003163753625</v>
      </c>
      <c r="AN855" s="4">
        <v>0.103510376369665</v>
      </c>
      <c r="AO855" s="4">
        <v>0.000496445884009477</v>
      </c>
      <c r="AP855" s="3">
        <v>0.567984037605939</v>
      </c>
      <c r="AQ855" s="3">
        <v>0.0316186082276048</v>
      </c>
      <c r="AR855" s="4"/>
      <c r="AS855" s="4"/>
      <c r="AT855" s="3"/>
      <c r="AU855" s="3"/>
      <c r="AV855" s="4"/>
      <c r="AW855" s="4"/>
      <c r="AX855" s="3"/>
      <c r="AY855" s="3"/>
      <c r="BN855" s="3">
        <v>0.739427933123951</v>
      </c>
      <c r="BO855" s="3">
        <v>0.00284489388436356</v>
      </c>
      <c r="BV855" s="3">
        <v>-0.00263643706626223</v>
      </c>
      <c r="BW855" s="3">
        <v>0.0527965286072777</v>
      </c>
    </row>
    <row r="856" s="3" customFormat="1" spans="1:75">
      <c r="A856" s="4">
        <v>855</v>
      </c>
      <c r="B856" s="6">
        <v>134</v>
      </c>
      <c r="C856" s="24" t="s">
        <v>418</v>
      </c>
      <c r="D856" s="13" t="s">
        <v>419</v>
      </c>
      <c r="E856" s="3">
        <v>29.667</v>
      </c>
      <c r="F856" s="3">
        <v>94.337</v>
      </c>
      <c r="G856" s="20">
        <v>8.89999961853027</v>
      </c>
      <c r="H856" s="27">
        <v>700</v>
      </c>
      <c r="I856" s="3">
        <f>(3032+3096)/2</f>
        <v>3064</v>
      </c>
      <c r="J856" s="13" t="s">
        <v>181</v>
      </c>
      <c r="K856" s="5" t="s">
        <v>182</v>
      </c>
      <c r="L856" s="3">
        <v>2012</v>
      </c>
      <c r="M856" s="3">
        <v>7</v>
      </c>
      <c r="N856" s="13" t="s">
        <v>96</v>
      </c>
      <c r="O856" s="36" t="s">
        <v>80</v>
      </c>
      <c r="P856" s="7">
        <v>5.41</v>
      </c>
      <c r="Q856" s="3">
        <v>24.2</v>
      </c>
      <c r="R856" s="3">
        <v>1.7</v>
      </c>
      <c r="S856" s="13">
        <v>14.2352941176471</v>
      </c>
      <c r="T856" s="21">
        <v>20</v>
      </c>
      <c r="U856" s="21">
        <v>36</v>
      </c>
      <c r="V856" s="21">
        <v>44</v>
      </c>
      <c r="W856" s="3"/>
      <c r="X856" s="3"/>
      <c r="Y856" s="13" t="s">
        <v>82</v>
      </c>
      <c r="Z856" s="3">
        <v>5</v>
      </c>
      <c r="AA856" s="3">
        <v>5</v>
      </c>
      <c r="AB856" s="9">
        <v>-0.358508125020393</v>
      </c>
      <c r="AC856" s="9">
        <v>0.0180261674837492</v>
      </c>
      <c r="AD856" s="25">
        <v>-0.523587875379842</v>
      </c>
      <c r="AE856" s="25">
        <v>0.00988284110831911</v>
      </c>
      <c r="AF856" s="9">
        <v>-0.165079750359449</v>
      </c>
      <c r="AG856" s="9">
        <v>0.0279090085920682</v>
      </c>
      <c r="AH856" s="25">
        <v>-0.78845736036427</v>
      </c>
      <c r="AI856" s="25">
        <v>0.0215702479338843</v>
      </c>
      <c r="AJ856" s="4">
        <v>0.429949235343874</v>
      </c>
      <c r="AK856" s="4">
        <v>0.0395964154176334</v>
      </c>
      <c r="AL856" s="3">
        <v>0.264869484984428</v>
      </c>
      <c r="AM856" s="3">
        <v>0.0314530890422035</v>
      </c>
      <c r="AN856" s="4">
        <v>0.289989943312283</v>
      </c>
      <c r="AO856" s="4">
        <v>0.000341102484274623</v>
      </c>
      <c r="AP856" s="3">
        <v>-0.348306694268216</v>
      </c>
      <c r="AQ856" s="3">
        <v>0.013840830449827</v>
      </c>
      <c r="AR856" s="4"/>
      <c r="AS856" s="4"/>
      <c r="AT856" s="3"/>
      <c r="AU856" s="3"/>
      <c r="AV856" s="4"/>
      <c r="AW856" s="4"/>
      <c r="AX856" s="3"/>
      <c r="AY856" s="3"/>
      <c r="BN856" s="3">
        <v>0.429729730107796</v>
      </c>
      <c r="BO856" s="3">
        <v>0.00519297026046267</v>
      </c>
      <c r="BV856" s="3">
        <v>-0.275990114812764</v>
      </c>
      <c r="BW856" s="3">
        <v>0.0465742638756933</v>
      </c>
    </row>
    <row r="857" s="3" customFormat="1" spans="1:71">
      <c r="A857" s="4">
        <v>856</v>
      </c>
      <c r="B857" s="6">
        <v>136</v>
      </c>
      <c r="C857" s="24" t="s">
        <v>420</v>
      </c>
      <c r="D857" s="13" t="s">
        <v>421</v>
      </c>
      <c r="E857" s="25">
        <v>23.667</v>
      </c>
      <c r="F857" s="25">
        <v>87.187</v>
      </c>
      <c r="G857" s="26">
        <v>25.4</v>
      </c>
      <c r="H857" s="27">
        <v>1206</v>
      </c>
      <c r="I857" s="3"/>
      <c r="J857" s="5" t="s">
        <v>199</v>
      </c>
      <c r="K857" s="5" t="s">
        <v>182</v>
      </c>
      <c r="L857" s="3">
        <v>2017</v>
      </c>
      <c r="M857" s="3">
        <v>1</v>
      </c>
      <c r="N857" s="13" t="s">
        <v>79</v>
      </c>
      <c r="O857" s="36" t="s">
        <v>80</v>
      </c>
      <c r="P857" s="7">
        <v>5.77</v>
      </c>
      <c r="Q857" s="3">
        <v>19.2</v>
      </c>
      <c r="R857" s="3">
        <v>0.94</v>
      </c>
      <c r="S857" s="13">
        <v>20.4255319148936</v>
      </c>
      <c r="T857" s="8">
        <v>12</v>
      </c>
      <c r="U857" s="8">
        <v>26.3</v>
      </c>
      <c r="V857" s="8">
        <v>61.7</v>
      </c>
      <c r="W857" s="3">
        <v>26</v>
      </c>
      <c r="X857" s="5" t="s">
        <v>91</v>
      </c>
      <c r="Y857" s="13" t="s">
        <v>82</v>
      </c>
      <c r="Z857" s="3">
        <v>6</v>
      </c>
      <c r="AA857" s="3">
        <v>6</v>
      </c>
      <c r="AB857" s="9">
        <v>-2.38482319123102</v>
      </c>
      <c r="AC857" s="9">
        <v>0.000329495025156877</v>
      </c>
      <c r="AD857" s="25">
        <v>-2.77258872223978</v>
      </c>
      <c r="AE857" s="25">
        <v>0.000418294270833333</v>
      </c>
      <c r="AF857" s="9">
        <v>-0.387765531008762</v>
      </c>
      <c r="AG857" s="9">
        <v>0.000747789295990207</v>
      </c>
      <c r="AH857" s="25">
        <v>-1.23214368129263</v>
      </c>
      <c r="AI857" s="25">
        <v>9.64687632865646e-5</v>
      </c>
      <c r="AJ857" s="4">
        <v>-1.15267950993838</v>
      </c>
      <c r="AK857" s="4">
        <v>0.000425963788443442</v>
      </c>
      <c r="AL857" s="3">
        <v>-1.54044504094715</v>
      </c>
      <c r="AM857" s="3">
        <v>0.0005147630341199</v>
      </c>
      <c r="AN857" s="4">
        <v>0.284644534859157</v>
      </c>
      <c r="AO857" s="4">
        <v>2.0571627723061e-5</v>
      </c>
      <c r="AP857" s="3">
        <v>-1.40780056634085</v>
      </c>
      <c r="AQ857" s="3">
        <v>0.0271914203309312</v>
      </c>
      <c r="AR857" s="4"/>
      <c r="AS857" s="4"/>
      <c r="AT857" s="3"/>
      <c r="AU857" s="3"/>
      <c r="AV857" s="4">
        <v>-2.69124308278583</v>
      </c>
      <c r="AW857" s="4">
        <v>0.00199032844967921</v>
      </c>
      <c r="AX857" s="3">
        <v>-0.274542325370652</v>
      </c>
      <c r="AY857" s="3">
        <v>0.0424268296815243</v>
      </c>
      <c r="BJ857" s="3">
        <v>0.140451835469096</v>
      </c>
      <c r="BK857" s="3">
        <v>0.00321282048439816</v>
      </c>
      <c r="BR857" s="3">
        <v>-2.1508437889901</v>
      </c>
      <c r="BS857" s="3">
        <v>0.000340556090284501</v>
      </c>
    </row>
    <row r="858" s="3" customFormat="1" spans="1:71">
      <c r="A858" s="4">
        <v>857</v>
      </c>
      <c r="B858" s="6">
        <v>136</v>
      </c>
      <c r="C858" s="24" t="s">
        <v>420</v>
      </c>
      <c r="D858" s="13" t="s">
        <v>421</v>
      </c>
      <c r="E858" s="25">
        <v>23.667</v>
      </c>
      <c r="F858" s="25">
        <v>87.187</v>
      </c>
      <c r="G858" s="26">
        <v>25.4</v>
      </c>
      <c r="H858" s="27">
        <v>1206</v>
      </c>
      <c r="I858" s="3"/>
      <c r="J858" s="13" t="s">
        <v>188</v>
      </c>
      <c r="K858" s="5" t="s">
        <v>182</v>
      </c>
      <c r="L858" s="3">
        <v>2017</v>
      </c>
      <c r="M858" s="3">
        <v>1</v>
      </c>
      <c r="N858" s="13" t="s">
        <v>79</v>
      </c>
      <c r="O858" s="36" t="s">
        <v>80</v>
      </c>
      <c r="P858" s="7">
        <v>5.77</v>
      </c>
      <c r="Q858" s="3">
        <v>19.2</v>
      </c>
      <c r="R858" s="3">
        <v>0.94</v>
      </c>
      <c r="S858" s="13">
        <v>20.4255319148936</v>
      </c>
      <c r="T858" s="8">
        <v>12</v>
      </c>
      <c r="U858" s="8">
        <v>26.3</v>
      </c>
      <c r="V858" s="8">
        <v>61.7</v>
      </c>
      <c r="W858" s="3">
        <v>21</v>
      </c>
      <c r="X858" s="5" t="s">
        <v>91</v>
      </c>
      <c r="Y858" s="13" t="s">
        <v>82</v>
      </c>
      <c r="Z858" s="3">
        <v>6</v>
      </c>
      <c r="AA858" s="3">
        <v>6</v>
      </c>
      <c r="AB858" s="9">
        <v>-1.23969088692802</v>
      </c>
      <c r="AC858" s="9">
        <v>0.0018449979205299</v>
      </c>
      <c r="AD858" s="25">
        <v>-1.26851132546351</v>
      </c>
      <c r="AE858" s="25">
        <v>8.39321309156378e-5</v>
      </c>
      <c r="AF858" s="9">
        <v>-0.0288204385354913</v>
      </c>
      <c r="AG858" s="9">
        <v>0.00192893005144554</v>
      </c>
      <c r="AH858" s="25">
        <v>-0.756575207413489</v>
      </c>
      <c r="AI858" s="25">
        <v>0.000809129919303429</v>
      </c>
      <c r="AJ858" s="4">
        <v>-0.483115679514525</v>
      </c>
      <c r="AK858" s="4">
        <v>0.00265412783983332</v>
      </c>
      <c r="AL858" s="3">
        <v>-0.51193611805002</v>
      </c>
      <c r="AM858" s="3">
        <v>0.000893062050219067</v>
      </c>
      <c r="AN858" s="4">
        <v>0.217233574091521</v>
      </c>
      <c r="AO858" s="4">
        <v>2.96929913910329e-5</v>
      </c>
      <c r="AP858" s="3">
        <v>-0.736632292499684</v>
      </c>
      <c r="AQ858" s="3">
        <v>0.0311667756484416</v>
      </c>
      <c r="AR858" s="4"/>
      <c r="AS858" s="4"/>
      <c r="AT858" s="3"/>
      <c r="AU858" s="3"/>
      <c r="AV858" s="4">
        <v>-0.408860697109303</v>
      </c>
      <c r="AW858" s="4">
        <v>0.000757508791203576</v>
      </c>
      <c r="AX858" s="3">
        <v>-0.138903450406561</v>
      </c>
      <c r="AY858" s="3">
        <v>0.029232244897152</v>
      </c>
      <c r="BJ858" s="3">
        <v>0.133531392624523</v>
      </c>
      <c r="BK858" s="3">
        <v>7.41423112454858e-5</v>
      </c>
      <c r="BR858" s="3">
        <v>-1.4446245268628</v>
      </c>
      <c r="BS858" s="3">
        <v>0.000674902644546873</v>
      </c>
    </row>
    <row r="859" s="3" customFormat="1" spans="1:71">
      <c r="A859" s="4">
        <v>858</v>
      </c>
      <c r="B859" s="6">
        <v>136</v>
      </c>
      <c r="C859" s="24" t="s">
        <v>420</v>
      </c>
      <c r="D859" s="13" t="s">
        <v>421</v>
      </c>
      <c r="E859" s="25">
        <v>23.667</v>
      </c>
      <c r="F859" s="25">
        <v>87.187</v>
      </c>
      <c r="G859" s="26">
        <v>25.4</v>
      </c>
      <c r="H859" s="27">
        <v>1206</v>
      </c>
      <c r="I859" s="3"/>
      <c r="J859" s="13" t="s">
        <v>188</v>
      </c>
      <c r="K859" s="5" t="s">
        <v>182</v>
      </c>
      <c r="L859" s="3">
        <v>2017</v>
      </c>
      <c r="M859" s="3">
        <v>1</v>
      </c>
      <c r="N859" s="13" t="s">
        <v>79</v>
      </c>
      <c r="O859" s="36" t="s">
        <v>80</v>
      </c>
      <c r="P859" s="7">
        <v>5.77</v>
      </c>
      <c r="Q859" s="3">
        <v>19.2</v>
      </c>
      <c r="R859" s="3">
        <v>0.94</v>
      </c>
      <c r="S859" s="13">
        <v>20.4255319148936</v>
      </c>
      <c r="T859" s="8">
        <v>12</v>
      </c>
      <c r="U859" s="8">
        <v>26.3</v>
      </c>
      <c r="V859" s="8">
        <v>61.7</v>
      </c>
      <c r="W859" s="3">
        <v>15</v>
      </c>
      <c r="X859" s="5" t="s">
        <v>91</v>
      </c>
      <c r="Y859" s="13" t="s">
        <v>82</v>
      </c>
      <c r="Z859" s="3">
        <v>6</v>
      </c>
      <c r="AA859" s="3">
        <v>6</v>
      </c>
      <c r="AB859" s="9">
        <v>-0.998528830111127</v>
      </c>
      <c r="AC859" s="9">
        <v>0.000280600467333748</v>
      </c>
      <c r="AD859" s="25">
        <v>-0.826678573184468</v>
      </c>
      <c r="AE859" s="25">
        <v>0.000214212638180272</v>
      </c>
      <c r="AF859" s="9">
        <v>0.17185025692666</v>
      </c>
      <c r="AG859" s="9">
        <v>0.000494813105514019</v>
      </c>
      <c r="AH859" s="25">
        <v>-0.42918163472548</v>
      </c>
      <c r="AI859" s="25">
        <v>8.66048177083333e-5</v>
      </c>
      <c r="AJ859" s="4">
        <v>-0.569347195385646</v>
      </c>
      <c r="AK859" s="4">
        <v>0.000367205285042081</v>
      </c>
      <c r="AL859" s="3">
        <v>-0.397496938458989</v>
      </c>
      <c r="AM859" s="3">
        <v>0.000300817455888606</v>
      </c>
      <c r="AN859" s="4">
        <v>0.353898128548081</v>
      </c>
      <c r="AO859" s="4">
        <v>1.82685241445777e-5</v>
      </c>
      <c r="AP859" s="3">
        <v>-0.280614905228688</v>
      </c>
      <c r="AQ859" s="3">
        <v>0.0490709245900831</v>
      </c>
      <c r="AR859" s="4"/>
      <c r="AS859" s="4"/>
      <c r="AT859" s="3"/>
      <c r="AU859" s="3"/>
      <c r="AV859" s="4">
        <v>-0.00339558900113816</v>
      </c>
      <c r="AW859" s="4">
        <v>0.00117400191906697</v>
      </c>
      <c r="AX859" s="3">
        <v>-0.0855919303354035</v>
      </c>
      <c r="AY859" s="3">
        <v>0.0652780284321403</v>
      </c>
      <c r="BJ859" s="3">
        <v>0.11247798342669</v>
      </c>
      <c r="BK859" s="3">
        <v>0.000251572441818693</v>
      </c>
      <c r="BR859" s="3">
        <v>-0.629374649501957</v>
      </c>
      <c r="BS859" s="3">
        <v>0.000832052330415462</v>
      </c>
    </row>
    <row r="860" s="3" customFormat="1" spans="1:71">
      <c r="A860" s="4">
        <v>859</v>
      </c>
      <c r="B860" s="6">
        <v>136</v>
      </c>
      <c r="C860" s="24" t="s">
        <v>420</v>
      </c>
      <c r="D860" s="13" t="s">
        <v>421</v>
      </c>
      <c r="E860" s="25">
        <v>23.667</v>
      </c>
      <c r="F860" s="25">
        <v>87.187</v>
      </c>
      <c r="G860" s="26">
        <v>25.4</v>
      </c>
      <c r="H860" s="27">
        <v>1206</v>
      </c>
      <c r="I860" s="3"/>
      <c r="J860" s="13" t="s">
        <v>188</v>
      </c>
      <c r="K860" s="5" t="s">
        <v>182</v>
      </c>
      <c r="L860" s="3">
        <v>2017</v>
      </c>
      <c r="M860" s="3">
        <v>1</v>
      </c>
      <c r="N860" s="13" t="s">
        <v>79</v>
      </c>
      <c r="O860" s="36" t="s">
        <v>80</v>
      </c>
      <c r="P860" s="7">
        <v>5.77</v>
      </c>
      <c r="Q860" s="3">
        <v>19.2</v>
      </c>
      <c r="R860" s="3">
        <v>0.94</v>
      </c>
      <c r="S860" s="13">
        <v>20.4255319148936</v>
      </c>
      <c r="T860" s="8">
        <v>12</v>
      </c>
      <c r="U860" s="8">
        <v>26.3</v>
      </c>
      <c r="V860" s="8">
        <v>61.7</v>
      </c>
      <c r="W860" s="3">
        <v>9</v>
      </c>
      <c r="X860" s="5" t="s">
        <v>91</v>
      </c>
      <c r="Y860" s="13" t="s">
        <v>82</v>
      </c>
      <c r="Z860" s="3">
        <v>6</v>
      </c>
      <c r="AA860" s="3">
        <v>6</v>
      </c>
      <c r="AB860" s="9">
        <v>-0.719815427642106</v>
      </c>
      <c r="AC860" s="9">
        <v>6.72001875724643e-5</v>
      </c>
      <c r="AD860" s="25">
        <v>-0.693147180559945</v>
      </c>
      <c r="AE860" s="25">
        <v>2.76692708333333e-5</v>
      </c>
      <c r="AF860" s="9">
        <v>0.0266682470821613</v>
      </c>
      <c r="AG860" s="9">
        <v>9.48694584057978e-5</v>
      </c>
      <c r="AH860" s="25">
        <v>-0.503905180921417</v>
      </c>
      <c r="AI860" s="25">
        <v>0.000812645245770165</v>
      </c>
      <c r="AJ860" s="4">
        <v>-0.21591024672069</v>
      </c>
      <c r="AK860" s="4">
        <v>0.000879845433342628</v>
      </c>
      <c r="AL860" s="3">
        <v>-0.189241999638527</v>
      </c>
      <c r="AM860" s="3">
        <v>0.000840314516603493</v>
      </c>
      <c r="AN860" s="4">
        <v>0.224182872384727</v>
      </c>
      <c r="AO860" s="4">
        <v>1.93007539159265e-5</v>
      </c>
      <c r="AP860" s="3">
        <v>-0.124454174473406</v>
      </c>
      <c r="AQ860" s="3">
        <v>0.0599836226885431</v>
      </c>
      <c r="AR860" s="4"/>
      <c r="AS860" s="4"/>
      <c r="AT860" s="3"/>
      <c r="AU860" s="3"/>
      <c r="AV860" s="4">
        <v>0.221107581829111</v>
      </c>
      <c r="AW860" s="4">
        <v>0.0019186523312167</v>
      </c>
      <c r="AX860" s="3">
        <v>-0.444028142842475</v>
      </c>
      <c r="AY860" s="3">
        <v>0.0280481115346334</v>
      </c>
      <c r="BJ860" s="3">
        <v>0.0540672212702758</v>
      </c>
      <c r="BK860" s="3">
        <v>5.1414156853193e-5</v>
      </c>
      <c r="BR860" s="3">
        <v>-0.492615712386568</v>
      </c>
      <c r="BS860" s="3">
        <v>0.00158191135815342</v>
      </c>
    </row>
    <row r="861" s="3" customFormat="1" spans="1:71">
      <c r="A861" s="4">
        <v>860</v>
      </c>
      <c r="B861" s="6">
        <v>136</v>
      </c>
      <c r="C861" s="24" t="s">
        <v>420</v>
      </c>
      <c r="D861" s="13" t="s">
        <v>421</v>
      </c>
      <c r="E861" s="25">
        <v>23.667</v>
      </c>
      <c r="F861" s="25">
        <v>87.187</v>
      </c>
      <c r="G861" s="26">
        <v>25.4</v>
      </c>
      <c r="H861" s="27">
        <v>1206</v>
      </c>
      <c r="I861" s="3"/>
      <c r="J861" s="13" t="s">
        <v>188</v>
      </c>
      <c r="K861" s="5" t="s">
        <v>182</v>
      </c>
      <c r="L861" s="3">
        <v>2017</v>
      </c>
      <c r="M861" s="3">
        <v>1</v>
      </c>
      <c r="N861" s="13" t="s">
        <v>79</v>
      </c>
      <c r="O861" s="36" t="s">
        <v>80</v>
      </c>
      <c r="P861" s="7">
        <v>5.77</v>
      </c>
      <c r="Q861" s="3">
        <v>19.2</v>
      </c>
      <c r="R861" s="3">
        <v>0.94</v>
      </c>
      <c r="S861" s="13">
        <v>20.4255319148936</v>
      </c>
      <c r="T861" s="8">
        <v>12</v>
      </c>
      <c r="U861" s="8">
        <v>26.3</v>
      </c>
      <c r="V861" s="8">
        <v>61.7</v>
      </c>
      <c r="W861" s="3">
        <v>2</v>
      </c>
      <c r="X861" s="5" t="s">
        <v>81</v>
      </c>
      <c r="Y861" s="13" t="s">
        <v>82</v>
      </c>
      <c r="Z861" s="3">
        <v>6</v>
      </c>
      <c r="AA861" s="3">
        <v>6</v>
      </c>
      <c r="AB861" s="9">
        <v>-0.502091943797236</v>
      </c>
      <c r="AC861" s="9">
        <v>0.000102137541520701</v>
      </c>
      <c r="AD861" s="25">
        <v>-0.287682072451781</v>
      </c>
      <c r="AE861" s="25">
        <v>4.7923900462963e-5</v>
      </c>
      <c r="AF861" s="9">
        <v>0.214409871345457</v>
      </c>
      <c r="AG861" s="9">
        <v>0.000150061441983664</v>
      </c>
      <c r="AH861" s="25">
        <v>-0.273204053271128</v>
      </c>
      <c r="AI861" s="25">
        <v>0.000132687881152856</v>
      </c>
      <c r="AJ861" s="4">
        <v>-0.228887890526106</v>
      </c>
      <c r="AK861" s="4">
        <v>0.000234825422673556</v>
      </c>
      <c r="AL861" s="3">
        <v>-0.0144780191806557</v>
      </c>
      <c r="AM861" s="3">
        <v>0.00018061178161582</v>
      </c>
      <c r="AN861" s="4">
        <v>0.244745625681237</v>
      </c>
      <c r="AO861" s="4">
        <v>2.90681462952663e-5</v>
      </c>
      <c r="AP861" s="3">
        <v>-0.0659579677917974</v>
      </c>
      <c r="AQ861" s="3">
        <v>0.0731200202153225</v>
      </c>
      <c r="AR861" s="4"/>
      <c r="AS861" s="4"/>
      <c r="AT861" s="3"/>
      <c r="AU861" s="3"/>
      <c r="AV861" s="4">
        <v>0.147835380722785</v>
      </c>
      <c r="AW861" s="4">
        <v>0.00271898570034323</v>
      </c>
      <c r="AX861" s="3">
        <v>-0.0856599239721635</v>
      </c>
      <c r="AY861" s="3">
        <v>0.0698994575465863</v>
      </c>
      <c r="BJ861" s="3">
        <v>0.0157483569681391</v>
      </c>
      <c r="BK861" s="3">
        <v>0.000133544839859169</v>
      </c>
      <c r="BR861" s="3">
        <v>-0.626505207074004</v>
      </c>
      <c r="BS861" s="3">
        <v>0.00252533601410602</v>
      </c>
    </row>
    <row r="862" s="3" customFormat="1" spans="1:71">
      <c r="A862" s="4">
        <v>861</v>
      </c>
      <c r="B862" s="6">
        <v>136</v>
      </c>
      <c r="C862" s="24" t="s">
        <v>420</v>
      </c>
      <c r="D862" s="13" t="s">
        <v>421</v>
      </c>
      <c r="E862" s="25">
        <v>23.667</v>
      </c>
      <c r="F862" s="25">
        <v>87.187</v>
      </c>
      <c r="G862" s="26">
        <v>25.4</v>
      </c>
      <c r="H862" s="27">
        <v>1206</v>
      </c>
      <c r="I862" s="3"/>
      <c r="J862" s="13" t="s">
        <v>188</v>
      </c>
      <c r="K862" s="5" t="s">
        <v>182</v>
      </c>
      <c r="L862" s="3">
        <v>2017</v>
      </c>
      <c r="M862" s="3">
        <v>1</v>
      </c>
      <c r="N862" s="13" t="s">
        <v>79</v>
      </c>
      <c r="O862" s="36" t="s">
        <v>80</v>
      </c>
      <c r="P862" s="7">
        <v>5.77</v>
      </c>
      <c r="Q862" s="3">
        <v>19.2</v>
      </c>
      <c r="R862" s="3">
        <v>0.94</v>
      </c>
      <c r="S862" s="13">
        <v>20.4255319148936</v>
      </c>
      <c r="T862" s="8">
        <v>12</v>
      </c>
      <c r="U862" s="8">
        <v>26.3</v>
      </c>
      <c r="V862" s="8">
        <v>61.7</v>
      </c>
      <c r="W862" s="3">
        <v>1</v>
      </c>
      <c r="X862" s="5" t="s">
        <v>81</v>
      </c>
      <c r="Y862" s="13" t="s">
        <v>82</v>
      </c>
      <c r="Z862" s="3">
        <v>6</v>
      </c>
      <c r="AA862" s="3">
        <v>6</v>
      </c>
      <c r="AB862" s="9">
        <v>-0.341749293722057</v>
      </c>
      <c r="AC862" s="9">
        <v>5.13789776404769e-5</v>
      </c>
      <c r="AD862" s="25">
        <v>-0.330241686870577</v>
      </c>
      <c r="AE862" s="25">
        <v>1.42299986216131e-5</v>
      </c>
      <c r="AF862" s="9">
        <v>0.0115076068514808</v>
      </c>
      <c r="AG862" s="9">
        <v>6.560897626209e-5</v>
      </c>
      <c r="AH862" s="25">
        <v>-0.189220298485111</v>
      </c>
      <c r="AI862" s="25">
        <v>0.000401204205174317</v>
      </c>
      <c r="AJ862" s="4">
        <v>-0.152528995236944</v>
      </c>
      <c r="AK862" s="4">
        <v>0.000452583182814795</v>
      </c>
      <c r="AL862" s="3">
        <v>-0.141021388385468</v>
      </c>
      <c r="AM862" s="3">
        <v>0.000415434203795931</v>
      </c>
      <c r="AN862" s="4">
        <v>0.25285377820966</v>
      </c>
      <c r="AO862" s="4">
        <v>1.92294827870522e-5</v>
      </c>
      <c r="AP862" s="3">
        <v>-0.0324352757531537</v>
      </c>
      <c r="AQ862" s="3">
        <v>0.0515171538010175</v>
      </c>
      <c r="AR862" s="4"/>
      <c r="AS862" s="4"/>
      <c r="AT862" s="3"/>
      <c r="AU862" s="3"/>
      <c r="AV862" s="4">
        <v>0.00338409798424049</v>
      </c>
      <c r="AW862" s="4">
        <v>0.00171039479981313</v>
      </c>
      <c r="AX862" s="3">
        <v>-0.440150666096057</v>
      </c>
      <c r="AY862" s="3">
        <v>0.0354110783837111</v>
      </c>
      <c r="BJ862" s="3">
        <v>0.00790517950711325</v>
      </c>
      <c r="BK862" s="3">
        <v>5.23254594842103e-5</v>
      </c>
      <c r="BR862" s="3">
        <v>0.134488055856386</v>
      </c>
      <c r="BS862" s="3">
        <v>0.000442874384587769</v>
      </c>
    </row>
    <row r="863" s="4" customFormat="1" spans="1:51">
      <c r="A863" s="4">
        <v>862</v>
      </c>
      <c r="B863" s="18">
        <v>137</v>
      </c>
      <c r="C863" s="19" t="s">
        <v>422</v>
      </c>
      <c r="D863" s="5" t="s">
        <v>423</v>
      </c>
      <c r="E863" s="5">
        <v>31.62775</v>
      </c>
      <c r="F863" s="5">
        <v>-8.12963888888889</v>
      </c>
      <c r="G863" s="20">
        <v>27.6</v>
      </c>
      <c r="H863" s="21">
        <v>250</v>
      </c>
      <c r="I863" s="5"/>
      <c r="J863" s="5" t="s">
        <v>83</v>
      </c>
      <c r="K863" s="5" t="s">
        <v>78</v>
      </c>
      <c r="L863" s="5"/>
      <c r="M863" s="5"/>
      <c r="N863" s="5"/>
      <c r="O863" s="28" t="s">
        <v>80</v>
      </c>
      <c r="P863" s="29">
        <v>8.199999809</v>
      </c>
      <c r="Q863" s="4">
        <v>0.9</v>
      </c>
      <c r="R863" s="5"/>
      <c r="S863" s="13"/>
      <c r="T863" s="21">
        <v>20</v>
      </c>
      <c r="U863" s="21">
        <v>40</v>
      </c>
      <c r="V863" s="21">
        <v>40</v>
      </c>
      <c r="W863" s="4"/>
      <c r="X863" s="4"/>
      <c r="Y863" s="5" t="s">
        <v>82</v>
      </c>
      <c r="Z863" s="5">
        <v>5</v>
      </c>
      <c r="AA863" s="5">
        <v>5</v>
      </c>
      <c r="AB863" s="9">
        <v>-0.740400065410491</v>
      </c>
      <c r="AC863" s="9">
        <v>0.00504608734737607</v>
      </c>
      <c r="AD863" s="9">
        <v>0.111225635110224</v>
      </c>
      <c r="AE863" s="9">
        <v>0.00720509158527352</v>
      </c>
      <c r="AF863" s="9">
        <v>0.851625700520714</v>
      </c>
      <c r="AG863" s="9">
        <v>0.0122511789326496</v>
      </c>
      <c r="AH863" s="9">
        <v>-0.0669551733799347</v>
      </c>
      <c r="AI863" s="9">
        <v>0.00222067305355222</v>
      </c>
      <c r="AJ863" s="4">
        <v>-0.673444892030557</v>
      </c>
      <c r="AK863" s="4">
        <v>0.0072667604009283</v>
      </c>
      <c r="AL863" s="4">
        <v>0.178180808490162</v>
      </c>
      <c r="AM863" s="4">
        <v>0.00942576463882578</v>
      </c>
      <c r="AN863" s="4">
        <v>0</v>
      </c>
      <c r="AO863" s="4">
        <v>0.00118976799524093</v>
      </c>
      <c r="AP863" s="4">
        <v>0.287682072451781</v>
      </c>
      <c r="AQ863" s="4">
        <v>0.00204475308641975</v>
      </c>
      <c r="AR863" s="4"/>
      <c r="AS863" s="4"/>
      <c r="AT863" s="4"/>
      <c r="AU863" s="4"/>
      <c r="AV863" s="4"/>
      <c r="AW863" s="4"/>
      <c r="AX863" s="4">
        <v>0.175656885048222</v>
      </c>
      <c r="AY863" s="4">
        <v>0.0272878890942179</v>
      </c>
    </row>
    <row r="864" s="4" customFormat="1" spans="1:51">
      <c r="A864" s="4">
        <v>863</v>
      </c>
      <c r="B864" s="18">
        <v>137</v>
      </c>
      <c r="C864" s="19" t="s">
        <v>422</v>
      </c>
      <c r="D864" s="5" t="s">
        <v>423</v>
      </c>
      <c r="E864" s="5">
        <v>31.62775</v>
      </c>
      <c r="F864" s="5">
        <v>-8.12963888888889</v>
      </c>
      <c r="G864" s="20">
        <v>27.6</v>
      </c>
      <c r="H864" s="21">
        <v>250</v>
      </c>
      <c r="I864" s="5"/>
      <c r="J864" s="5" t="s">
        <v>83</v>
      </c>
      <c r="K864" s="5" t="s">
        <v>78</v>
      </c>
      <c r="L864" s="4"/>
      <c r="M864" s="4"/>
      <c r="N864" s="4"/>
      <c r="O864" s="28" t="s">
        <v>80</v>
      </c>
      <c r="P864" s="29">
        <v>8.199999809</v>
      </c>
      <c r="Q864" s="4">
        <v>1.4</v>
      </c>
      <c r="R864" s="5"/>
      <c r="S864" s="13"/>
      <c r="T864" s="21">
        <v>20</v>
      </c>
      <c r="U864" s="21">
        <v>40</v>
      </c>
      <c r="V864" s="21">
        <v>40</v>
      </c>
      <c r="W864" s="4"/>
      <c r="X864" s="4"/>
      <c r="Y864" s="5" t="s">
        <v>82</v>
      </c>
      <c r="Z864" s="5">
        <v>5</v>
      </c>
      <c r="AA864" s="5">
        <v>5</v>
      </c>
      <c r="AB864" s="9">
        <v>0.0953101798043249</v>
      </c>
      <c r="AC864" s="9">
        <v>0.0211519649181987</v>
      </c>
      <c r="AD864" s="9">
        <v>-0.619039208406224</v>
      </c>
      <c r="AE864" s="9">
        <v>0.003698224852071</v>
      </c>
      <c r="AF864" s="9">
        <v>-0.714349388210546</v>
      </c>
      <c r="AG864" s="9">
        <v>0.0248501897702697</v>
      </c>
      <c r="AH864" s="9">
        <v>0.0319220721022357</v>
      </c>
      <c r="AI864" s="9">
        <v>0.000683515600322437</v>
      </c>
      <c r="AJ864" s="4">
        <v>0.0633881077020897</v>
      </c>
      <c r="AK864" s="4">
        <v>0.0218354805185211</v>
      </c>
      <c r="AL864" s="4">
        <v>-0.650961280508461</v>
      </c>
      <c r="AM864" s="4">
        <v>0.00438174045239343</v>
      </c>
      <c r="AN864" s="4">
        <v>0.0372713947972314</v>
      </c>
      <c r="AO864" s="4">
        <v>0.000160230732254446</v>
      </c>
      <c r="AP864" s="4">
        <v>0.194156014440958</v>
      </c>
      <c r="AQ864" s="4">
        <v>0.00499770496433867</v>
      </c>
      <c r="AR864" s="4"/>
      <c r="AS864" s="4"/>
      <c r="AT864" s="4"/>
      <c r="AU864" s="4"/>
      <c r="AV864" s="4"/>
      <c r="AW864" s="4"/>
      <c r="AX864" s="4">
        <v>-0.0199429149138054</v>
      </c>
      <c r="AY864" s="4">
        <v>0.0319759055677451</v>
      </c>
    </row>
    <row r="865" s="4" customFormat="1" spans="1:51">
      <c r="A865" s="4">
        <v>864</v>
      </c>
      <c r="B865" s="18">
        <v>137</v>
      </c>
      <c r="C865" s="19" t="s">
        <v>422</v>
      </c>
      <c r="D865" s="5" t="s">
        <v>423</v>
      </c>
      <c r="E865" s="5">
        <v>31.62775</v>
      </c>
      <c r="F865" s="5">
        <v>-8.12963888888889</v>
      </c>
      <c r="G865" s="20">
        <v>27.6</v>
      </c>
      <c r="H865" s="21">
        <v>250</v>
      </c>
      <c r="I865" s="5"/>
      <c r="J865" s="5" t="s">
        <v>83</v>
      </c>
      <c r="K865" s="5" t="s">
        <v>78</v>
      </c>
      <c r="L865" s="4"/>
      <c r="M865" s="4"/>
      <c r="N865" s="4"/>
      <c r="O865" s="28" t="s">
        <v>80</v>
      </c>
      <c r="P865" s="29">
        <v>8.199999809</v>
      </c>
      <c r="Q865" s="4">
        <v>1.9</v>
      </c>
      <c r="R865" s="5"/>
      <c r="S865" s="13"/>
      <c r="T865" s="21">
        <v>20</v>
      </c>
      <c r="U865" s="21">
        <v>40</v>
      </c>
      <c r="V865" s="21">
        <v>40</v>
      </c>
      <c r="W865" s="4"/>
      <c r="X865" s="4"/>
      <c r="Y865" s="5" t="s">
        <v>82</v>
      </c>
      <c r="Z865" s="5">
        <v>5</v>
      </c>
      <c r="AA865" s="5">
        <v>5</v>
      </c>
      <c r="AB865" s="9">
        <v>1e-7</v>
      </c>
      <c r="AC865" s="9">
        <v>0.000585180055401663</v>
      </c>
      <c r="AD865" s="9">
        <v>-0.133531392624522</v>
      </c>
      <c r="AE865" s="9">
        <v>0.00523951247165534</v>
      </c>
      <c r="AF865" s="9">
        <v>-0.133531392624525</v>
      </c>
      <c r="AG865" s="9">
        <v>0.00582469252705699</v>
      </c>
      <c r="AH865" s="9">
        <v>-0.12531711939592</v>
      </c>
      <c r="AI865" s="9">
        <v>0.00122428669059914</v>
      </c>
      <c r="AJ865" s="4">
        <v>0.125317119395919</v>
      </c>
      <c r="AK865" s="4">
        <v>0.0018094667460008</v>
      </c>
      <c r="AL865" s="4">
        <v>-0.00821427322860023</v>
      </c>
      <c r="AM865" s="4">
        <v>0.00646379916225447</v>
      </c>
      <c r="AN865" s="4">
        <v>0.012121360532345</v>
      </c>
      <c r="AO865" s="4">
        <v>0.0011755197938173</v>
      </c>
      <c r="AP865" s="4">
        <v>0.100083458556983</v>
      </c>
      <c r="AQ865" s="4">
        <v>0.00281066073705566</v>
      </c>
      <c r="AR865" s="4"/>
      <c r="AS865" s="4"/>
      <c r="AT865" s="4"/>
      <c r="AU865" s="4"/>
      <c r="AV865" s="4"/>
      <c r="AW865" s="4"/>
      <c r="AX865" s="4">
        <v>-0.148566729496791</v>
      </c>
      <c r="AY865" s="4">
        <v>0.0491575294077915</v>
      </c>
    </row>
    <row r="866" s="4" customFormat="1" spans="1:51">
      <c r="A866" s="4">
        <v>865</v>
      </c>
      <c r="B866" s="18">
        <v>137</v>
      </c>
      <c r="C866" s="19" t="s">
        <v>422</v>
      </c>
      <c r="D866" s="5" t="s">
        <v>423</v>
      </c>
      <c r="E866" s="5">
        <v>31.62775</v>
      </c>
      <c r="F866" s="5">
        <v>-8.12963888888889</v>
      </c>
      <c r="G866" s="20">
        <v>27.6</v>
      </c>
      <c r="H866" s="21">
        <v>250</v>
      </c>
      <c r="I866" s="5"/>
      <c r="J866" s="5" t="s">
        <v>83</v>
      </c>
      <c r="K866" s="5" t="s">
        <v>78</v>
      </c>
      <c r="L866" s="4"/>
      <c r="M866" s="4"/>
      <c r="N866" s="4"/>
      <c r="O866" s="28" t="s">
        <v>80</v>
      </c>
      <c r="P866" s="29">
        <v>8.199999809</v>
      </c>
      <c r="Q866" s="4">
        <v>0.7</v>
      </c>
      <c r="R866" s="5"/>
      <c r="S866" s="13"/>
      <c r="T866" s="21">
        <v>20</v>
      </c>
      <c r="U866" s="21">
        <v>40</v>
      </c>
      <c r="V866" s="21">
        <v>40</v>
      </c>
      <c r="W866" s="4"/>
      <c r="X866" s="4"/>
      <c r="Y866" s="5" t="s">
        <v>82</v>
      </c>
      <c r="Z866" s="5">
        <v>5</v>
      </c>
      <c r="AA866" s="5">
        <v>5</v>
      </c>
      <c r="AB866" s="9">
        <v>-0.121360857004267</v>
      </c>
      <c r="AC866" s="9">
        <v>0.010439646201873</v>
      </c>
      <c r="AD866" s="9">
        <v>0.0465200156348929</v>
      </c>
      <c r="AE866" s="9">
        <v>0.00224044714304454</v>
      </c>
      <c r="AF866" s="9">
        <v>0.167880872639159</v>
      </c>
      <c r="AG866" s="9">
        <v>0.0126800933449176</v>
      </c>
      <c r="AH866" s="9">
        <v>0.0337210299674521</v>
      </c>
      <c r="AI866" s="9">
        <v>0.00154475037966339</v>
      </c>
      <c r="AJ866" s="4">
        <v>-0.155081886971719</v>
      </c>
      <c r="AK866" s="4">
        <v>0.0119843965815364</v>
      </c>
      <c r="AL866" s="4">
        <v>0.0127989856674422</v>
      </c>
      <c r="AM866" s="4">
        <v>0.00378519752270792</v>
      </c>
      <c r="AN866" s="4">
        <v>0.012121360532345</v>
      </c>
      <c r="AO866" s="4">
        <v>0.000729356795601952</v>
      </c>
      <c r="AP866" s="4">
        <v>0.538996500732687</v>
      </c>
      <c r="AQ866" s="4">
        <v>0.00211451247165533</v>
      </c>
      <c r="AR866" s="4"/>
      <c r="AS866" s="4"/>
      <c r="AT866" s="4"/>
      <c r="AU866" s="4"/>
      <c r="AV866" s="4"/>
      <c r="AW866" s="4"/>
      <c r="AX866" s="4">
        <v>-0.379451006448012</v>
      </c>
      <c r="AY866" s="4">
        <v>0.0607962679343134</v>
      </c>
    </row>
    <row r="867" s="4" customFormat="1" spans="1:51">
      <c r="A867" s="4">
        <v>866</v>
      </c>
      <c r="B867" s="18">
        <v>137</v>
      </c>
      <c r="C867" s="19" t="s">
        <v>422</v>
      </c>
      <c r="D867" s="5" t="s">
        <v>423</v>
      </c>
      <c r="E867" s="5">
        <v>31.62775</v>
      </c>
      <c r="F867" s="5">
        <v>-8.12963888888889</v>
      </c>
      <c r="G867" s="20">
        <v>27.6</v>
      </c>
      <c r="H867" s="21">
        <v>250</v>
      </c>
      <c r="I867" s="5"/>
      <c r="J867" s="5" t="s">
        <v>83</v>
      </c>
      <c r="K867" s="5" t="s">
        <v>78</v>
      </c>
      <c r="L867" s="4"/>
      <c r="M867" s="4"/>
      <c r="N867" s="4"/>
      <c r="O867" s="28" t="s">
        <v>80</v>
      </c>
      <c r="P867" s="29">
        <v>8.199999809</v>
      </c>
      <c r="Q867" s="4">
        <v>1.1</v>
      </c>
      <c r="R867" s="5"/>
      <c r="S867" s="13"/>
      <c r="T867" s="21">
        <v>20</v>
      </c>
      <c r="U867" s="21">
        <v>40</v>
      </c>
      <c r="V867" s="21">
        <v>40</v>
      </c>
      <c r="W867" s="4"/>
      <c r="X867" s="4"/>
      <c r="Y867" s="5" t="s">
        <v>82</v>
      </c>
      <c r="Z867" s="5">
        <v>5</v>
      </c>
      <c r="AA867" s="5">
        <v>5</v>
      </c>
      <c r="AB867" s="9">
        <v>0.0141846349919564</v>
      </c>
      <c r="AC867" s="9">
        <v>0.00242881676376164</v>
      </c>
      <c r="AD867" s="9">
        <v>0.0465200156348929</v>
      </c>
      <c r="AE867" s="9">
        <v>0.00312480088454114</v>
      </c>
      <c r="AF867" s="9">
        <v>0.032335380642935</v>
      </c>
      <c r="AG867" s="9">
        <v>0.00555361764830279</v>
      </c>
      <c r="AH867" s="9">
        <v>-0.0533403780092814</v>
      </c>
      <c r="AI867" s="9">
        <v>0.00132651719763237</v>
      </c>
      <c r="AJ867" s="4">
        <v>0.0675250130012391</v>
      </c>
      <c r="AK867" s="4">
        <v>0.00375533396139401</v>
      </c>
      <c r="AL867" s="4">
        <v>0.0998603936441753</v>
      </c>
      <c r="AM867" s="4">
        <v>0.00445131808217353</v>
      </c>
      <c r="AN867" s="4">
        <v>0</v>
      </c>
      <c r="AO867" s="4">
        <v>0.000594883997620464</v>
      </c>
      <c r="AP867" s="4">
        <v>0.167054084663166</v>
      </c>
      <c r="AQ867" s="4">
        <v>0.00180986845322508</v>
      </c>
      <c r="AR867" s="4"/>
      <c r="AS867" s="4"/>
      <c r="AT867" s="4"/>
      <c r="AU867" s="4"/>
      <c r="AV867" s="4"/>
      <c r="AW867" s="4"/>
      <c r="AX867" s="4">
        <v>-0.207246085479331</v>
      </c>
      <c r="AY867" s="4">
        <v>0.0732527080964755</v>
      </c>
    </row>
    <row r="868" s="4" customFormat="1" spans="1:51">
      <c r="A868" s="4">
        <v>867</v>
      </c>
      <c r="B868" s="18">
        <v>137</v>
      </c>
      <c r="C868" s="19" t="s">
        <v>422</v>
      </c>
      <c r="D868" s="5" t="s">
        <v>423</v>
      </c>
      <c r="E868" s="5">
        <v>31.62775</v>
      </c>
      <c r="F868" s="5">
        <v>-8.12963888888889</v>
      </c>
      <c r="G868" s="20">
        <v>27.6</v>
      </c>
      <c r="H868" s="21">
        <v>250</v>
      </c>
      <c r="I868" s="5"/>
      <c r="J868" s="5" t="s">
        <v>83</v>
      </c>
      <c r="K868" s="5" t="s">
        <v>78</v>
      </c>
      <c r="L868" s="4"/>
      <c r="M868" s="4"/>
      <c r="N868" s="4"/>
      <c r="O868" s="28" t="s">
        <v>80</v>
      </c>
      <c r="P868" s="29">
        <v>8.199999809</v>
      </c>
      <c r="Q868" s="4">
        <v>1.7</v>
      </c>
      <c r="R868" s="5"/>
      <c r="S868" s="13"/>
      <c r="T868" s="21">
        <v>20</v>
      </c>
      <c r="U868" s="21">
        <v>40</v>
      </c>
      <c r="V868" s="21">
        <v>40</v>
      </c>
      <c r="W868" s="4"/>
      <c r="X868" s="4"/>
      <c r="Y868" s="5" t="s">
        <v>82</v>
      </c>
      <c r="Z868" s="5">
        <v>5</v>
      </c>
      <c r="AA868" s="5">
        <v>5</v>
      </c>
      <c r="AB868" s="9">
        <v>-0.0662493855412006</v>
      </c>
      <c r="AC868" s="9">
        <v>0.000495183216540953</v>
      </c>
      <c r="AD868" s="9">
        <v>0</v>
      </c>
      <c r="AE868" s="9">
        <v>0.003232</v>
      </c>
      <c r="AF868" s="9">
        <v>0.0662493855412005</v>
      </c>
      <c r="AG868" s="9">
        <v>0.00372718321654095</v>
      </c>
      <c r="AH868" s="9">
        <v>0.00494846370609077</v>
      </c>
      <c r="AI868" s="9">
        <v>0.0092232549962479</v>
      </c>
      <c r="AJ868" s="4">
        <v>-0.0711978492472917</v>
      </c>
      <c r="AK868" s="4">
        <v>0.00971843821278889</v>
      </c>
      <c r="AL868" s="4">
        <v>-0.00494846370609287</v>
      </c>
      <c r="AM868" s="4">
        <v>0.0124552549962479</v>
      </c>
      <c r="AN868" s="4">
        <v>0</v>
      </c>
      <c r="AO868" s="4">
        <v>0.000594883997620464</v>
      </c>
      <c r="AP868" s="4">
        <v>-0.194156014440958</v>
      </c>
      <c r="AQ868" s="4">
        <v>0.000770602358590495</v>
      </c>
      <c r="AR868" s="4"/>
      <c r="AS868" s="4"/>
      <c r="AT868" s="4"/>
      <c r="AU868" s="4"/>
      <c r="AV868" s="4"/>
      <c r="AW868" s="4"/>
      <c r="AX868" s="4">
        <v>-0.156785022731954</v>
      </c>
      <c r="AY868" s="4">
        <v>0.0519183580061917</v>
      </c>
    </row>
    <row r="869" s="3" customFormat="1" spans="1:67">
      <c r="A869" s="4">
        <v>868</v>
      </c>
      <c r="B869" s="6">
        <v>138</v>
      </c>
      <c r="C869" s="24" t="s">
        <v>424</v>
      </c>
      <c r="D869" s="13" t="s">
        <v>425</v>
      </c>
      <c r="E869" s="3">
        <v>43.745</v>
      </c>
      <c r="F869" s="3">
        <v>-97.294</v>
      </c>
      <c r="G869" s="26">
        <v>6</v>
      </c>
      <c r="H869" s="27">
        <v>710</v>
      </c>
      <c r="I869" s="3"/>
      <c r="J869" s="13" t="s">
        <v>193</v>
      </c>
      <c r="K869" s="5" t="s">
        <v>182</v>
      </c>
      <c r="L869" s="3">
        <v>2019</v>
      </c>
      <c r="M869" s="3"/>
      <c r="N869" s="3"/>
      <c r="O869" s="36" t="s">
        <v>80</v>
      </c>
      <c r="P869" s="20"/>
      <c r="Q869" s="6">
        <v>44.5682</v>
      </c>
      <c r="R869" s="3">
        <v>3.79661</v>
      </c>
      <c r="S869" s="13">
        <v>11.7389460597744</v>
      </c>
      <c r="T869" s="21">
        <v>23</v>
      </c>
      <c r="U869" s="21">
        <v>46</v>
      </c>
      <c r="V869" s="21">
        <v>31</v>
      </c>
      <c r="W869" s="6">
        <v>31</v>
      </c>
      <c r="X869" s="13" t="s">
        <v>141</v>
      </c>
      <c r="Y869" s="13" t="s">
        <v>82</v>
      </c>
      <c r="Z869" s="3">
        <v>4</v>
      </c>
      <c r="AA869" s="3">
        <v>4</v>
      </c>
      <c r="AB869" s="9">
        <v>-0.309004841920602</v>
      </c>
      <c r="AC869" s="9">
        <v>0.000192271262992729</v>
      </c>
      <c r="AD869" s="25"/>
      <c r="AE869" s="25"/>
      <c r="AF869" s="9"/>
      <c r="AG869" s="9"/>
      <c r="AH869" s="25">
        <v>-0.450539909960573</v>
      </c>
      <c r="AI869" s="25">
        <v>0.00538946666247983</v>
      </c>
      <c r="AJ869" s="4">
        <v>0.141535068039973</v>
      </c>
      <c r="AK869" s="4">
        <v>0.00558173792547252</v>
      </c>
      <c r="AL869" s="3"/>
      <c r="AM869" s="3"/>
      <c r="AN869" s="4"/>
      <c r="AO869" s="4"/>
      <c r="AP869" s="3">
        <v>-0.169898939242488</v>
      </c>
      <c r="AQ869" s="3">
        <v>0.00298603104670304</v>
      </c>
      <c r="AR869" s="4"/>
      <c r="AS869" s="4"/>
      <c r="AT869" s="3"/>
      <c r="AU869" s="3"/>
      <c r="AV869" s="4"/>
      <c r="AW869" s="4"/>
      <c r="AX869" s="3">
        <v>-0.354637245831718</v>
      </c>
      <c r="AY869" s="3">
        <v>0.00426542613997196</v>
      </c>
      <c r="AZ869" s="3">
        <v>-0.2569409308975</v>
      </c>
      <c r="BA869" s="3">
        <v>0.00313181832447442</v>
      </c>
      <c r="BN869" s="3">
        <v>-0.313872404703972</v>
      </c>
      <c r="BO869" s="3">
        <v>0.00520616409829238</v>
      </c>
    </row>
    <row r="870" s="3" customFormat="1" spans="1:67">
      <c r="A870" s="4">
        <v>869</v>
      </c>
      <c r="B870" s="6">
        <v>138</v>
      </c>
      <c r="C870" s="24" t="s">
        <v>424</v>
      </c>
      <c r="D870" s="13" t="s">
        <v>425</v>
      </c>
      <c r="E870" s="3">
        <v>43.745</v>
      </c>
      <c r="F870" s="3">
        <v>-97.294</v>
      </c>
      <c r="G870" s="26">
        <v>6</v>
      </c>
      <c r="H870" s="27">
        <v>710</v>
      </c>
      <c r="I870" s="3"/>
      <c r="J870" s="13" t="s">
        <v>193</v>
      </c>
      <c r="K870" s="5" t="s">
        <v>182</v>
      </c>
      <c r="L870" s="3">
        <v>2019</v>
      </c>
      <c r="M870" s="3"/>
      <c r="N870" s="3"/>
      <c r="O870" s="36" t="s">
        <v>80</v>
      </c>
      <c r="P870" s="20"/>
      <c r="Q870" s="6">
        <v>44.5682</v>
      </c>
      <c r="R870" s="3">
        <v>3.79661</v>
      </c>
      <c r="S870" s="13">
        <v>11.7389460597744</v>
      </c>
      <c r="T870" s="21">
        <v>23</v>
      </c>
      <c r="U870" s="21">
        <v>46</v>
      </c>
      <c r="V870" s="21">
        <v>31</v>
      </c>
      <c r="W870" s="6">
        <v>31</v>
      </c>
      <c r="X870" s="13" t="s">
        <v>141</v>
      </c>
      <c r="Y870" s="13" t="s">
        <v>82</v>
      </c>
      <c r="Z870" s="3">
        <v>4</v>
      </c>
      <c r="AA870" s="3">
        <v>4</v>
      </c>
      <c r="AB870" s="9">
        <v>0.079068523475693</v>
      </c>
      <c r="AC870" s="9">
        <v>0.00019227126299273</v>
      </c>
      <c r="AD870" s="25"/>
      <c r="AE870" s="25"/>
      <c r="AF870" s="9"/>
      <c r="AG870" s="9"/>
      <c r="AH870" s="25">
        <v>-0.038880977026094</v>
      </c>
      <c r="AI870" s="25">
        <v>0.0013957083012103</v>
      </c>
      <c r="AJ870" s="4">
        <v>0.117949500501787</v>
      </c>
      <c r="AK870" s="4">
        <v>0.00158797956420302</v>
      </c>
      <c r="AL870" s="3"/>
      <c r="AM870" s="3"/>
      <c r="AN870" s="4"/>
      <c r="AO870" s="4"/>
      <c r="AP870" s="3">
        <v>-0.615854221946788</v>
      </c>
      <c r="AQ870" s="3">
        <v>0.007778299437748</v>
      </c>
      <c r="AR870" s="4"/>
      <c r="AS870" s="4"/>
      <c r="AT870" s="3"/>
      <c r="AU870" s="3"/>
      <c r="AV870" s="4"/>
      <c r="AW870" s="4"/>
      <c r="AX870" s="3">
        <v>-0.162233942338721</v>
      </c>
      <c r="AY870" s="3">
        <v>0.00568122056466113</v>
      </c>
      <c r="AZ870" s="3">
        <v>0.0179645549752989</v>
      </c>
      <c r="BA870" s="3">
        <v>0.00313181832447442</v>
      </c>
      <c r="BN870" s="3">
        <v>-0.531444910968726</v>
      </c>
      <c r="BO870" s="3">
        <v>0.00520616409829238</v>
      </c>
    </row>
    <row r="871" s="3" customFormat="1" spans="1:67">
      <c r="A871" s="4">
        <v>870</v>
      </c>
      <c r="B871" s="6">
        <v>138</v>
      </c>
      <c r="C871" s="24" t="s">
        <v>424</v>
      </c>
      <c r="D871" s="13" t="s">
        <v>425</v>
      </c>
      <c r="E871" s="3">
        <v>45.273486</v>
      </c>
      <c r="F871" s="3">
        <v>-97.837039</v>
      </c>
      <c r="G871" s="26">
        <v>6</v>
      </c>
      <c r="H871" s="27">
        <v>710</v>
      </c>
      <c r="I871" s="3"/>
      <c r="J871" s="13" t="s">
        <v>193</v>
      </c>
      <c r="K871" s="5" t="s">
        <v>182</v>
      </c>
      <c r="L871" s="3">
        <v>2019</v>
      </c>
      <c r="M871" s="3"/>
      <c r="N871" s="3"/>
      <c r="O871" s="36" t="s">
        <v>80</v>
      </c>
      <c r="P871" s="20"/>
      <c r="Q871" s="3">
        <v>35.9978</v>
      </c>
      <c r="R871" s="3">
        <v>2.40678</v>
      </c>
      <c r="S871" s="13">
        <v>14.9568302877704</v>
      </c>
      <c r="T871" s="21">
        <v>26</v>
      </c>
      <c r="U871" s="21">
        <v>48</v>
      </c>
      <c r="V871" s="21">
        <v>26</v>
      </c>
      <c r="W871" s="6">
        <v>31</v>
      </c>
      <c r="X871" s="13" t="s">
        <v>141</v>
      </c>
      <c r="Y871" s="13" t="s">
        <v>82</v>
      </c>
      <c r="Z871" s="3">
        <v>4</v>
      </c>
      <c r="AA871" s="3">
        <v>4</v>
      </c>
      <c r="AB871" s="9">
        <v>-0.133869173408008</v>
      </c>
      <c r="AC871" s="9">
        <v>0.000192271262992729</v>
      </c>
      <c r="AD871" s="25"/>
      <c r="AE871" s="25"/>
      <c r="AF871" s="9"/>
      <c r="AG871" s="9"/>
      <c r="AH871" s="25">
        <v>-0.404658439791823</v>
      </c>
      <c r="AI871" s="25">
        <v>0.00193227384942297</v>
      </c>
      <c r="AJ871" s="4">
        <v>0.270789266383815</v>
      </c>
      <c r="AK871" s="4">
        <v>0.00212454511241571</v>
      </c>
      <c r="AL871" s="3"/>
      <c r="AM871" s="3"/>
      <c r="AN871" s="4"/>
      <c r="AO871" s="4"/>
      <c r="AP871" s="3">
        <v>-0.35065421246215</v>
      </c>
      <c r="AQ871" s="3">
        <v>0.00608316802214438</v>
      </c>
      <c r="AR871" s="4"/>
      <c r="AS871" s="4"/>
      <c r="AT871" s="3"/>
      <c r="AU871" s="3"/>
      <c r="AV871" s="4"/>
      <c r="AW871" s="4"/>
      <c r="AX871" s="3">
        <v>-0.225400577952903</v>
      </c>
      <c r="AY871" s="3">
        <v>0.0040349474276548</v>
      </c>
      <c r="AZ871" s="3">
        <v>-0.17560260654521</v>
      </c>
      <c r="BA871" s="3">
        <v>0.00313181832447443</v>
      </c>
      <c r="BN871" s="3">
        <v>-0.628608659422374</v>
      </c>
      <c r="BO871" s="3">
        <v>0.00520616409829239</v>
      </c>
    </row>
    <row r="872" s="3" customFormat="1" spans="1:67">
      <c r="A872" s="4">
        <v>871</v>
      </c>
      <c r="B872" s="6">
        <v>138</v>
      </c>
      <c r="C872" s="24" t="s">
        <v>424</v>
      </c>
      <c r="D872" s="13" t="s">
        <v>425</v>
      </c>
      <c r="E872" s="3">
        <v>45.273486</v>
      </c>
      <c r="F872" s="3">
        <v>-97.837039</v>
      </c>
      <c r="G872" s="26">
        <v>6</v>
      </c>
      <c r="H872" s="27">
        <v>710</v>
      </c>
      <c r="I872" s="3"/>
      <c r="J872" s="13" t="s">
        <v>193</v>
      </c>
      <c r="K872" s="5" t="s">
        <v>182</v>
      </c>
      <c r="L872" s="3">
        <v>2019</v>
      </c>
      <c r="M872" s="3"/>
      <c r="N872" s="3"/>
      <c r="O872" s="36" t="s">
        <v>80</v>
      </c>
      <c r="P872" s="20"/>
      <c r="Q872" s="3">
        <v>35.9978</v>
      </c>
      <c r="R872" s="3">
        <v>2.40678</v>
      </c>
      <c r="S872" s="13">
        <v>14.9568302877704</v>
      </c>
      <c r="T872" s="21">
        <v>26</v>
      </c>
      <c r="U872" s="21">
        <v>48</v>
      </c>
      <c r="V872" s="21">
        <v>26</v>
      </c>
      <c r="W872" s="6">
        <v>31</v>
      </c>
      <c r="X872" s="13" t="s">
        <v>141</v>
      </c>
      <c r="Y872" s="13" t="s">
        <v>82</v>
      </c>
      <c r="Z872" s="3">
        <v>4</v>
      </c>
      <c r="AA872" s="3">
        <v>4</v>
      </c>
      <c r="AB872" s="9">
        <v>0.0946652265410783</v>
      </c>
      <c r="AC872" s="9">
        <v>0.00019227126299273</v>
      </c>
      <c r="AD872" s="25"/>
      <c r="AE872" s="25"/>
      <c r="AF872" s="9"/>
      <c r="AG872" s="9"/>
      <c r="AH872" s="25">
        <v>-0.00908334823043719</v>
      </c>
      <c r="AI872" s="25">
        <v>0.00187320463554476</v>
      </c>
      <c r="AJ872" s="4">
        <v>0.103748574771513</v>
      </c>
      <c r="AK872" s="4">
        <v>0.00206547589853749</v>
      </c>
      <c r="AL872" s="3"/>
      <c r="AM872" s="3"/>
      <c r="AN872" s="4"/>
      <c r="AO872" s="4"/>
      <c r="AP872" s="3">
        <v>0.17997265036765</v>
      </c>
      <c r="AQ872" s="3">
        <v>0.00444826091143073</v>
      </c>
      <c r="AR872" s="4"/>
      <c r="AS872" s="4"/>
      <c r="AT872" s="3"/>
      <c r="AU872" s="3"/>
      <c r="AV872" s="4"/>
      <c r="AW872" s="4"/>
      <c r="AX872" s="3">
        <v>-0.505275470765235</v>
      </c>
      <c r="AY872" s="3">
        <v>0.00365926285131875</v>
      </c>
      <c r="AZ872" s="3">
        <v>0.00373832211060716</v>
      </c>
      <c r="BA872" s="3">
        <v>0.00313181832447443</v>
      </c>
      <c r="BN872" s="3">
        <v>-0.841389423701037</v>
      </c>
      <c r="BO872" s="3">
        <v>0.00520616409829238</v>
      </c>
    </row>
    <row r="873" s="3" customFormat="1" spans="1:67">
      <c r="A873" s="4">
        <v>872</v>
      </c>
      <c r="B873" s="6">
        <v>138</v>
      </c>
      <c r="C873" s="24" t="s">
        <v>424</v>
      </c>
      <c r="D873" s="13" t="s">
        <v>425</v>
      </c>
      <c r="E873" s="3">
        <v>45.273486</v>
      </c>
      <c r="F873" s="3">
        <v>-97.837039</v>
      </c>
      <c r="G873" s="26">
        <v>6</v>
      </c>
      <c r="H873" s="27">
        <v>710</v>
      </c>
      <c r="I873" s="3"/>
      <c r="J873" s="13" t="s">
        <v>193</v>
      </c>
      <c r="K873" s="5" t="s">
        <v>182</v>
      </c>
      <c r="L873" s="3">
        <v>2019</v>
      </c>
      <c r="M873" s="3"/>
      <c r="N873" s="3"/>
      <c r="O873" s="36" t="s">
        <v>80</v>
      </c>
      <c r="P873" s="20"/>
      <c r="Q873" s="3">
        <v>49.3138</v>
      </c>
      <c r="R873" s="3">
        <v>4.42317</v>
      </c>
      <c r="S873" s="13">
        <v>11.1489723433646</v>
      </c>
      <c r="T873" s="21">
        <v>26</v>
      </c>
      <c r="U873" s="21">
        <v>48</v>
      </c>
      <c r="V873" s="21">
        <v>26</v>
      </c>
      <c r="W873" s="6">
        <v>31</v>
      </c>
      <c r="X873" s="13" t="s">
        <v>141</v>
      </c>
      <c r="Y873" s="13" t="s">
        <v>82</v>
      </c>
      <c r="Z873" s="3">
        <v>4</v>
      </c>
      <c r="AA873" s="3">
        <v>4</v>
      </c>
      <c r="AB873" s="9">
        <v>0.106998517662065</v>
      </c>
      <c r="AC873" s="9">
        <v>0.000192271262992729</v>
      </c>
      <c r="AD873" s="25"/>
      <c r="AE873" s="25"/>
      <c r="AF873" s="9"/>
      <c r="AG873" s="9"/>
      <c r="AH873" s="25">
        <v>-0.805816957151912</v>
      </c>
      <c r="AI873" s="25">
        <v>0.00467768294340268</v>
      </c>
      <c r="AJ873" s="4">
        <v>0.912815474813976</v>
      </c>
      <c r="AK873" s="4">
        <v>0.00486995420639542</v>
      </c>
      <c r="AL873" s="3"/>
      <c r="AM873" s="3"/>
      <c r="AN873" s="4"/>
      <c r="AO873" s="4"/>
      <c r="AP873" s="3">
        <v>-0.878281988240277</v>
      </c>
      <c r="AQ873" s="3">
        <v>0.00601222540200727</v>
      </c>
      <c r="AR873" s="4"/>
      <c r="AS873" s="4"/>
      <c r="AT873" s="3"/>
      <c r="AU873" s="3"/>
      <c r="AV873" s="4"/>
      <c r="AW873" s="4"/>
      <c r="AX873" s="3">
        <v>-0.220394462672451</v>
      </c>
      <c r="AY873" s="3">
        <v>0.00313638565085747</v>
      </c>
      <c r="AZ873" s="3">
        <v>0.117270871752742</v>
      </c>
      <c r="BA873" s="3">
        <v>0.00313181832447442</v>
      </c>
      <c r="BN873" s="3">
        <v>0.091248671465145</v>
      </c>
      <c r="BO873" s="3">
        <v>0.00520616409829239</v>
      </c>
    </row>
    <row r="874" s="3" customFormat="1" spans="1:67">
      <c r="A874" s="4">
        <v>873</v>
      </c>
      <c r="B874" s="6">
        <v>138</v>
      </c>
      <c r="C874" s="24" t="s">
        <v>424</v>
      </c>
      <c r="D874" s="13" t="s">
        <v>425</v>
      </c>
      <c r="E874" s="3">
        <v>45.273486</v>
      </c>
      <c r="F874" s="3">
        <v>-97.837039</v>
      </c>
      <c r="G874" s="26">
        <v>6</v>
      </c>
      <c r="H874" s="27">
        <v>710</v>
      </c>
      <c r="I874" s="3"/>
      <c r="J874" s="13" t="s">
        <v>193</v>
      </c>
      <c r="K874" s="5" t="s">
        <v>182</v>
      </c>
      <c r="L874" s="3">
        <v>2019</v>
      </c>
      <c r="M874" s="3"/>
      <c r="N874" s="3"/>
      <c r="O874" s="36" t="s">
        <v>80</v>
      </c>
      <c r="P874" s="20"/>
      <c r="Q874" s="3">
        <v>49.3138</v>
      </c>
      <c r="R874" s="3">
        <v>4.42317</v>
      </c>
      <c r="S874" s="13">
        <v>11.1489723433646</v>
      </c>
      <c r="T874" s="21">
        <v>26</v>
      </c>
      <c r="U874" s="21">
        <v>48</v>
      </c>
      <c r="V874" s="21">
        <v>26</v>
      </c>
      <c r="W874" s="6">
        <v>31</v>
      </c>
      <c r="X874" s="13" t="s">
        <v>141</v>
      </c>
      <c r="Y874" s="13" t="s">
        <v>82</v>
      </c>
      <c r="Z874" s="3">
        <v>4</v>
      </c>
      <c r="AA874" s="3">
        <v>4</v>
      </c>
      <c r="AB874" s="9">
        <v>0.167334275194559</v>
      </c>
      <c r="AC874" s="9">
        <v>0.000192271262992728</v>
      </c>
      <c r="AD874" s="25"/>
      <c r="AE874" s="25"/>
      <c r="AF874" s="9"/>
      <c r="AG874" s="9"/>
      <c r="AH874" s="25">
        <v>-0.4294195842642</v>
      </c>
      <c r="AI874" s="25">
        <v>0.00361291567353506</v>
      </c>
      <c r="AJ874" s="4">
        <v>0.59675385945876</v>
      </c>
      <c r="AK874" s="4">
        <v>0.0038051869365278</v>
      </c>
      <c r="AL874" s="3"/>
      <c r="AM874" s="3"/>
      <c r="AN874" s="4"/>
      <c r="AO874" s="4"/>
      <c r="AP874" s="3">
        <v>-0.56136040264507</v>
      </c>
      <c r="AQ874" s="3">
        <v>0.00323183103499707</v>
      </c>
      <c r="AR874" s="4"/>
      <c r="AS874" s="4"/>
      <c r="AT874" s="3"/>
      <c r="AU874" s="3"/>
      <c r="AV874" s="4"/>
      <c r="AW874" s="4"/>
      <c r="AX874" s="3">
        <v>0.199104478147047</v>
      </c>
      <c r="AY874" s="3">
        <v>0.00999385735483843</v>
      </c>
      <c r="AZ874" s="3">
        <v>0.366305836999694</v>
      </c>
      <c r="BA874" s="3">
        <v>0.00313181832447443</v>
      </c>
      <c r="BN874" s="3">
        <v>0.0126583968719235</v>
      </c>
      <c r="BO874" s="3">
        <v>0.00520616409829239</v>
      </c>
    </row>
    <row r="875" s="4" customFormat="1" spans="1:61">
      <c r="A875" s="4">
        <v>874</v>
      </c>
      <c r="B875" s="18">
        <v>139</v>
      </c>
      <c r="C875" s="19" t="s">
        <v>426</v>
      </c>
      <c r="D875" s="5" t="s">
        <v>427</v>
      </c>
      <c r="E875" s="5">
        <v>30.93333333333</v>
      </c>
      <c r="F875" s="5">
        <v>75.8666666</v>
      </c>
      <c r="G875" s="20">
        <v>23.841667175293</v>
      </c>
      <c r="H875" s="21">
        <v>733</v>
      </c>
      <c r="I875" s="5"/>
      <c r="J875" s="5" t="s">
        <v>94</v>
      </c>
      <c r="K875" s="5" t="s">
        <v>78</v>
      </c>
      <c r="L875" s="4">
        <v>2016</v>
      </c>
      <c r="M875" s="4">
        <v>5</v>
      </c>
      <c r="N875" s="5" t="s">
        <v>113</v>
      </c>
      <c r="O875" s="28" t="s">
        <v>80</v>
      </c>
      <c r="P875" s="29">
        <v>6.56</v>
      </c>
      <c r="Q875" s="4">
        <v>3.9</v>
      </c>
      <c r="R875" s="4"/>
      <c r="S875" s="13"/>
      <c r="T875" s="21"/>
      <c r="U875" s="34"/>
      <c r="V875" s="34"/>
      <c r="W875" s="22">
        <v>6</v>
      </c>
      <c r="X875" s="5" t="s">
        <v>91</v>
      </c>
      <c r="Y875" s="5" t="s">
        <v>82</v>
      </c>
      <c r="Z875" s="5">
        <v>4</v>
      </c>
      <c r="AA875" s="5">
        <v>4</v>
      </c>
      <c r="AB875" s="9">
        <v>0.943088925028879</v>
      </c>
      <c r="AC875" s="9">
        <v>0.00019227126299273</v>
      </c>
      <c r="AD875" s="9"/>
      <c r="AE875" s="9"/>
      <c r="AF875" s="9"/>
      <c r="AG875" s="9"/>
      <c r="AH875" s="9"/>
      <c r="AI875" s="9"/>
      <c r="AJ875" s="4"/>
      <c r="AK875" s="4"/>
      <c r="AL875" s="4"/>
      <c r="AM875" s="4"/>
      <c r="AN875" s="4"/>
      <c r="AO875" s="4"/>
      <c r="AP875" s="4"/>
      <c r="AQ875" s="4"/>
      <c r="AR875" s="4"/>
      <c r="AS875" s="4"/>
      <c r="AT875" s="4"/>
      <c r="AU875" s="4"/>
      <c r="AV875" s="4"/>
      <c r="AW875" s="4"/>
      <c r="AX875" s="4">
        <v>-0.280640970718087</v>
      </c>
      <c r="AY875" s="4">
        <v>0.00837549770918289</v>
      </c>
      <c r="BF875" s="4">
        <v>0.209350229181874</v>
      </c>
      <c r="BG875" s="4">
        <v>0.0174578696003547</v>
      </c>
      <c r="BH875" s="4">
        <v>0.183849440972008</v>
      </c>
      <c r="BI875" s="4">
        <v>0.0154252221473353</v>
      </c>
    </row>
    <row r="876" s="4" customFormat="1" spans="1:61">
      <c r="A876" s="4">
        <v>875</v>
      </c>
      <c r="B876" s="18">
        <v>139</v>
      </c>
      <c r="C876" s="19" t="s">
        <v>428</v>
      </c>
      <c r="D876" s="5" t="s">
        <v>427</v>
      </c>
      <c r="E876" s="5">
        <v>30.93333333333</v>
      </c>
      <c r="F876" s="5">
        <v>75.8666666</v>
      </c>
      <c r="G876" s="20">
        <v>23.841667175293</v>
      </c>
      <c r="H876" s="21">
        <v>733</v>
      </c>
      <c r="I876" s="5"/>
      <c r="J876" s="5" t="s">
        <v>94</v>
      </c>
      <c r="K876" s="5" t="s">
        <v>78</v>
      </c>
      <c r="L876" s="4">
        <v>2016</v>
      </c>
      <c r="M876" s="4">
        <v>5</v>
      </c>
      <c r="N876" s="5" t="s">
        <v>113</v>
      </c>
      <c r="O876" s="28" t="s">
        <v>80</v>
      </c>
      <c r="P876" s="29">
        <v>6.56</v>
      </c>
      <c r="Q876" s="4">
        <v>3.9</v>
      </c>
      <c r="R876" s="4"/>
      <c r="S876" s="13"/>
      <c r="T876" s="21"/>
      <c r="U876" s="34"/>
      <c r="V876" s="34"/>
      <c r="W876" s="22">
        <v>6</v>
      </c>
      <c r="X876" s="5" t="s">
        <v>91</v>
      </c>
      <c r="Y876" s="5" t="s">
        <v>82</v>
      </c>
      <c r="Z876" s="5">
        <v>4</v>
      </c>
      <c r="AA876" s="5">
        <v>4</v>
      </c>
      <c r="AB876" s="9">
        <v>0.696228847097353</v>
      </c>
      <c r="AC876" s="9">
        <v>0.000192271262992729</v>
      </c>
      <c r="AD876" s="9"/>
      <c r="AE876" s="9"/>
      <c r="AF876" s="9"/>
      <c r="AG876" s="9"/>
      <c r="AH876" s="9"/>
      <c r="AI876" s="9"/>
      <c r="AJ876" s="4"/>
      <c r="AK876" s="4"/>
      <c r="AL876" s="4"/>
      <c r="AM876" s="4"/>
      <c r="AN876" s="4"/>
      <c r="AO876" s="4"/>
      <c r="AP876" s="4"/>
      <c r="AQ876" s="4"/>
      <c r="AR876" s="4"/>
      <c r="AS876" s="4"/>
      <c r="AT876" s="4"/>
      <c r="AU876" s="4"/>
      <c r="AV876" s="4"/>
      <c r="AW876" s="4"/>
      <c r="AX876" s="4">
        <v>0.576973244920692</v>
      </c>
      <c r="AY876" s="4">
        <v>0.00917400773895828</v>
      </c>
      <c r="BF876" s="4">
        <v>0.231329135900649</v>
      </c>
      <c r="BG876" s="4">
        <v>0.0174578696003547</v>
      </c>
      <c r="BH876" s="4">
        <v>0.358508125020393</v>
      </c>
      <c r="BI876" s="4">
        <v>0.0154252221473353</v>
      </c>
    </row>
    <row r="877" s="4" customFormat="1" spans="1:61">
      <c r="A877" s="4">
        <v>876</v>
      </c>
      <c r="B877" s="18">
        <v>139</v>
      </c>
      <c r="C877" s="19" t="s">
        <v>429</v>
      </c>
      <c r="D877" s="5" t="s">
        <v>427</v>
      </c>
      <c r="E877" s="5">
        <v>30.93333333333</v>
      </c>
      <c r="F877" s="5">
        <v>75.8666666</v>
      </c>
      <c r="G877" s="20">
        <v>23.841667175293</v>
      </c>
      <c r="H877" s="21">
        <v>733</v>
      </c>
      <c r="I877" s="5"/>
      <c r="J877" s="5" t="s">
        <v>94</v>
      </c>
      <c r="K877" s="5" t="s">
        <v>78</v>
      </c>
      <c r="L877" s="4">
        <v>2016</v>
      </c>
      <c r="M877" s="4">
        <v>5</v>
      </c>
      <c r="N877" s="5" t="s">
        <v>113</v>
      </c>
      <c r="O877" s="28" t="s">
        <v>80</v>
      </c>
      <c r="P877" s="29">
        <v>6.56</v>
      </c>
      <c r="Q877" s="4">
        <v>3.9</v>
      </c>
      <c r="R877" s="4"/>
      <c r="S877" s="13"/>
      <c r="T877" s="21"/>
      <c r="U877" s="34"/>
      <c r="V877" s="34"/>
      <c r="W877" s="22">
        <v>6</v>
      </c>
      <c r="X877" s="5" t="s">
        <v>91</v>
      </c>
      <c r="Y877" s="5" t="s">
        <v>82</v>
      </c>
      <c r="Z877" s="5">
        <v>4</v>
      </c>
      <c r="AA877" s="5">
        <v>4</v>
      </c>
      <c r="AB877" s="9">
        <v>0.863046217355343</v>
      </c>
      <c r="AC877" s="9">
        <v>0.000192271262992729</v>
      </c>
      <c r="AD877" s="9"/>
      <c r="AE877" s="9"/>
      <c r="AF877" s="9"/>
      <c r="AG877" s="9"/>
      <c r="AH877" s="9"/>
      <c r="AI877" s="9"/>
      <c r="AJ877" s="4"/>
      <c r="AK877" s="4"/>
      <c r="AL877" s="4"/>
      <c r="AM877" s="4"/>
      <c r="AN877" s="4"/>
      <c r="AO877" s="4"/>
      <c r="AP877" s="4"/>
      <c r="AQ877" s="4"/>
      <c r="AR877" s="4"/>
      <c r="AS877" s="4"/>
      <c r="AT877" s="4"/>
      <c r="AU877" s="4"/>
      <c r="AV877" s="4"/>
      <c r="AW877" s="4"/>
      <c r="AX877" s="4">
        <v>-0.0540042273296747</v>
      </c>
      <c r="AY877" s="4">
        <v>0.00801544187156737</v>
      </c>
      <c r="BF877" s="4">
        <v>0.363500909009132</v>
      </c>
      <c r="BG877" s="4">
        <v>0.0174578696003547</v>
      </c>
      <c r="BH877" s="4">
        <v>0.529007942849181</v>
      </c>
      <c r="BI877" s="4">
        <v>0.0154252221473353</v>
      </c>
    </row>
    <row r="878" s="4" customFormat="1" spans="1:61">
      <c r="A878" s="4">
        <v>877</v>
      </c>
      <c r="B878" s="18">
        <v>139</v>
      </c>
      <c r="C878" s="19" t="s">
        <v>430</v>
      </c>
      <c r="D878" s="5" t="s">
        <v>427</v>
      </c>
      <c r="E878" s="5">
        <v>30.93333333333</v>
      </c>
      <c r="F878" s="5">
        <v>75.8666666</v>
      </c>
      <c r="G878" s="20">
        <v>23.841667175293</v>
      </c>
      <c r="H878" s="21">
        <v>733</v>
      </c>
      <c r="I878" s="5"/>
      <c r="J878" s="5" t="s">
        <v>94</v>
      </c>
      <c r="K878" s="5" t="s">
        <v>78</v>
      </c>
      <c r="L878" s="4">
        <v>2016</v>
      </c>
      <c r="M878" s="4">
        <v>5</v>
      </c>
      <c r="N878" s="5" t="s">
        <v>113</v>
      </c>
      <c r="O878" s="28" t="s">
        <v>80</v>
      </c>
      <c r="P878" s="29">
        <v>6.56</v>
      </c>
      <c r="Q878" s="4">
        <v>3.9</v>
      </c>
      <c r="R878" s="4"/>
      <c r="S878" s="13"/>
      <c r="T878" s="21"/>
      <c r="U878" s="34"/>
      <c r="V878" s="34"/>
      <c r="W878" s="22">
        <v>6</v>
      </c>
      <c r="X878" s="5" t="s">
        <v>91</v>
      </c>
      <c r="Y878" s="5" t="s">
        <v>82</v>
      </c>
      <c r="Z878" s="5">
        <v>4</v>
      </c>
      <c r="AA878" s="5">
        <v>4</v>
      </c>
      <c r="AB878" s="9">
        <v>0.820146871321253</v>
      </c>
      <c r="AC878" s="9">
        <v>0.000192271262992728</v>
      </c>
      <c r="AD878" s="9"/>
      <c r="AE878" s="9"/>
      <c r="AF878" s="9"/>
      <c r="AG878" s="9"/>
      <c r="AH878" s="9"/>
      <c r="AI878" s="9"/>
      <c r="AJ878" s="4"/>
      <c r="AK878" s="4"/>
      <c r="AL878" s="4"/>
      <c r="AM878" s="4"/>
      <c r="AN878" s="4"/>
      <c r="AO878" s="4"/>
      <c r="AP878" s="4"/>
      <c r="AQ878" s="4"/>
      <c r="AR878" s="4"/>
      <c r="AS878" s="4"/>
      <c r="AT878" s="4"/>
      <c r="AU878" s="4"/>
      <c r="AV878" s="4"/>
      <c r="AW878" s="4"/>
      <c r="AX878" s="4">
        <v>-0.189055998598092</v>
      </c>
      <c r="AY878" s="4">
        <v>0.0063214655469755</v>
      </c>
      <c r="BF878" s="4">
        <v>0.316337328212157</v>
      </c>
      <c r="BG878" s="4">
        <v>0.0174578696003547</v>
      </c>
      <c r="BH878" s="4">
        <v>0.252413933614323</v>
      </c>
      <c r="BI878" s="4">
        <v>0.0154252221473354</v>
      </c>
    </row>
    <row r="879" s="4" customFormat="1" spans="1:61">
      <c r="A879" s="4">
        <v>878</v>
      </c>
      <c r="B879" s="18">
        <v>139</v>
      </c>
      <c r="C879" s="19" t="s">
        <v>431</v>
      </c>
      <c r="D879" s="5" t="s">
        <v>427</v>
      </c>
      <c r="E879" s="5">
        <v>30.93333333333</v>
      </c>
      <c r="F879" s="5">
        <v>75.8666666</v>
      </c>
      <c r="G879" s="20">
        <v>23.841667175293</v>
      </c>
      <c r="H879" s="21">
        <v>733</v>
      </c>
      <c r="I879" s="5"/>
      <c r="J879" s="5" t="s">
        <v>94</v>
      </c>
      <c r="K879" s="5" t="s">
        <v>78</v>
      </c>
      <c r="L879" s="4">
        <v>2016</v>
      </c>
      <c r="M879" s="4">
        <v>5</v>
      </c>
      <c r="N879" s="5" t="s">
        <v>113</v>
      </c>
      <c r="O879" s="28" t="s">
        <v>80</v>
      </c>
      <c r="P879" s="29">
        <v>6.56</v>
      </c>
      <c r="Q879" s="4">
        <v>3.9</v>
      </c>
      <c r="R879" s="4"/>
      <c r="S879" s="13"/>
      <c r="T879" s="21"/>
      <c r="U879" s="34"/>
      <c r="V879" s="34"/>
      <c r="W879" s="22">
        <v>6</v>
      </c>
      <c r="X879" s="5" t="s">
        <v>91</v>
      </c>
      <c r="Y879" s="5" t="s">
        <v>82</v>
      </c>
      <c r="Z879" s="5">
        <v>4</v>
      </c>
      <c r="AA879" s="5">
        <v>4</v>
      </c>
      <c r="AB879" s="9">
        <v>1.13442174136482</v>
      </c>
      <c r="AC879" s="9">
        <v>0.000192271262992728</v>
      </c>
      <c r="AD879" s="9"/>
      <c r="AE879" s="9"/>
      <c r="AF879" s="9"/>
      <c r="AG879" s="9"/>
      <c r="AH879" s="9"/>
      <c r="AI879" s="9"/>
      <c r="AJ879" s="4"/>
      <c r="AK879" s="4"/>
      <c r="AL879" s="4"/>
      <c r="AM879" s="4"/>
      <c r="AN879" s="4"/>
      <c r="AO879" s="4"/>
      <c r="AP879" s="4"/>
      <c r="AQ879" s="4"/>
      <c r="AR879" s="4"/>
      <c r="AS879" s="4"/>
      <c r="AT879" s="4"/>
      <c r="AU879" s="4"/>
      <c r="AV879" s="4"/>
      <c r="AW879" s="4"/>
      <c r="AX879" s="4">
        <v>0.0724650310883612</v>
      </c>
      <c r="AY879" s="4">
        <v>0.01068990834541</v>
      </c>
      <c r="BF879" s="4">
        <v>0.387211667798814</v>
      </c>
      <c r="BG879" s="4">
        <v>0.0174578696003546</v>
      </c>
      <c r="BH879" s="4">
        <v>0.478629683965503</v>
      </c>
      <c r="BI879" s="4">
        <v>0.0154252221473354</v>
      </c>
    </row>
    <row r="880" s="4" customFormat="1" spans="1:61">
      <c r="A880" s="4">
        <v>879</v>
      </c>
      <c r="B880" s="18">
        <v>139</v>
      </c>
      <c r="C880" s="19" t="s">
        <v>432</v>
      </c>
      <c r="D880" s="5" t="s">
        <v>427</v>
      </c>
      <c r="E880" s="5">
        <v>30.93333333333</v>
      </c>
      <c r="F880" s="5">
        <v>75.8666666</v>
      </c>
      <c r="G880" s="20">
        <v>23.841667175293</v>
      </c>
      <c r="H880" s="21">
        <v>733</v>
      </c>
      <c r="I880" s="5"/>
      <c r="J880" s="5" t="s">
        <v>94</v>
      </c>
      <c r="K880" s="5" t="s">
        <v>78</v>
      </c>
      <c r="L880" s="4">
        <v>2016</v>
      </c>
      <c r="M880" s="4">
        <v>5</v>
      </c>
      <c r="N880" s="5" t="s">
        <v>113</v>
      </c>
      <c r="O880" s="28" t="s">
        <v>80</v>
      </c>
      <c r="P880" s="29">
        <v>6.56</v>
      </c>
      <c r="Q880" s="4">
        <v>3.9</v>
      </c>
      <c r="R880" s="4"/>
      <c r="S880" s="13"/>
      <c r="T880" s="21"/>
      <c r="U880" s="34"/>
      <c r="V880" s="34"/>
      <c r="W880" s="22">
        <v>6</v>
      </c>
      <c r="X880" s="5" t="s">
        <v>91</v>
      </c>
      <c r="Y880" s="5" t="s">
        <v>82</v>
      </c>
      <c r="Z880" s="5">
        <v>4</v>
      </c>
      <c r="AA880" s="5">
        <v>4</v>
      </c>
      <c r="AB880" s="9">
        <v>1.01726664921416</v>
      </c>
      <c r="AC880" s="9">
        <v>0.000192271262992728</v>
      </c>
      <c r="AD880" s="9"/>
      <c r="AE880" s="9"/>
      <c r="AF880" s="9"/>
      <c r="AG880" s="9"/>
      <c r="AH880" s="9"/>
      <c r="AI880" s="9"/>
      <c r="AJ880" s="4"/>
      <c r="AK880" s="4"/>
      <c r="AL880" s="4"/>
      <c r="AM880" s="4"/>
      <c r="AN880" s="4"/>
      <c r="AO880" s="4"/>
      <c r="AP880" s="4"/>
      <c r="AQ880" s="4"/>
      <c r="AR880" s="4"/>
      <c r="AS880" s="4"/>
      <c r="AT880" s="4"/>
      <c r="AU880" s="4"/>
      <c r="AV880" s="4"/>
      <c r="AW880" s="4"/>
      <c r="AX880" s="4">
        <v>0.131940818380871</v>
      </c>
      <c r="AY880" s="4">
        <v>0.0068447467085321</v>
      </c>
      <c r="BF880" s="4">
        <v>0.510825623765991</v>
      </c>
      <c r="BG880" s="4">
        <v>0.0174578696003547</v>
      </c>
      <c r="BH880" s="4">
        <v>0.626626498218383</v>
      </c>
      <c r="BI880" s="4">
        <v>0.0154252221473354</v>
      </c>
    </row>
    <row r="881" s="4" customFormat="1" spans="1:61">
      <c r="A881" s="4">
        <v>880</v>
      </c>
      <c r="B881" s="18">
        <v>139</v>
      </c>
      <c r="C881" s="19" t="s">
        <v>433</v>
      </c>
      <c r="D881" s="5" t="s">
        <v>427</v>
      </c>
      <c r="E881" s="5">
        <v>30.93333333333</v>
      </c>
      <c r="F881" s="5">
        <v>75.8666666</v>
      </c>
      <c r="G881" s="20">
        <v>23.841667175293</v>
      </c>
      <c r="H881" s="21">
        <v>733</v>
      </c>
      <c r="I881" s="5"/>
      <c r="J881" s="5" t="s">
        <v>94</v>
      </c>
      <c r="K881" s="5" t="s">
        <v>78</v>
      </c>
      <c r="L881" s="4">
        <v>2016</v>
      </c>
      <c r="M881" s="4">
        <v>5</v>
      </c>
      <c r="N881" s="5" t="s">
        <v>113</v>
      </c>
      <c r="O881" s="28" t="s">
        <v>80</v>
      </c>
      <c r="P881" s="29">
        <v>6.56</v>
      </c>
      <c r="Q881" s="4">
        <v>3.9</v>
      </c>
      <c r="R881" s="4"/>
      <c r="S881" s="13"/>
      <c r="T881" s="21"/>
      <c r="U881" s="34"/>
      <c r="V881" s="34"/>
      <c r="W881" s="22">
        <v>6</v>
      </c>
      <c r="X881" s="5" t="s">
        <v>91</v>
      </c>
      <c r="Y881" s="5" t="s">
        <v>82</v>
      </c>
      <c r="Z881" s="5">
        <v>4</v>
      </c>
      <c r="AA881" s="5">
        <v>4</v>
      </c>
      <c r="AB881" s="9">
        <v>0.586811530743913</v>
      </c>
      <c r="AC881" s="9">
        <v>0.000192271262992729</v>
      </c>
      <c r="AD881" s="9"/>
      <c r="AE881" s="9"/>
      <c r="AF881" s="9"/>
      <c r="AG881" s="9"/>
      <c r="AH881" s="9"/>
      <c r="AI881" s="9"/>
      <c r="AJ881" s="4"/>
      <c r="AK881" s="4"/>
      <c r="AL881" s="4"/>
      <c r="AM881" s="4"/>
      <c r="AN881" s="4"/>
      <c r="AO881" s="4"/>
      <c r="AP881" s="4"/>
      <c r="AQ881" s="4"/>
      <c r="AR881" s="4"/>
      <c r="AS881" s="4"/>
      <c r="AT881" s="4"/>
      <c r="AU881" s="4"/>
      <c r="AV881" s="4"/>
      <c r="AW881" s="4"/>
      <c r="AX881" s="4"/>
      <c r="AY881" s="4"/>
      <c r="BF881" s="4">
        <v>0.127261779610927</v>
      </c>
      <c r="BG881" s="4">
        <v>0.0174578696003546</v>
      </c>
      <c r="BH881" s="4">
        <v>0.259219607788019</v>
      </c>
      <c r="BI881" s="4">
        <v>0.0154252221473353</v>
      </c>
    </row>
    <row r="882" s="4" customFormat="1" spans="1:61">
      <c r="A882" s="4">
        <v>881</v>
      </c>
      <c r="B882" s="18">
        <v>139</v>
      </c>
      <c r="C882" s="19" t="s">
        <v>434</v>
      </c>
      <c r="D882" s="5" t="s">
        <v>427</v>
      </c>
      <c r="E882" s="5">
        <v>30.93333333333</v>
      </c>
      <c r="F882" s="5">
        <v>75.8666666</v>
      </c>
      <c r="G882" s="20">
        <v>23.841667175293</v>
      </c>
      <c r="H882" s="21">
        <v>733</v>
      </c>
      <c r="I882" s="5"/>
      <c r="J882" s="5" t="s">
        <v>94</v>
      </c>
      <c r="K882" s="5" t="s">
        <v>78</v>
      </c>
      <c r="L882" s="4">
        <v>2016</v>
      </c>
      <c r="M882" s="4">
        <v>5</v>
      </c>
      <c r="N882" s="5" t="s">
        <v>113</v>
      </c>
      <c r="O882" s="28" t="s">
        <v>80</v>
      </c>
      <c r="P882" s="29">
        <v>6.56</v>
      </c>
      <c r="Q882" s="4">
        <v>3.9</v>
      </c>
      <c r="R882" s="4"/>
      <c r="S882" s="13"/>
      <c r="T882" s="21"/>
      <c r="U882" s="34"/>
      <c r="V882" s="34"/>
      <c r="W882" s="22">
        <v>6</v>
      </c>
      <c r="X882" s="5" t="s">
        <v>91</v>
      </c>
      <c r="Y882" s="5" t="s">
        <v>82</v>
      </c>
      <c r="Z882" s="5">
        <v>4</v>
      </c>
      <c r="AA882" s="5">
        <v>4</v>
      </c>
      <c r="AB882" s="9">
        <v>1.05376172250276</v>
      </c>
      <c r="AC882" s="9">
        <v>0.000192271262992728</v>
      </c>
      <c r="AD882" s="9"/>
      <c r="AE882" s="9"/>
      <c r="AF882" s="9"/>
      <c r="AG882" s="9"/>
      <c r="AH882" s="9"/>
      <c r="AI882" s="9"/>
      <c r="AJ882" s="4"/>
      <c r="AK882" s="4"/>
      <c r="AL882" s="4"/>
      <c r="AM882" s="4"/>
      <c r="AN882" s="4"/>
      <c r="AO882" s="4"/>
      <c r="AP882" s="4"/>
      <c r="AQ882" s="4"/>
      <c r="AR882" s="4"/>
      <c r="AS882" s="4"/>
      <c r="AT882" s="4"/>
      <c r="AU882" s="4"/>
      <c r="AV882" s="4"/>
      <c r="AW882" s="4"/>
      <c r="AX882" s="4"/>
      <c r="AY882" s="4"/>
      <c r="BF882" s="4">
        <v>0.336472236621213</v>
      </c>
      <c r="BG882" s="4">
        <v>0.0174578696003547</v>
      </c>
      <c r="BH882" s="4">
        <v>0.520977995230009</v>
      </c>
      <c r="BI882" s="4">
        <v>0.0154252221473353</v>
      </c>
    </row>
    <row r="883" s="4" customFormat="1" spans="1:61">
      <c r="A883" s="4">
        <v>882</v>
      </c>
      <c r="B883" s="18">
        <v>139</v>
      </c>
      <c r="C883" s="19" t="s">
        <v>435</v>
      </c>
      <c r="D883" s="5" t="s">
        <v>427</v>
      </c>
      <c r="E883" s="5">
        <v>30.93333333333</v>
      </c>
      <c r="F883" s="5">
        <v>75.8666666</v>
      </c>
      <c r="G883" s="20">
        <v>23.841667175293</v>
      </c>
      <c r="H883" s="21">
        <v>733</v>
      </c>
      <c r="I883" s="5"/>
      <c r="J883" s="5" t="s">
        <v>94</v>
      </c>
      <c r="K883" s="5" t="s">
        <v>78</v>
      </c>
      <c r="L883" s="4">
        <v>2016</v>
      </c>
      <c r="M883" s="4">
        <v>5</v>
      </c>
      <c r="N883" s="5" t="s">
        <v>113</v>
      </c>
      <c r="O883" s="28" t="s">
        <v>80</v>
      </c>
      <c r="P883" s="29">
        <v>6.56</v>
      </c>
      <c r="Q883" s="4">
        <v>3.9</v>
      </c>
      <c r="R883" s="4"/>
      <c r="S883" s="13"/>
      <c r="T883" s="21"/>
      <c r="U883" s="34"/>
      <c r="V883" s="34"/>
      <c r="W883" s="22">
        <v>6</v>
      </c>
      <c r="X883" s="5" t="s">
        <v>91</v>
      </c>
      <c r="Y883" s="5" t="s">
        <v>82</v>
      </c>
      <c r="Z883" s="5">
        <v>4</v>
      </c>
      <c r="AA883" s="5">
        <v>4</v>
      </c>
      <c r="AB883" s="9">
        <v>1.00840602078196</v>
      </c>
      <c r="AC883" s="9">
        <v>0.000192271262992729</v>
      </c>
      <c r="AD883" s="9"/>
      <c r="AE883" s="9"/>
      <c r="AF883" s="9"/>
      <c r="AG883" s="9"/>
      <c r="AH883" s="9"/>
      <c r="AI883" s="9"/>
      <c r="AJ883" s="4"/>
      <c r="AK883" s="4"/>
      <c r="AL883" s="4"/>
      <c r="AM883" s="4"/>
      <c r="AN883" s="4"/>
      <c r="AO883" s="4"/>
      <c r="AP883" s="4"/>
      <c r="AQ883" s="4"/>
      <c r="AR883" s="4"/>
      <c r="AS883" s="4"/>
      <c r="AT883" s="4"/>
      <c r="AU883" s="4"/>
      <c r="AV883" s="4"/>
      <c r="AW883" s="4"/>
      <c r="AX883" s="4"/>
      <c r="AY883" s="4"/>
      <c r="BF883" s="4">
        <v>0.438254930931155</v>
      </c>
      <c r="BG883" s="4">
        <v>0.0174578696003547</v>
      </c>
      <c r="BH883" s="4">
        <v>0.677722710234314</v>
      </c>
      <c r="BI883" s="4">
        <v>0.0154252221473353</v>
      </c>
    </row>
    <row r="884" s="4" customFormat="1" spans="1:61">
      <c r="A884" s="4">
        <v>883</v>
      </c>
      <c r="B884" s="18">
        <v>139</v>
      </c>
      <c r="C884" s="19" t="s">
        <v>436</v>
      </c>
      <c r="D884" s="5" t="s">
        <v>427</v>
      </c>
      <c r="E884" s="5">
        <v>30.93333333333</v>
      </c>
      <c r="F884" s="5">
        <v>75.8666666</v>
      </c>
      <c r="G884" s="20">
        <v>23.841667175293</v>
      </c>
      <c r="H884" s="21">
        <v>733</v>
      </c>
      <c r="I884" s="5"/>
      <c r="J884" s="5" t="s">
        <v>94</v>
      </c>
      <c r="K884" s="5" t="s">
        <v>78</v>
      </c>
      <c r="L884" s="4">
        <v>2016</v>
      </c>
      <c r="M884" s="4">
        <v>5</v>
      </c>
      <c r="N884" s="5" t="s">
        <v>113</v>
      </c>
      <c r="O884" s="28" t="s">
        <v>80</v>
      </c>
      <c r="P884" s="29">
        <v>6.56</v>
      </c>
      <c r="Q884" s="4">
        <v>3.9</v>
      </c>
      <c r="R884" s="4"/>
      <c r="S884" s="13"/>
      <c r="T884" s="21"/>
      <c r="U884" s="34"/>
      <c r="V884" s="34"/>
      <c r="W884" s="22">
        <v>6</v>
      </c>
      <c r="X884" s="5" t="s">
        <v>91</v>
      </c>
      <c r="Y884" s="5" t="s">
        <v>82</v>
      </c>
      <c r="Z884" s="5">
        <v>4</v>
      </c>
      <c r="AA884" s="5">
        <v>4</v>
      </c>
      <c r="AB884" s="9">
        <v>0.566706082160447</v>
      </c>
      <c r="AC884" s="9">
        <v>0.00019227126299273</v>
      </c>
      <c r="AD884" s="9"/>
      <c r="AE884" s="9"/>
      <c r="AF884" s="9"/>
      <c r="AG884" s="9"/>
      <c r="AH884" s="9"/>
      <c r="AI884" s="9"/>
      <c r="AJ884" s="4"/>
      <c r="AK884" s="4"/>
      <c r="AL884" s="4"/>
      <c r="AM884" s="4"/>
      <c r="AN884" s="4"/>
      <c r="AO884" s="4"/>
      <c r="AP884" s="4"/>
      <c r="AQ884" s="4"/>
      <c r="AR884" s="4"/>
      <c r="AS884" s="4"/>
      <c r="AT884" s="4"/>
      <c r="AU884" s="4"/>
      <c r="AV884" s="4"/>
      <c r="AW884" s="4"/>
      <c r="AX884" s="4"/>
      <c r="AY884" s="4"/>
      <c r="BF884" s="4">
        <v>0.130770231183195</v>
      </c>
      <c r="BG884" s="4">
        <v>0.0174578696003547</v>
      </c>
      <c r="BH884" s="4">
        <v>0.16623541904233</v>
      </c>
      <c r="BI884" s="4">
        <v>0.0154252221473353</v>
      </c>
    </row>
    <row r="885" s="4" customFormat="1" spans="1:61">
      <c r="A885" s="4">
        <v>884</v>
      </c>
      <c r="B885" s="18">
        <v>139</v>
      </c>
      <c r="C885" s="19" t="s">
        <v>437</v>
      </c>
      <c r="D885" s="5" t="s">
        <v>427</v>
      </c>
      <c r="E885" s="5">
        <v>30.93333333333</v>
      </c>
      <c r="F885" s="5">
        <v>75.8666666</v>
      </c>
      <c r="G885" s="20">
        <v>23.841667175293</v>
      </c>
      <c r="H885" s="21">
        <v>733</v>
      </c>
      <c r="I885" s="5"/>
      <c r="J885" s="5" t="s">
        <v>94</v>
      </c>
      <c r="K885" s="5" t="s">
        <v>78</v>
      </c>
      <c r="L885" s="4">
        <v>2016</v>
      </c>
      <c r="M885" s="4">
        <v>5</v>
      </c>
      <c r="N885" s="5" t="s">
        <v>113</v>
      </c>
      <c r="O885" s="28" t="s">
        <v>80</v>
      </c>
      <c r="P885" s="29">
        <v>6.56</v>
      </c>
      <c r="Q885" s="4">
        <v>3.9</v>
      </c>
      <c r="R885" s="4"/>
      <c r="S885" s="13"/>
      <c r="T885" s="21"/>
      <c r="U885" s="34"/>
      <c r="V885" s="34"/>
      <c r="W885" s="22">
        <v>6</v>
      </c>
      <c r="X885" s="5" t="s">
        <v>91</v>
      </c>
      <c r="Y885" s="5" t="s">
        <v>82</v>
      </c>
      <c r="Z885" s="5">
        <v>4</v>
      </c>
      <c r="AA885" s="5">
        <v>4</v>
      </c>
      <c r="AB885" s="9">
        <v>1.10751253813837</v>
      </c>
      <c r="AC885" s="9">
        <v>0.000192271262992729</v>
      </c>
      <c r="AD885" s="9"/>
      <c r="AE885" s="9"/>
      <c r="AF885" s="9"/>
      <c r="AG885" s="9"/>
      <c r="AH885" s="9"/>
      <c r="AI885" s="9"/>
      <c r="AJ885" s="4"/>
      <c r="AK885" s="4"/>
      <c r="AL885" s="4"/>
      <c r="AM885" s="4"/>
      <c r="AN885" s="4"/>
      <c r="AO885" s="4"/>
      <c r="AP885" s="4"/>
      <c r="AQ885" s="4"/>
      <c r="AR885" s="4"/>
      <c r="AS885" s="4"/>
      <c r="AT885" s="4"/>
      <c r="AU885" s="4"/>
      <c r="AV885" s="4"/>
      <c r="AW885" s="4"/>
      <c r="AX885" s="4"/>
      <c r="AY885" s="4"/>
      <c r="BF885" s="4">
        <v>0.390650022323024</v>
      </c>
      <c r="BG885" s="4">
        <v>0.0174578696003547</v>
      </c>
      <c r="BH885" s="4">
        <v>0.598368774232656</v>
      </c>
      <c r="BI885" s="4">
        <v>0.0154252221473353</v>
      </c>
    </row>
    <row r="886" s="4" customFormat="1" spans="1:61">
      <c r="A886" s="4">
        <v>885</v>
      </c>
      <c r="B886" s="18">
        <v>139</v>
      </c>
      <c r="C886" s="19" t="s">
        <v>438</v>
      </c>
      <c r="D886" s="5" t="s">
        <v>427</v>
      </c>
      <c r="E886" s="5">
        <v>30.93333333333</v>
      </c>
      <c r="F886" s="5">
        <v>75.8666666</v>
      </c>
      <c r="G886" s="20">
        <v>23.841667175293</v>
      </c>
      <c r="H886" s="21">
        <v>733</v>
      </c>
      <c r="I886" s="5"/>
      <c r="J886" s="5" t="s">
        <v>94</v>
      </c>
      <c r="K886" s="5" t="s">
        <v>78</v>
      </c>
      <c r="L886" s="4">
        <v>2016</v>
      </c>
      <c r="M886" s="4">
        <v>5</v>
      </c>
      <c r="N886" s="5" t="s">
        <v>113</v>
      </c>
      <c r="O886" s="28" t="s">
        <v>80</v>
      </c>
      <c r="P886" s="29">
        <v>6.56</v>
      </c>
      <c r="Q886" s="4">
        <v>3.9</v>
      </c>
      <c r="R886" s="4"/>
      <c r="S886" s="13"/>
      <c r="T886" s="21"/>
      <c r="U886" s="34"/>
      <c r="V886" s="34"/>
      <c r="W886" s="22">
        <v>6</v>
      </c>
      <c r="X886" s="5" t="s">
        <v>91</v>
      </c>
      <c r="Y886" s="5" t="s">
        <v>82</v>
      </c>
      <c r="Z886" s="5">
        <v>4</v>
      </c>
      <c r="AA886" s="5">
        <v>4</v>
      </c>
      <c r="AB886" s="9">
        <v>0.954626880617702</v>
      </c>
      <c r="AC886" s="9">
        <v>0.000192271262992729</v>
      </c>
      <c r="AD886" s="9"/>
      <c r="AE886" s="9"/>
      <c r="AF886" s="9"/>
      <c r="AG886" s="9"/>
      <c r="AH886" s="9"/>
      <c r="AI886" s="9"/>
      <c r="AJ886" s="4"/>
      <c r="AK886" s="4"/>
      <c r="AL886" s="4"/>
      <c r="AM886" s="4"/>
      <c r="AN886" s="4"/>
      <c r="AO886" s="4"/>
      <c r="AP886" s="4"/>
      <c r="AQ886" s="4"/>
      <c r="AR886" s="4"/>
      <c r="AS886" s="4"/>
      <c r="AT886" s="4"/>
      <c r="AU886" s="4"/>
      <c r="AV886" s="4"/>
      <c r="AW886" s="4"/>
      <c r="AX886" s="4"/>
      <c r="AY886" s="4"/>
      <c r="BF886" s="4">
        <v>0.498991166118988</v>
      </c>
      <c r="BG886" s="4">
        <v>0.0174578696003547</v>
      </c>
      <c r="BH886" s="4">
        <v>0.750010042454488</v>
      </c>
      <c r="BI886" s="4">
        <v>0.0154252221473353</v>
      </c>
    </row>
    <row r="887" s="3" customFormat="1" spans="1:69">
      <c r="A887" s="4">
        <v>886</v>
      </c>
      <c r="B887" s="6">
        <v>140</v>
      </c>
      <c r="C887" s="24" t="s">
        <v>215</v>
      </c>
      <c r="D887" s="13" t="s">
        <v>439</v>
      </c>
      <c r="E887" s="25">
        <v>34.2988888888889</v>
      </c>
      <c r="F887" s="25">
        <v>108.068611111111</v>
      </c>
      <c r="G887" s="26">
        <v>13</v>
      </c>
      <c r="H887" s="27">
        <v>632</v>
      </c>
      <c r="I887" s="3"/>
      <c r="J887" s="13" t="s">
        <v>94</v>
      </c>
      <c r="K887" s="5" t="s">
        <v>78</v>
      </c>
      <c r="L887" s="3">
        <v>2020</v>
      </c>
      <c r="M887" s="3">
        <v>5</v>
      </c>
      <c r="N887" s="13" t="s">
        <v>113</v>
      </c>
      <c r="O887" s="28" t="s">
        <v>80</v>
      </c>
      <c r="P887" s="7">
        <v>8.25</v>
      </c>
      <c r="Q887" s="3">
        <v>8.79</v>
      </c>
      <c r="R887" s="3">
        <v>0.96</v>
      </c>
      <c r="S887" s="13">
        <v>9.15625</v>
      </c>
      <c r="T887" s="8">
        <v>24.2</v>
      </c>
      <c r="U887" s="8">
        <v>69.4</v>
      </c>
      <c r="V887" s="8">
        <v>6.4</v>
      </c>
      <c r="W887" s="6">
        <v>16</v>
      </c>
      <c r="X887" s="5" t="s">
        <v>91</v>
      </c>
      <c r="Y887" s="13" t="s">
        <v>82</v>
      </c>
      <c r="Z887" s="13">
        <v>3</v>
      </c>
      <c r="AA887" s="13">
        <v>3</v>
      </c>
      <c r="AB887" s="9">
        <v>0.440972803068028</v>
      </c>
      <c r="AC887" s="9">
        <v>0.0311274382833931</v>
      </c>
      <c r="AD887" s="25">
        <v>0.174432778838279</v>
      </c>
      <c r="AE887" s="25">
        <v>0.0353459711494609</v>
      </c>
      <c r="AF887" s="9">
        <v>-0.266540024229751</v>
      </c>
      <c r="AG887" s="9">
        <v>0.066473409432854</v>
      </c>
      <c r="AH887" s="25">
        <v>0.0500803234631594</v>
      </c>
      <c r="AI887" s="25">
        <v>1.16688811873596e-5</v>
      </c>
      <c r="AJ887" s="4">
        <v>0.390892479604868</v>
      </c>
      <c r="AK887" s="4">
        <v>0.0311391071645805</v>
      </c>
      <c r="AL887" s="3">
        <v>0.124352455375122</v>
      </c>
      <c r="AM887" s="3">
        <v>0.0353576400306483</v>
      </c>
      <c r="AN887" s="4"/>
      <c r="AO887" s="4"/>
      <c r="AP887" s="3"/>
      <c r="AQ887" s="3"/>
      <c r="AR887" s="4"/>
      <c r="AS887" s="4"/>
      <c r="AT887" s="3"/>
      <c r="AU887" s="3"/>
      <c r="AV887" s="4"/>
      <c r="AW887" s="4"/>
      <c r="AX887" s="3"/>
      <c r="AY887" s="3"/>
      <c r="AZ887" s="3">
        <v>0.0555125410083222</v>
      </c>
      <c r="BA887" s="3">
        <v>0.00114255995833639</v>
      </c>
      <c r="BN887" s="3">
        <v>-0.501171270740202</v>
      </c>
      <c r="BO887" s="3">
        <v>0.00994310362132295</v>
      </c>
      <c r="BP887" s="3">
        <v>-0.125982225667387</v>
      </c>
      <c r="BQ887" s="3">
        <v>0.00280704110838123</v>
      </c>
    </row>
    <row r="888" s="3" customFormat="1" spans="1:69">
      <c r="A888" s="4">
        <v>887</v>
      </c>
      <c r="B888" s="6">
        <v>140</v>
      </c>
      <c r="C888" s="24" t="s">
        <v>440</v>
      </c>
      <c r="D888" s="13" t="s">
        <v>439</v>
      </c>
      <c r="E888" s="25">
        <v>34.2988888888889</v>
      </c>
      <c r="F888" s="25">
        <v>108.068611111111</v>
      </c>
      <c r="G888" s="26">
        <v>13</v>
      </c>
      <c r="H888" s="27">
        <v>632</v>
      </c>
      <c r="I888" s="3"/>
      <c r="J888" s="13" t="s">
        <v>94</v>
      </c>
      <c r="K888" s="5" t="s">
        <v>78</v>
      </c>
      <c r="L888" s="3">
        <v>2020</v>
      </c>
      <c r="M888" s="3">
        <v>5</v>
      </c>
      <c r="N888" s="13" t="s">
        <v>113</v>
      </c>
      <c r="O888" s="28" t="s">
        <v>80</v>
      </c>
      <c r="P888" s="7">
        <v>8.25</v>
      </c>
      <c r="Q888" s="3">
        <v>8.79</v>
      </c>
      <c r="R888" s="3">
        <v>0.96</v>
      </c>
      <c r="S888" s="13">
        <v>9.15625</v>
      </c>
      <c r="T888" s="8">
        <v>24.2</v>
      </c>
      <c r="U888" s="8">
        <v>69.4</v>
      </c>
      <c r="V888" s="8">
        <v>6.4</v>
      </c>
      <c r="W888" s="6">
        <v>16</v>
      </c>
      <c r="X888" s="5" t="s">
        <v>91</v>
      </c>
      <c r="Y888" s="13" t="s">
        <v>82</v>
      </c>
      <c r="Z888" s="13">
        <v>3</v>
      </c>
      <c r="AA888" s="13">
        <v>3</v>
      </c>
      <c r="AB888" s="9">
        <v>0.542254798308912</v>
      </c>
      <c r="AC888" s="9">
        <v>0.0975160658839976</v>
      </c>
      <c r="AD888" s="25">
        <v>0.334337542170471</v>
      </c>
      <c r="AE888" s="25">
        <v>0.00856955423036339</v>
      </c>
      <c r="AF888" s="9">
        <v>-0.207917256138441</v>
      </c>
      <c r="AG888" s="9">
        <v>0.10608562011436</v>
      </c>
      <c r="AH888" s="25">
        <v>0.0253486616320541</v>
      </c>
      <c r="AI888" s="25">
        <v>1.20328688559435e-5</v>
      </c>
      <c r="AJ888" s="4">
        <v>0.516906136676858</v>
      </c>
      <c r="AK888" s="4">
        <v>0.0975280987528535</v>
      </c>
      <c r="AL888" s="3">
        <v>0.30898888053842</v>
      </c>
      <c r="AM888" s="3">
        <v>0.00858158709921937</v>
      </c>
      <c r="AN888" s="4"/>
      <c r="AO888" s="4"/>
      <c r="AP888" s="3"/>
      <c r="AQ888" s="3"/>
      <c r="AR888" s="4"/>
      <c r="AS888" s="4"/>
      <c r="AT888" s="3"/>
      <c r="AU888" s="3"/>
      <c r="AV888" s="4"/>
      <c r="AW888" s="4"/>
      <c r="AX888" s="3"/>
      <c r="AY888" s="3"/>
      <c r="AZ888" s="3">
        <v>0.018419614613622</v>
      </c>
      <c r="BA888" s="3">
        <v>0.000712892752757703</v>
      </c>
      <c r="BN888" s="3">
        <v>-1.21592581885092</v>
      </c>
      <c r="BO888" s="3">
        <v>0.00424109191682814</v>
      </c>
      <c r="BP888" s="3">
        <v>-0.175065810740102</v>
      </c>
      <c r="BQ888" s="3">
        <v>0.00227341109981312</v>
      </c>
    </row>
    <row r="889" s="3" customFormat="1" spans="1:67">
      <c r="A889" s="4">
        <v>888</v>
      </c>
      <c r="B889" s="6">
        <v>140</v>
      </c>
      <c r="C889" s="24" t="s">
        <v>441</v>
      </c>
      <c r="D889" s="13" t="s">
        <v>439</v>
      </c>
      <c r="E889" s="25">
        <v>34.2988888888889</v>
      </c>
      <c r="F889" s="25">
        <v>108.068611111111</v>
      </c>
      <c r="G889" s="26">
        <v>13</v>
      </c>
      <c r="H889" s="27">
        <v>632</v>
      </c>
      <c r="I889" s="3"/>
      <c r="J889" s="13" t="s">
        <v>94</v>
      </c>
      <c r="K889" s="5" t="s">
        <v>78</v>
      </c>
      <c r="L889" s="3">
        <v>2020</v>
      </c>
      <c r="M889" s="3">
        <v>5</v>
      </c>
      <c r="N889" s="13" t="s">
        <v>113</v>
      </c>
      <c r="O889" s="28" t="s">
        <v>80</v>
      </c>
      <c r="P889" s="7">
        <v>8.25</v>
      </c>
      <c r="Q889" s="3">
        <v>8.79</v>
      </c>
      <c r="R889" s="3">
        <v>0.96</v>
      </c>
      <c r="S889" s="13">
        <v>9.15625</v>
      </c>
      <c r="T889" s="8">
        <v>24.2</v>
      </c>
      <c r="U889" s="8">
        <v>69.4</v>
      </c>
      <c r="V889" s="8">
        <v>6.4</v>
      </c>
      <c r="W889" s="6">
        <v>16</v>
      </c>
      <c r="X889" s="5" t="s">
        <v>91</v>
      </c>
      <c r="Y889" s="13" t="s">
        <v>82</v>
      </c>
      <c r="Z889" s="13">
        <v>3</v>
      </c>
      <c r="AA889" s="13">
        <v>3</v>
      </c>
      <c r="AB889" s="9">
        <v>0.0321449431615753</v>
      </c>
      <c r="AC889" s="9">
        <v>0.016234999115105</v>
      </c>
      <c r="AD889" s="25">
        <v>0.136097538275091</v>
      </c>
      <c r="AE889" s="25">
        <v>0.0321344259814248</v>
      </c>
      <c r="AF889" s="9">
        <v>0.103952595113513</v>
      </c>
      <c r="AG889" s="9">
        <v>0.0483694250965298</v>
      </c>
      <c r="AH889" s="25">
        <v>0.0394346642531138</v>
      </c>
      <c r="AI889" s="25">
        <v>0.000314434513434457</v>
      </c>
      <c r="AJ889" s="4">
        <v>-0.00728972109153871</v>
      </c>
      <c r="AK889" s="4">
        <v>0.0165494336285395</v>
      </c>
      <c r="AL889" s="3">
        <v>0.09666287402198</v>
      </c>
      <c r="AM889" s="3">
        <v>0.0324488604948592</v>
      </c>
      <c r="AN889" s="4"/>
      <c r="AO889" s="4"/>
      <c r="AP889" s="3"/>
      <c r="AQ889" s="3"/>
      <c r="AR889" s="4"/>
      <c r="AS889" s="4"/>
      <c r="AT889" s="3"/>
      <c r="AU889" s="3"/>
      <c r="AV889" s="4"/>
      <c r="AW889" s="4"/>
      <c r="AX889" s="3"/>
      <c r="AY889" s="3"/>
      <c r="BN889" s="3">
        <v>-0.734328422259953</v>
      </c>
      <c r="BO889" s="3">
        <v>0.00442027925662881</v>
      </c>
    </row>
    <row r="890" s="3" customFormat="1" spans="1:67">
      <c r="A890" s="4">
        <v>889</v>
      </c>
      <c r="B890" s="6">
        <v>140</v>
      </c>
      <c r="C890" s="24" t="s">
        <v>442</v>
      </c>
      <c r="D890" s="13" t="s">
        <v>439</v>
      </c>
      <c r="E890" s="25">
        <v>34.2988888888889</v>
      </c>
      <c r="F890" s="25">
        <v>108.068611111111</v>
      </c>
      <c r="G890" s="26">
        <v>13</v>
      </c>
      <c r="H890" s="27">
        <v>632</v>
      </c>
      <c r="I890" s="3"/>
      <c r="J890" s="13" t="s">
        <v>94</v>
      </c>
      <c r="K890" s="5" t="s">
        <v>78</v>
      </c>
      <c r="L890" s="3">
        <v>2020</v>
      </c>
      <c r="M890" s="3">
        <v>5</v>
      </c>
      <c r="N890" s="13" t="s">
        <v>113</v>
      </c>
      <c r="O890" s="28" t="s">
        <v>80</v>
      </c>
      <c r="P890" s="7">
        <v>8.25</v>
      </c>
      <c r="Q890" s="3">
        <v>8.79</v>
      </c>
      <c r="R890" s="3">
        <v>0.96</v>
      </c>
      <c r="S890" s="13">
        <v>9.15625</v>
      </c>
      <c r="T890" s="8">
        <v>24.2</v>
      </c>
      <c r="U890" s="8">
        <v>69.4</v>
      </c>
      <c r="V890" s="8">
        <v>6.4</v>
      </c>
      <c r="W890" s="6">
        <v>16</v>
      </c>
      <c r="X890" s="5" t="s">
        <v>91</v>
      </c>
      <c r="Y890" s="13" t="s">
        <v>82</v>
      </c>
      <c r="Z890" s="13">
        <v>3</v>
      </c>
      <c r="AA890" s="13">
        <v>3</v>
      </c>
      <c r="AB890" s="9">
        <v>-0.0294683987868106</v>
      </c>
      <c r="AC890" s="9">
        <v>0.0122886724549971</v>
      </c>
      <c r="AD890" s="25">
        <v>0.075572909503233</v>
      </c>
      <c r="AE890" s="25">
        <v>0.0100501222349151</v>
      </c>
      <c r="AF890" s="9">
        <v>0.105041308290043</v>
      </c>
      <c r="AG890" s="9">
        <v>0.0223387946899122</v>
      </c>
      <c r="AH890" s="9">
        <v>1e-6</v>
      </c>
      <c r="AI890" s="25">
        <v>0.000197020428527598</v>
      </c>
      <c r="AJ890" s="4">
        <v>-0.0294683987868113</v>
      </c>
      <c r="AK890" s="4">
        <v>0.0124856928835248</v>
      </c>
      <c r="AL890" s="3">
        <v>0.0755729095032343</v>
      </c>
      <c r="AM890" s="3">
        <v>0.0102471426634427</v>
      </c>
      <c r="AN890" s="4"/>
      <c r="AO890" s="4"/>
      <c r="AP890" s="3"/>
      <c r="AQ890" s="3"/>
      <c r="AR890" s="4"/>
      <c r="AS890" s="4"/>
      <c r="AT890" s="3"/>
      <c r="AU890" s="3"/>
      <c r="AV890" s="4"/>
      <c r="AW890" s="4"/>
      <c r="AX890" s="3"/>
      <c r="AY890" s="3"/>
      <c r="BN890" s="3">
        <v>-1.57715523226243</v>
      </c>
      <c r="BO890" s="3">
        <v>0.0133767031637761</v>
      </c>
    </row>
    <row r="891" s="3" customFormat="1" spans="1:67">
      <c r="A891" s="4">
        <v>890</v>
      </c>
      <c r="B891" s="6">
        <v>140</v>
      </c>
      <c r="C891" s="24" t="s">
        <v>443</v>
      </c>
      <c r="D891" s="13" t="s">
        <v>439</v>
      </c>
      <c r="E891" s="25">
        <v>34.2988888888889</v>
      </c>
      <c r="F891" s="25">
        <v>108.068611111111</v>
      </c>
      <c r="G891" s="26">
        <v>13</v>
      </c>
      <c r="H891" s="27">
        <v>632</v>
      </c>
      <c r="I891" s="3"/>
      <c r="J891" s="13" t="s">
        <v>94</v>
      </c>
      <c r="K891" s="5" t="s">
        <v>78</v>
      </c>
      <c r="L891" s="3">
        <v>2020</v>
      </c>
      <c r="M891" s="3">
        <v>5</v>
      </c>
      <c r="N891" s="13" t="s">
        <v>113</v>
      </c>
      <c r="O891" s="28" t="s">
        <v>80</v>
      </c>
      <c r="P891" s="7">
        <v>8.25</v>
      </c>
      <c r="Q891" s="3">
        <v>8.79</v>
      </c>
      <c r="R891" s="3">
        <v>0.96</v>
      </c>
      <c r="S891" s="13">
        <v>9.15625</v>
      </c>
      <c r="T891" s="8">
        <v>24.2</v>
      </c>
      <c r="U891" s="8">
        <v>69.4</v>
      </c>
      <c r="V891" s="8">
        <v>6.4</v>
      </c>
      <c r="W891" s="6">
        <v>16</v>
      </c>
      <c r="X891" s="5" t="s">
        <v>91</v>
      </c>
      <c r="Y891" s="13" t="s">
        <v>82</v>
      </c>
      <c r="Z891" s="13">
        <v>3</v>
      </c>
      <c r="AA891" s="13">
        <v>3</v>
      </c>
      <c r="AB891" s="9">
        <v>0.350483556900893</v>
      </c>
      <c r="AC891" s="9">
        <v>0.0574857718705511</v>
      </c>
      <c r="AD891" s="25">
        <v>0.156519411418899</v>
      </c>
      <c r="AE891" s="25">
        <v>0.00965399312930608</v>
      </c>
      <c r="AF891" s="9">
        <v>-0.193964145481994</v>
      </c>
      <c r="AG891" s="9">
        <v>0.0671397649998571</v>
      </c>
      <c r="AH891" s="25">
        <v>0.0431864786517442</v>
      </c>
      <c r="AI891" s="25">
        <v>0.000302502126987079</v>
      </c>
      <c r="AJ891" s="4">
        <v>0.307297078249149</v>
      </c>
      <c r="AK891" s="4">
        <v>0.0577882739975382</v>
      </c>
      <c r="AL891" s="3">
        <v>0.113332932767154</v>
      </c>
      <c r="AM891" s="3">
        <v>0.00995649525629315</v>
      </c>
      <c r="AN891" s="4"/>
      <c r="AO891" s="4"/>
      <c r="AP891" s="3"/>
      <c r="AQ891" s="3"/>
      <c r="AR891" s="4"/>
      <c r="AS891" s="4"/>
      <c r="AT891" s="3"/>
      <c r="AU891" s="3"/>
      <c r="AV891" s="4"/>
      <c r="AW891" s="4"/>
      <c r="AX891" s="3"/>
      <c r="AY891" s="3"/>
      <c r="BN891" s="3">
        <v>-0.845021567539286</v>
      </c>
      <c r="BO891" s="3">
        <v>0.0250881928014515</v>
      </c>
    </row>
    <row r="892" s="3" customFormat="1" spans="1:67">
      <c r="A892" s="4">
        <v>891</v>
      </c>
      <c r="B892" s="6">
        <v>140</v>
      </c>
      <c r="C892" s="24" t="s">
        <v>444</v>
      </c>
      <c r="D892" s="13" t="s">
        <v>439</v>
      </c>
      <c r="E892" s="25">
        <v>34.2988888888889</v>
      </c>
      <c r="F892" s="25">
        <v>108.068611111111</v>
      </c>
      <c r="G892" s="26">
        <v>13</v>
      </c>
      <c r="H892" s="27">
        <v>632</v>
      </c>
      <c r="I892" s="3"/>
      <c r="J892" s="13" t="s">
        <v>94</v>
      </c>
      <c r="K892" s="5" t="s">
        <v>78</v>
      </c>
      <c r="L892" s="3">
        <v>2020</v>
      </c>
      <c r="M892" s="3">
        <v>5</v>
      </c>
      <c r="N892" s="13" t="s">
        <v>113</v>
      </c>
      <c r="O892" s="28" t="s">
        <v>80</v>
      </c>
      <c r="P892" s="7">
        <v>8.25</v>
      </c>
      <c r="Q892" s="3">
        <v>8.79</v>
      </c>
      <c r="R892" s="3">
        <v>0.96</v>
      </c>
      <c r="S892" s="13">
        <v>9.15625</v>
      </c>
      <c r="T892" s="8">
        <v>24.2</v>
      </c>
      <c r="U892" s="8">
        <v>69.4</v>
      </c>
      <c r="V892" s="8">
        <v>6.4</v>
      </c>
      <c r="W892" s="6">
        <v>16</v>
      </c>
      <c r="X892" s="5" t="s">
        <v>91</v>
      </c>
      <c r="Y892" s="13" t="s">
        <v>82</v>
      </c>
      <c r="Z892" s="13">
        <v>3</v>
      </c>
      <c r="AA892" s="13">
        <v>3</v>
      </c>
      <c r="AB892" s="9">
        <v>0.322262651226364</v>
      </c>
      <c r="AC892" s="9">
        <v>0.0697268328505478</v>
      </c>
      <c r="AD892" s="25">
        <v>0.397683901272533</v>
      </c>
      <c r="AE892" s="25">
        <v>0.0673840048111255</v>
      </c>
      <c r="AF892" s="9">
        <v>0.0754212500461697</v>
      </c>
      <c r="AG892" s="9">
        <v>0.137110837661673</v>
      </c>
      <c r="AH892" s="25">
        <v>0.0123301048528544</v>
      </c>
      <c r="AI892" s="25">
        <v>0.000421257315135607</v>
      </c>
      <c r="AJ892" s="4">
        <v>0.30993254637351</v>
      </c>
      <c r="AK892" s="4">
        <v>0.0701480901656833</v>
      </c>
      <c r="AL892" s="3">
        <v>0.385353796419679</v>
      </c>
      <c r="AM892" s="3">
        <v>0.0678052621262612</v>
      </c>
      <c r="AN892" s="4"/>
      <c r="AO892" s="4"/>
      <c r="AP892" s="3"/>
      <c r="AQ892" s="3"/>
      <c r="AR892" s="4"/>
      <c r="AS892" s="4"/>
      <c r="AT892" s="3"/>
      <c r="AU892" s="3"/>
      <c r="AV892" s="4"/>
      <c r="AW892" s="4"/>
      <c r="AX892" s="3"/>
      <c r="AY892" s="3"/>
      <c r="BN892" s="3">
        <v>-0.997120548706165</v>
      </c>
      <c r="BO892" s="3">
        <v>0.0287038497848498</v>
      </c>
    </row>
    <row r="893" s="3" customFormat="1" spans="1:67">
      <c r="A893" s="4">
        <v>892</v>
      </c>
      <c r="B893" s="6">
        <v>140</v>
      </c>
      <c r="C893" s="24" t="s">
        <v>445</v>
      </c>
      <c r="D893" s="13" t="s">
        <v>439</v>
      </c>
      <c r="E893" s="25">
        <v>34.2988888888889</v>
      </c>
      <c r="F893" s="25">
        <v>108.068611111111</v>
      </c>
      <c r="G893" s="26">
        <v>13</v>
      </c>
      <c r="H893" s="27">
        <v>632</v>
      </c>
      <c r="I893" s="3"/>
      <c r="J893" s="13" t="s">
        <v>94</v>
      </c>
      <c r="K893" s="5" t="s">
        <v>78</v>
      </c>
      <c r="L893" s="3">
        <v>2020</v>
      </c>
      <c r="M893" s="3">
        <v>5</v>
      </c>
      <c r="N893" s="13" t="s">
        <v>113</v>
      </c>
      <c r="O893" s="28" t="s">
        <v>80</v>
      </c>
      <c r="P893" s="7">
        <v>8.25</v>
      </c>
      <c r="Q893" s="3">
        <v>8.79</v>
      </c>
      <c r="R893" s="3">
        <v>0.96</v>
      </c>
      <c r="S893" s="13">
        <v>9.15625</v>
      </c>
      <c r="T893" s="8">
        <v>24.2</v>
      </c>
      <c r="U893" s="8">
        <v>69.4</v>
      </c>
      <c r="V893" s="8">
        <v>6.4</v>
      </c>
      <c r="W893" s="6">
        <v>16</v>
      </c>
      <c r="X893" s="5" t="s">
        <v>91</v>
      </c>
      <c r="Y893" s="13" t="s">
        <v>82</v>
      </c>
      <c r="Z893" s="13">
        <v>3</v>
      </c>
      <c r="AA893" s="13">
        <v>3</v>
      </c>
      <c r="AB893" s="9">
        <v>0.117779721967701</v>
      </c>
      <c r="AC893" s="9">
        <v>0.0167656466008142</v>
      </c>
      <c r="AD893" s="25">
        <v>0.18071352388163</v>
      </c>
      <c r="AE893" s="25">
        <v>0.00822722519878855</v>
      </c>
      <c r="AF893" s="9">
        <v>0.0629338019139294</v>
      </c>
      <c r="AG893" s="9">
        <v>0.0249928717996027</v>
      </c>
      <c r="AH893" s="25">
        <v>0.021738381415823</v>
      </c>
      <c r="AI893" s="25">
        <v>0.000646002585787838</v>
      </c>
      <c r="AJ893" s="4">
        <v>0.0960413405518773</v>
      </c>
      <c r="AK893" s="4">
        <v>0.0174116491866022</v>
      </c>
      <c r="AL893" s="3">
        <v>0.158975142465805</v>
      </c>
      <c r="AM893" s="3">
        <v>0.00887322778457639</v>
      </c>
      <c r="AN893" s="4"/>
      <c r="AO893" s="4"/>
      <c r="AP893" s="3"/>
      <c r="AQ893" s="3"/>
      <c r="AR893" s="4"/>
      <c r="AS893" s="4"/>
      <c r="AT893" s="3"/>
      <c r="AU893" s="3"/>
      <c r="AV893" s="4"/>
      <c r="AW893" s="4"/>
      <c r="AX893" s="3"/>
      <c r="AY893" s="3"/>
      <c r="BN893" s="3">
        <v>-0.24594896390657</v>
      </c>
      <c r="BO893" s="3">
        <v>0.00669026707677884</v>
      </c>
    </row>
    <row r="894" s="3" customFormat="1" spans="1:67">
      <c r="A894" s="4">
        <v>893</v>
      </c>
      <c r="B894" s="6">
        <v>140</v>
      </c>
      <c r="C894" s="24" t="s">
        <v>446</v>
      </c>
      <c r="D894" s="13" t="s">
        <v>439</v>
      </c>
      <c r="E894" s="25">
        <v>34.2988888888889</v>
      </c>
      <c r="F894" s="25">
        <v>108.068611111111</v>
      </c>
      <c r="G894" s="26">
        <v>13</v>
      </c>
      <c r="H894" s="27">
        <v>632</v>
      </c>
      <c r="I894" s="3"/>
      <c r="J894" s="13" t="s">
        <v>94</v>
      </c>
      <c r="K894" s="5" t="s">
        <v>78</v>
      </c>
      <c r="L894" s="3">
        <v>2020</v>
      </c>
      <c r="M894" s="3">
        <v>5</v>
      </c>
      <c r="N894" s="13" t="s">
        <v>113</v>
      </c>
      <c r="O894" s="28" t="s">
        <v>80</v>
      </c>
      <c r="P894" s="7">
        <v>8.25</v>
      </c>
      <c r="Q894" s="3">
        <v>8.79</v>
      </c>
      <c r="R894" s="3">
        <v>0.96</v>
      </c>
      <c r="S894" s="13">
        <v>9.15625</v>
      </c>
      <c r="T894" s="8">
        <v>24.2</v>
      </c>
      <c r="U894" s="8">
        <v>69.4</v>
      </c>
      <c r="V894" s="8">
        <v>6.4</v>
      </c>
      <c r="W894" s="6">
        <v>16</v>
      </c>
      <c r="X894" s="5" t="s">
        <v>91</v>
      </c>
      <c r="Y894" s="13" t="s">
        <v>82</v>
      </c>
      <c r="Z894" s="13">
        <v>3</v>
      </c>
      <c r="AA894" s="13">
        <v>3</v>
      </c>
      <c r="AB894" s="9">
        <v>0.216044360708038</v>
      </c>
      <c r="AC894" s="9">
        <v>0.0125578309306703</v>
      </c>
      <c r="AD894" s="25">
        <v>0.287306071435041</v>
      </c>
      <c r="AE894" s="25">
        <v>0.00510939623269434</v>
      </c>
      <c r="AF894" s="9">
        <v>0.0712617107270035</v>
      </c>
      <c r="AG894" s="9">
        <v>0.0176672271633646</v>
      </c>
      <c r="AH894" s="25">
        <v>0.0141831963622136</v>
      </c>
      <c r="AI894" s="25">
        <v>0.000717386729925816</v>
      </c>
      <c r="AJ894" s="4">
        <v>0.201861164345824</v>
      </c>
      <c r="AK894" s="4">
        <v>0.0132752176605962</v>
      </c>
      <c r="AL894" s="3">
        <v>0.273122875072825</v>
      </c>
      <c r="AM894" s="3">
        <v>0.00582678296262014</v>
      </c>
      <c r="AN894" s="4"/>
      <c r="AO894" s="4"/>
      <c r="AP894" s="3"/>
      <c r="AQ894" s="3"/>
      <c r="AR894" s="4"/>
      <c r="AS894" s="4"/>
      <c r="AT894" s="3"/>
      <c r="AU894" s="3"/>
      <c r="AV894" s="4"/>
      <c r="AW894" s="4"/>
      <c r="AX894" s="3"/>
      <c r="AY894" s="3"/>
      <c r="BN894" s="3">
        <v>-0.453426711133148</v>
      </c>
      <c r="BO894" s="3">
        <v>0.00790668886739674</v>
      </c>
    </row>
    <row r="895" s="3" customFormat="1" spans="1:67">
      <c r="A895" s="4">
        <v>894</v>
      </c>
      <c r="B895" s="6">
        <v>140</v>
      </c>
      <c r="C895" s="24" t="s">
        <v>447</v>
      </c>
      <c r="D895" s="13" t="s">
        <v>439</v>
      </c>
      <c r="E895" s="25">
        <v>34.2988888888889</v>
      </c>
      <c r="F895" s="25">
        <v>108.068611111111</v>
      </c>
      <c r="G895" s="26">
        <v>13</v>
      </c>
      <c r="H895" s="27">
        <v>632</v>
      </c>
      <c r="I895" s="3"/>
      <c r="J895" s="13" t="s">
        <v>94</v>
      </c>
      <c r="K895" s="5" t="s">
        <v>78</v>
      </c>
      <c r="L895" s="3">
        <v>2020</v>
      </c>
      <c r="M895" s="3">
        <v>5</v>
      </c>
      <c r="N895" s="13" t="s">
        <v>113</v>
      </c>
      <c r="O895" s="28" t="s">
        <v>80</v>
      </c>
      <c r="P895" s="7">
        <v>8.25</v>
      </c>
      <c r="Q895" s="3">
        <v>8.79</v>
      </c>
      <c r="R895" s="3">
        <v>0.96</v>
      </c>
      <c r="S895" s="13">
        <v>9.15625</v>
      </c>
      <c r="T895" s="8">
        <v>24.2</v>
      </c>
      <c r="U895" s="8">
        <v>69.4</v>
      </c>
      <c r="V895" s="8">
        <v>6.4</v>
      </c>
      <c r="W895" s="6">
        <v>16</v>
      </c>
      <c r="X895" s="5" t="s">
        <v>91</v>
      </c>
      <c r="Y895" s="13" t="s">
        <v>82</v>
      </c>
      <c r="Z895" s="13">
        <v>3</v>
      </c>
      <c r="AA895" s="13">
        <v>3</v>
      </c>
      <c r="AB895" s="9">
        <v>-0.0109978690626452</v>
      </c>
      <c r="AC895" s="9">
        <v>0.00266824106576274</v>
      </c>
      <c r="AD895" s="25">
        <v>0.193556454341178</v>
      </c>
      <c r="AE895" s="25">
        <v>0.0226945424795561</v>
      </c>
      <c r="AF895" s="9">
        <v>0.204554323403826</v>
      </c>
      <c r="AG895" s="9">
        <v>0.0253627835453189</v>
      </c>
      <c r="AH895" s="25">
        <v>0.0109097049334339</v>
      </c>
      <c r="AI895" s="25">
        <v>0.00102576779401753</v>
      </c>
      <c r="AJ895" s="4">
        <v>-0.0219075739960779</v>
      </c>
      <c r="AK895" s="4">
        <v>0.00369400885978024</v>
      </c>
      <c r="AL895" s="3">
        <v>0.182646749407744</v>
      </c>
      <c r="AM895" s="3">
        <v>0.0237203102735737</v>
      </c>
      <c r="AN895" s="4"/>
      <c r="AO895" s="4"/>
      <c r="AP895" s="3"/>
      <c r="AQ895" s="3"/>
      <c r="AR895" s="4"/>
      <c r="AS895" s="4"/>
      <c r="AT895" s="3"/>
      <c r="AU895" s="3"/>
      <c r="AV895" s="4"/>
      <c r="AW895" s="4"/>
      <c r="AX895" s="3"/>
      <c r="AY895" s="3"/>
      <c r="BN895" s="3">
        <v>-0.577361684928148</v>
      </c>
      <c r="BO895" s="3">
        <v>0.00308165678168775</v>
      </c>
    </row>
    <row r="896" s="3" customFormat="1" spans="1:67">
      <c r="A896" s="4">
        <v>895</v>
      </c>
      <c r="B896" s="6">
        <v>140</v>
      </c>
      <c r="C896" s="24" t="s">
        <v>448</v>
      </c>
      <c r="D896" s="13" t="s">
        <v>439</v>
      </c>
      <c r="E896" s="25">
        <v>34.2988888888889</v>
      </c>
      <c r="F896" s="25">
        <v>108.068611111111</v>
      </c>
      <c r="G896" s="26">
        <v>13</v>
      </c>
      <c r="H896" s="27">
        <v>632</v>
      </c>
      <c r="I896" s="3"/>
      <c r="J896" s="13" t="s">
        <v>94</v>
      </c>
      <c r="K896" s="5" t="s">
        <v>78</v>
      </c>
      <c r="L896" s="3">
        <v>2020</v>
      </c>
      <c r="M896" s="3">
        <v>5</v>
      </c>
      <c r="N896" s="13" t="s">
        <v>113</v>
      </c>
      <c r="O896" s="28" t="s">
        <v>80</v>
      </c>
      <c r="P896" s="7">
        <v>8.25</v>
      </c>
      <c r="Q896" s="3">
        <v>8.79</v>
      </c>
      <c r="R896" s="3">
        <v>0.96</v>
      </c>
      <c r="S896" s="13">
        <v>9.15625</v>
      </c>
      <c r="T896" s="8">
        <v>24.2</v>
      </c>
      <c r="U896" s="8">
        <v>69.4</v>
      </c>
      <c r="V896" s="8">
        <v>6.4</v>
      </c>
      <c r="W896" s="6">
        <v>16</v>
      </c>
      <c r="X896" s="5" t="s">
        <v>91</v>
      </c>
      <c r="Y896" s="13" t="s">
        <v>82</v>
      </c>
      <c r="Z896" s="13">
        <v>3</v>
      </c>
      <c r="AA896" s="13">
        <v>3</v>
      </c>
      <c r="AB896" s="9">
        <v>-0.053381723732847</v>
      </c>
      <c r="AC896" s="9">
        <v>0.000865314301381565</v>
      </c>
      <c r="AD896" s="25">
        <v>0.236029957821934</v>
      </c>
      <c r="AE896" s="25">
        <v>0.0181407316891831</v>
      </c>
      <c r="AF896" s="9">
        <v>0.289411681554781</v>
      </c>
      <c r="AG896" s="9">
        <v>0.0190060459905648</v>
      </c>
      <c r="AH896" s="25">
        <v>0.0054697301006522</v>
      </c>
      <c r="AI896" s="25">
        <v>0.00147497828943673</v>
      </c>
      <c r="AJ896" s="4">
        <v>-0.0588514538334995</v>
      </c>
      <c r="AK896" s="4">
        <v>0.0023402925908183</v>
      </c>
      <c r="AL896" s="3">
        <v>0.230560227721281</v>
      </c>
      <c r="AM896" s="3">
        <v>0.0196157099786199</v>
      </c>
      <c r="AN896" s="4"/>
      <c r="AO896" s="4"/>
      <c r="AP896" s="3"/>
      <c r="AQ896" s="3"/>
      <c r="AR896" s="4"/>
      <c r="AS896" s="4"/>
      <c r="AT896" s="3"/>
      <c r="AU896" s="3"/>
      <c r="AV896" s="4"/>
      <c r="AW896" s="4"/>
      <c r="AX896" s="3"/>
      <c r="AY896" s="3"/>
      <c r="BN896" s="3">
        <v>-1.29852101103138</v>
      </c>
      <c r="BO896" s="3">
        <v>0.0482101450681666</v>
      </c>
    </row>
    <row r="897" s="3" customFormat="1" spans="1:49">
      <c r="A897" s="4">
        <v>896</v>
      </c>
      <c r="B897" s="6">
        <v>142</v>
      </c>
      <c r="C897" s="47" t="s">
        <v>179</v>
      </c>
      <c r="D897" s="13" t="s">
        <v>449</v>
      </c>
      <c r="E897" s="3">
        <v>42.5200833333333</v>
      </c>
      <c r="F897" s="3">
        <v>0.1</v>
      </c>
      <c r="G897" s="26">
        <v>8.8</v>
      </c>
      <c r="H897" s="27">
        <v>1120</v>
      </c>
      <c r="I897" s="3">
        <v>1650</v>
      </c>
      <c r="J897" s="13" t="s">
        <v>237</v>
      </c>
      <c r="K897" s="5" t="s">
        <v>78</v>
      </c>
      <c r="L897" s="3"/>
      <c r="M897" s="3"/>
      <c r="N897" s="3"/>
      <c r="O897" s="28" t="s">
        <v>80</v>
      </c>
      <c r="P897" s="20"/>
      <c r="Q897" s="5"/>
      <c r="R897" s="5"/>
      <c r="S897" s="13"/>
      <c r="T897" s="21">
        <v>12</v>
      </c>
      <c r="U897" s="21">
        <v>22</v>
      </c>
      <c r="V897" s="21">
        <v>66</v>
      </c>
      <c r="W897" s="35">
        <v>9</v>
      </c>
      <c r="X897" s="5" t="s">
        <v>91</v>
      </c>
      <c r="Y897" s="13" t="s">
        <v>82</v>
      </c>
      <c r="Z897" s="3">
        <v>4</v>
      </c>
      <c r="AA897" s="3">
        <v>4</v>
      </c>
      <c r="AB897" s="9">
        <v>0.69908191607976</v>
      </c>
      <c r="AC897" s="9">
        <v>0.000192271262992729</v>
      </c>
      <c r="AD897" s="25">
        <v>0.277925897506416</v>
      </c>
      <c r="AE897" s="25">
        <v>0.00400086710213743</v>
      </c>
      <c r="AF897" s="9">
        <v>-0.421156018573342</v>
      </c>
      <c r="AG897" s="9">
        <v>0.00419313836513015</v>
      </c>
      <c r="AH897" s="25"/>
      <c r="AI897" s="25"/>
      <c r="AJ897" s="4"/>
      <c r="AK897" s="4"/>
      <c r="AL897" s="3"/>
      <c r="AM897" s="3"/>
      <c r="AN897" s="4"/>
      <c r="AO897" s="4"/>
      <c r="AP897" s="3"/>
      <c r="AQ897" s="3"/>
      <c r="AR897" s="4"/>
      <c r="AS897" s="4"/>
      <c r="AT897" s="3"/>
      <c r="AU897" s="3"/>
      <c r="AV897" s="4"/>
      <c r="AW897" s="4"/>
    </row>
    <row r="898" s="3" customFormat="1" spans="1:49">
      <c r="A898" s="4">
        <v>897</v>
      </c>
      <c r="B898" s="6">
        <v>142</v>
      </c>
      <c r="C898" s="47" t="s">
        <v>179</v>
      </c>
      <c r="D898" s="13" t="s">
        <v>449</v>
      </c>
      <c r="E898" s="3">
        <v>42.5200833333333</v>
      </c>
      <c r="F898" s="3">
        <v>0.1</v>
      </c>
      <c r="G898" s="26">
        <v>8.8</v>
      </c>
      <c r="H898" s="27">
        <v>1120</v>
      </c>
      <c r="I898" s="3">
        <v>1650</v>
      </c>
      <c r="J898" s="13" t="s">
        <v>237</v>
      </c>
      <c r="K898" s="5" t="s">
        <v>78</v>
      </c>
      <c r="L898" s="3"/>
      <c r="M898" s="3"/>
      <c r="N898" s="3"/>
      <c r="O898" s="28" t="s">
        <v>80</v>
      </c>
      <c r="P898" s="20"/>
      <c r="Q898" s="5"/>
      <c r="R898" s="5"/>
      <c r="S898" s="13"/>
      <c r="T898" s="21">
        <v>12</v>
      </c>
      <c r="U898" s="21">
        <v>22</v>
      </c>
      <c r="V898" s="21">
        <v>66</v>
      </c>
      <c r="W898" s="6">
        <v>5</v>
      </c>
      <c r="X898" s="5" t="s">
        <v>81</v>
      </c>
      <c r="Y898" s="13" t="s">
        <v>82</v>
      </c>
      <c r="Z898" s="3">
        <v>4</v>
      </c>
      <c r="AA898" s="3">
        <v>4</v>
      </c>
      <c r="AB898" s="9">
        <v>0.305381649551182</v>
      </c>
      <c r="AC898" s="9">
        <v>0.00019227126299273</v>
      </c>
      <c r="AD898" s="25">
        <v>-0.491594261838103</v>
      </c>
      <c r="AE898" s="25">
        <v>0.00400086710213744</v>
      </c>
      <c r="AF898" s="9">
        <v>-0.796975911389286</v>
      </c>
      <c r="AG898" s="9">
        <v>0.00419313836513015</v>
      </c>
      <c r="AH898" s="25"/>
      <c r="AI898" s="25"/>
      <c r="AJ898" s="4"/>
      <c r="AK898" s="4"/>
      <c r="AL898" s="3"/>
      <c r="AM898" s="3"/>
      <c r="AN898" s="4"/>
      <c r="AO898" s="4"/>
      <c r="AP898" s="3"/>
      <c r="AQ898" s="3"/>
      <c r="AR898" s="4"/>
      <c r="AS898" s="4"/>
      <c r="AT898" s="3"/>
      <c r="AU898" s="3"/>
      <c r="AV898" s="4"/>
      <c r="AW898" s="4"/>
    </row>
    <row r="899" s="3" customFormat="1" spans="1:49">
      <c r="A899" s="4">
        <v>898</v>
      </c>
      <c r="B899" s="6">
        <v>142</v>
      </c>
      <c r="C899" s="47" t="s">
        <v>179</v>
      </c>
      <c r="D899" s="13" t="s">
        <v>449</v>
      </c>
      <c r="E899" s="3">
        <v>42.5200833333333</v>
      </c>
      <c r="F899" s="3">
        <v>0.1</v>
      </c>
      <c r="G899" s="26">
        <v>8.8</v>
      </c>
      <c r="H899" s="27">
        <v>1120</v>
      </c>
      <c r="I899" s="3">
        <v>1650</v>
      </c>
      <c r="J899" s="13" t="s">
        <v>237</v>
      </c>
      <c r="K899" s="5" t="s">
        <v>78</v>
      </c>
      <c r="L899" s="3"/>
      <c r="M899" s="3"/>
      <c r="N899" s="3"/>
      <c r="O899" s="28" t="s">
        <v>80</v>
      </c>
      <c r="P899" s="20"/>
      <c r="Q899" s="5"/>
      <c r="R899" s="5"/>
      <c r="S899" s="13"/>
      <c r="T899" s="21">
        <v>12</v>
      </c>
      <c r="U899" s="21">
        <v>22</v>
      </c>
      <c r="V899" s="21">
        <v>66</v>
      </c>
      <c r="W899" s="6">
        <v>9</v>
      </c>
      <c r="X899" s="5" t="s">
        <v>91</v>
      </c>
      <c r="Y899" s="13" t="s">
        <v>82</v>
      </c>
      <c r="Z899" s="3">
        <v>4</v>
      </c>
      <c r="AA899" s="3">
        <v>4</v>
      </c>
      <c r="AB899" s="9">
        <v>0.23897003023075</v>
      </c>
      <c r="AC899" s="9">
        <v>0.000192271262992727</v>
      </c>
      <c r="AD899" s="25">
        <v>-0.574285977683216</v>
      </c>
      <c r="AE899" s="25">
        <v>0.00400086710213744</v>
      </c>
      <c r="AF899" s="9">
        <v>-0.813256007913969</v>
      </c>
      <c r="AG899" s="9">
        <v>0.00419313836513015</v>
      </c>
      <c r="AH899" s="25"/>
      <c r="AI899" s="25"/>
      <c r="AJ899" s="4"/>
      <c r="AK899" s="4"/>
      <c r="AL899" s="3"/>
      <c r="AM899" s="3"/>
      <c r="AN899" s="4"/>
      <c r="AO899" s="4"/>
      <c r="AP899" s="3"/>
      <c r="AQ899" s="3"/>
      <c r="AR899" s="4"/>
      <c r="AS899" s="4"/>
      <c r="AT899" s="3"/>
      <c r="AU899" s="3"/>
      <c r="AV899" s="4"/>
      <c r="AW899" s="4"/>
    </row>
    <row r="900" s="4" customFormat="1" spans="1:35">
      <c r="A900" s="4">
        <v>899</v>
      </c>
      <c r="B900" s="18">
        <v>143</v>
      </c>
      <c r="C900" s="19" t="s">
        <v>450</v>
      </c>
      <c r="D900" s="5" t="s">
        <v>451</v>
      </c>
      <c r="E900" s="4">
        <v>47.1805555555556</v>
      </c>
      <c r="F900" s="4">
        <v>128.888888888889</v>
      </c>
      <c r="G900" s="20">
        <v>0.3</v>
      </c>
      <c r="H900" s="21">
        <v>676</v>
      </c>
      <c r="I900" s="4"/>
      <c r="J900" s="5" t="s">
        <v>94</v>
      </c>
      <c r="K900" s="5" t="s">
        <v>78</v>
      </c>
      <c r="L900" s="4">
        <v>2020</v>
      </c>
      <c r="M900" s="4">
        <v>7</v>
      </c>
      <c r="N900" s="5" t="s">
        <v>96</v>
      </c>
      <c r="O900" s="28" t="s">
        <v>80</v>
      </c>
      <c r="P900" s="20"/>
      <c r="Q900" s="5"/>
      <c r="R900" s="5"/>
      <c r="S900" s="13"/>
      <c r="T900" s="21">
        <v>26</v>
      </c>
      <c r="U900" s="21">
        <v>46</v>
      </c>
      <c r="V900" s="21">
        <v>28</v>
      </c>
      <c r="W900" s="18">
        <v>7</v>
      </c>
      <c r="X900" s="5" t="s">
        <v>91</v>
      </c>
      <c r="Y900" s="5" t="s">
        <v>82</v>
      </c>
      <c r="Z900" s="4">
        <v>3</v>
      </c>
      <c r="AA900" s="4">
        <v>3</v>
      </c>
      <c r="AB900" s="9">
        <v>0.53062865547398</v>
      </c>
      <c r="AC900" s="9">
        <v>0.00802421554039766</v>
      </c>
      <c r="AD900" s="9">
        <v>0.589262361951931</v>
      </c>
      <c r="AE900" s="9">
        <v>0.00641340130463777</v>
      </c>
      <c r="AF900" s="9">
        <v>0.0586337064779508</v>
      </c>
      <c r="AG900" s="9">
        <v>0.0144376168450354</v>
      </c>
      <c r="AH900" s="9"/>
      <c r="AI900" s="9"/>
    </row>
    <row r="901" s="4" customFormat="1" spans="1:35">
      <c r="A901" s="4">
        <v>900</v>
      </c>
      <c r="B901" s="18">
        <v>143</v>
      </c>
      <c r="C901" s="19" t="s">
        <v>450</v>
      </c>
      <c r="D901" s="5" t="s">
        <v>451</v>
      </c>
      <c r="E901" s="4">
        <v>47.1805555555556</v>
      </c>
      <c r="F901" s="4">
        <v>128.888888888889</v>
      </c>
      <c r="G901" s="20">
        <v>0.3</v>
      </c>
      <c r="H901" s="21">
        <v>676</v>
      </c>
      <c r="I901" s="4"/>
      <c r="J901" s="5" t="s">
        <v>94</v>
      </c>
      <c r="K901" s="5" t="s">
        <v>78</v>
      </c>
      <c r="L901" s="4">
        <v>2020</v>
      </c>
      <c r="M901" s="4">
        <v>7</v>
      </c>
      <c r="N901" s="5" t="s">
        <v>96</v>
      </c>
      <c r="O901" s="28" t="s">
        <v>80</v>
      </c>
      <c r="P901" s="20"/>
      <c r="Q901" s="5"/>
      <c r="R901" s="5"/>
      <c r="S901" s="13"/>
      <c r="T901" s="21">
        <v>26</v>
      </c>
      <c r="U901" s="21">
        <v>46</v>
      </c>
      <c r="V901" s="21">
        <v>28</v>
      </c>
      <c r="W901" s="18">
        <v>7</v>
      </c>
      <c r="X901" s="5" t="s">
        <v>91</v>
      </c>
      <c r="Y901" s="5" t="s">
        <v>82</v>
      </c>
      <c r="Z901" s="4">
        <v>3</v>
      </c>
      <c r="AA901" s="4">
        <v>3</v>
      </c>
      <c r="AB901" s="9">
        <v>0.638086847446943</v>
      </c>
      <c r="AC901" s="9">
        <v>0.00708791802410447</v>
      </c>
      <c r="AD901" s="9">
        <v>0.399603135291977</v>
      </c>
      <c r="AE901" s="9">
        <v>0.00186094496459303</v>
      </c>
      <c r="AF901" s="9">
        <v>-0.238483712154966</v>
      </c>
      <c r="AG901" s="9">
        <v>0.00894886298869745</v>
      </c>
      <c r="AH901" s="9"/>
      <c r="AI901" s="9"/>
    </row>
    <row r="902" s="4" customFormat="1" spans="1:71">
      <c r="A902" s="4">
        <v>901</v>
      </c>
      <c r="B902" s="18">
        <v>143</v>
      </c>
      <c r="C902" s="19" t="s">
        <v>450</v>
      </c>
      <c r="D902" s="5" t="s">
        <v>451</v>
      </c>
      <c r="E902" s="4">
        <v>47.1805555555556</v>
      </c>
      <c r="F902" s="4">
        <v>128.888888888889</v>
      </c>
      <c r="G902" s="20">
        <v>0.3</v>
      </c>
      <c r="H902" s="21">
        <v>676</v>
      </c>
      <c r="I902" s="4"/>
      <c r="J902" s="5" t="s">
        <v>94</v>
      </c>
      <c r="K902" s="5" t="s">
        <v>78</v>
      </c>
      <c r="L902" s="4">
        <v>2020</v>
      </c>
      <c r="M902" s="4">
        <v>7</v>
      </c>
      <c r="N902" s="5" t="s">
        <v>96</v>
      </c>
      <c r="O902" s="28" t="s">
        <v>80</v>
      </c>
      <c r="P902" s="20"/>
      <c r="Q902" s="5"/>
      <c r="R902" s="5"/>
      <c r="S902" s="13"/>
      <c r="T902" s="21">
        <v>26</v>
      </c>
      <c r="U902" s="21">
        <v>46</v>
      </c>
      <c r="V902" s="21">
        <v>28</v>
      </c>
      <c r="W902" s="18">
        <v>7</v>
      </c>
      <c r="X902" s="5" t="s">
        <v>91</v>
      </c>
      <c r="Y902" s="5" t="s">
        <v>82</v>
      </c>
      <c r="Z902" s="4">
        <v>3</v>
      </c>
      <c r="AA902" s="4">
        <v>3</v>
      </c>
      <c r="AB902" s="9">
        <v>0.712050478207648</v>
      </c>
      <c r="AC902" s="9">
        <v>0.0109485903210042</v>
      </c>
      <c r="AD902" s="9">
        <v>0.419280727391059</v>
      </c>
      <c r="AE902" s="9">
        <v>0.00553951289956995</v>
      </c>
      <c r="AF902" s="9">
        <v>-0.292769750816588</v>
      </c>
      <c r="AG902" s="9">
        <v>0.0164881032205742</v>
      </c>
      <c r="AH902" s="9">
        <v>-0.0390103096559815</v>
      </c>
      <c r="AI902" s="9">
        <v>0.0106731055965689</v>
      </c>
      <c r="AJ902" s="4">
        <v>0.75106078786363</v>
      </c>
      <c r="AK902" s="4">
        <v>0.0216216959175732</v>
      </c>
      <c r="AL902" s="4">
        <v>0.458291037047042</v>
      </c>
      <c r="AM902" s="4">
        <v>0.0162126184961389</v>
      </c>
      <c r="AN902" s="4">
        <v>-0.0319176029683052</v>
      </c>
      <c r="AO902" s="4">
        <v>0.000259231091304359</v>
      </c>
      <c r="AP902" s="4">
        <v>-0.019682694458425</v>
      </c>
      <c r="AQ902" s="4">
        <v>8.01726287096106e-5</v>
      </c>
      <c r="AR902" s="4">
        <v>0.0183491386681966</v>
      </c>
      <c r="AS902" s="4">
        <v>0.00378362752100126</v>
      </c>
      <c r="AT902" s="4"/>
      <c r="AU902" s="4"/>
      <c r="AV902" s="4"/>
      <c r="AW902" s="4"/>
      <c r="AX902" s="4"/>
      <c r="AY902" s="4"/>
      <c r="AZ902" s="4">
        <v>0.0157421035596532</v>
      </c>
      <c r="BA902" s="4">
        <v>0.00112696711841111</v>
      </c>
      <c r="BF902" s="4">
        <v>0.0390021578032692</v>
      </c>
      <c r="BG902" s="4">
        <v>0.00760513145489581</v>
      </c>
      <c r="BH902" s="4">
        <v>0.0638786728787237</v>
      </c>
      <c r="BI902" s="4">
        <v>0.000652841184928964</v>
      </c>
      <c r="BL902" s="4">
        <v>-0.654189937306752</v>
      </c>
      <c r="BM902" s="4">
        <v>0.0104332034007835</v>
      </c>
      <c r="BN902" s="4">
        <v>-0.475423696715075</v>
      </c>
      <c r="BO902" s="4">
        <v>0.000470329830162252</v>
      </c>
      <c r="BP902" s="4">
        <v>-0.0892589393316518</v>
      </c>
      <c r="BQ902" s="4">
        <v>0.00157266635999261</v>
      </c>
      <c r="BR902" s="4">
        <v>0.0323598667725116</v>
      </c>
      <c r="BS902" s="4">
        <v>0.00295159058486831</v>
      </c>
    </row>
    <row r="903" s="4" customFormat="1" spans="1:35">
      <c r="A903" s="4">
        <v>902</v>
      </c>
      <c r="B903" s="18">
        <v>143</v>
      </c>
      <c r="C903" s="19" t="s">
        <v>450</v>
      </c>
      <c r="D903" s="5" t="s">
        <v>451</v>
      </c>
      <c r="E903" s="4">
        <v>47.1805555555556</v>
      </c>
      <c r="F903" s="4">
        <v>128.888888888889</v>
      </c>
      <c r="G903" s="20">
        <v>0.3</v>
      </c>
      <c r="H903" s="21">
        <v>676</v>
      </c>
      <c r="I903" s="4"/>
      <c r="J903" s="5" t="s">
        <v>94</v>
      </c>
      <c r="K903" s="5" t="s">
        <v>78</v>
      </c>
      <c r="L903" s="4">
        <v>2020</v>
      </c>
      <c r="M903" s="4">
        <v>7</v>
      </c>
      <c r="N903" s="5" t="s">
        <v>96</v>
      </c>
      <c r="O903" s="28" t="s">
        <v>80</v>
      </c>
      <c r="P903" s="20"/>
      <c r="Q903" s="5"/>
      <c r="R903" s="5"/>
      <c r="S903" s="13"/>
      <c r="T903" s="21">
        <v>26</v>
      </c>
      <c r="U903" s="21">
        <v>46</v>
      </c>
      <c r="V903" s="21">
        <v>28</v>
      </c>
      <c r="W903" s="18">
        <v>7</v>
      </c>
      <c r="X903" s="5" t="s">
        <v>91</v>
      </c>
      <c r="Y903" s="5" t="s">
        <v>82</v>
      </c>
      <c r="Z903" s="4">
        <v>3</v>
      </c>
      <c r="AA903" s="4">
        <v>3</v>
      </c>
      <c r="AB903" s="9">
        <v>0.651866536490147</v>
      </c>
      <c r="AC903" s="9">
        <v>0.00256759934019156</v>
      </c>
      <c r="AD903" s="9">
        <v>0.336017413166561</v>
      </c>
      <c r="AE903" s="9">
        <v>0.00448000822529442</v>
      </c>
      <c r="AF903" s="9">
        <v>-0.315849123323588</v>
      </c>
      <c r="AG903" s="9">
        <v>0.00704760756548598</v>
      </c>
      <c r="AH903" s="9"/>
      <c r="AI903" s="9"/>
    </row>
    <row r="904" s="4" customFormat="1" spans="1:35">
      <c r="A904" s="4">
        <v>903</v>
      </c>
      <c r="B904" s="18">
        <v>143</v>
      </c>
      <c r="C904" s="19" t="s">
        <v>450</v>
      </c>
      <c r="D904" s="5" t="s">
        <v>451</v>
      </c>
      <c r="E904" s="4">
        <v>47.1805555555556</v>
      </c>
      <c r="F904" s="4">
        <v>128.888888888889</v>
      </c>
      <c r="G904" s="20">
        <v>0.3</v>
      </c>
      <c r="H904" s="21">
        <v>676</v>
      </c>
      <c r="I904" s="4"/>
      <c r="J904" s="5" t="s">
        <v>94</v>
      </c>
      <c r="K904" s="5" t="s">
        <v>78</v>
      </c>
      <c r="L904" s="4">
        <v>2020</v>
      </c>
      <c r="M904" s="4">
        <v>7</v>
      </c>
      <c r="N904" s="5" t="s">
        <v>96</v>
      </c>
      <c r="O904" s="28" t="s">
        <v>80</v>
      </c>
      <c r="P904" s="20"/>
      <c r="Q904" s="5"/>
      <c r="R904" s="5"/>
      <c r="S904" s="13"/>
      <c r="T904" s="21">
        <v>26</v>
      </c>
      <c r="U904" s="21">
        <v>46</v>
      </c>
      <c r="V904" s="21">
        <v>28</v>
      </c>
      <c r="W904" s="18">
        <v>7</v>
      </c>
      <c r="X904" s="5" t="s">
        <v>91</v>
      </c>
      <c r="Y904" s="5" t="s">
        <v>82</v>
      </c>
      <c r="Z904" s="4">
        <v>3</v>
      </c>
      <c r="AA904" s="4">
        <v>3</v>
      </c>
      <c r="AB904" s="9">
        <v>0.621923339470694</v>
      </c>
      <c r="AC904" s="9">
        <v>0.00551220073097828</v>
      </c>
      <c r="AD904" s="9">
        <v>0.761258766114826</v>
      </c>
      <c r="AE904" s="9">
        <v>0.00649443551741926</v>
      </c>
      <c r="AF904" s="9">
        <v>0.139335426644133</v>
      </c>
      <c r="AG904" s="9">
        <v>0.0120066362483975</v>
      </c>
      <c r="AH904" s="9"/>
      <c r="AI904" s="9"/>
    </row>
    <row r="905" s="4" customFormat="1" spans="1:35">
      <c r="A905" s="4">
        <v>904</v>
      </c>
      <c r="B905" s="18">
        <v>143</v>
      </c>
      <c r="C905" s="19" t="s">
        <v>450</v>
      </c>
      <c r="D905" s="5" t="s">
        <v>451</v>
      </c>
      <c r="E905" s="4">
        <v>47.1805555555556</v>
      </c>
      <c r="F905" s="4">
        <v>128.888888888889</v>
      </c>
      <c r="G905" s="20">
        <v>0.3</v>
      </c>
      <c r="H905" s="21">
        <v>676</v>
      </c>
      <c r="I905" s="4"/>
      <c r="J905" s="5" t="s">
        <v>94</v>
      </c>
      <c r="K905" s="5" t="s">
        <v>78</v>
      </c>
      <c r="L905" s="4">
        <v>2020</v>
      </c>
      <c r="M905" s="4">
        <v>7</v>
      </c>
      <c r="N905" s="5" t="s">
        <v>96</v>
      </c>
      <c r="O905" s="28" t="s">
        <v>80</v>
      </c>
      <c r="P905" s="20"/>
      <c r="Q905" s="5"/>
      <c r="R905" s="5"/>
      <c r="S905" s="13"/>
      <c r="T905" s="21">
        <v>26</v>
      </c>
      <c r="U905" s="21">
        <v>46</v>
      </c>
      <c r="V905" s="21">
        <v>28</v>
      </c>
      <c r="W905" s="18">
        <v>7</v>
      </c>
      <c r="X905" s="5" t="s">
        <v>91</v>
      </c>
      <c r="Y905" s="5" t="s">
        <v>82</v>
      </c>
      <c r="Z905" s="4">
        <v>3</v>
      </c>
      <c r="AA905" s="4">
        <v>3</v>
      </c>
      <c r="AB905" s="9">
        <v>0.721315274785171</v>
      </c>
      <c r="AC905" s="9">
        <v>0.00647989544984798</v>
      </c>
      <c r="AD905" s="9">
        <v>0.572071404486186</v>
      </c>
      <c r="AE905" s="9">
        <v>0.000920466353768721</v>
      </c>
      <c r="AF905" s="9">
        <v>-0.149243870298987</v>
      </c>
      <c r="AG905" s="9">
        <v>0.00740036180361668</v>
      </c>
      <c r="AH905" s="9"/>
      <c r="AI905" s="9"/>
    </row>
    <row r="906" s="4" customFormat="1" spans="1:71">
      <c r="A906" s="4">
        <v>905</v>
      </c>
      <c r="B906" s="18">
        <v>143</v>
      </c>
      <c r="C906" s="19" t="s">
        <v>450</v>
      </c>
      <c r="D906" s="5" t="s">
        <v>451</v>
      </c>
      <c r="E906" s="4">
        <v>47.1805555555556</v>
      </c>
      <c r="F906" s="4">
        <v>128.888888888889</v>
      </c>
      <c r="G906" s="20">
        <v>0.3</v>
      </c>
      <c r="H906" s="21">
        <v>676</v>
      </c>
      <c r="I906" s="4"/>
      <c r="J906" s="5" t="s">
        <v>94</v>
      </c>
      <c r="K906" s="5" t="s">
        <v>78</v>
      </c>
      <c r="L906" s="4">
        <v>2020</v>
      </c>
      <c r="M906" s="4">
        <v>7</v>
      </c>
      <c r="N906" s="5" t="s">
        <v>96</v>
      </c>
      <c r="O906" s="28" t="s">
        <v>80</v>
      </c>
      <c r="P906" s="20"/>
      <c r="Q906" s="5"/>
      <c r="R906" s="5"/>
      <c r="S906" s="13"/>
      <c r="T906" s="21">
        <v>26</v>
      </c>
      <c r="U906" s="21">
        <v>46</v>
      </c>
      <c r="V906" s="21">
        <v>28</v>
      </c>
      <c r="W906" s="18">
        <v>7</v>
      </c>
      <c r="X906" s="5" t="s">
        <v>91</v>
      </c>
      <c r="Y906" s="5" t="s">
        <v>82</v>
      </c>
      <c r="Z906" s="4">
        <v>3</v>
      </c>
      <c r="AA906" s="4">
        <v>3</v>
      </c>
      <c r="AB906" s="9">
        <v>0.634190452497468</v>
      </c>
      <c r="AC906" s="9">
        <v>0.0116738403626692</v>
      </c>
      <c r="AD906" s="9">
        <v>0.47893636542829</v>
      </c>
      <c r="AE906" s="9">
        <v>0.00234555216897417</v>
      </c>
      <c r="AF906" s="9">
        <v>-0.155254087069179</v>
      </c>
      <c r="AG906" s="9">
        <v>0.0140193925316434</v>
      </c>
      <c r="AH906" s="9">
        <v>0.0236305891610492</v>
      </c>
      <c r="AI906" s="9">
        <v>0.0062807601148208</v>
      </c>
      <c r="AJ906" s="4">
        <v>0.610559863336419</v>
      </c>
      <c r="AK906" s="4">
        <v>0.0179546004774901</v>
      </c>
      <c r="AL906" s="4">
        <v>0.455305776267241</v>
      </c>
      <c r="AM906" s="4">
        <v>0.00862631228379498</v>
      </c>
      <c r="AN906" s="4">
        <v>-0.0464369142927585</v>
      </c>
      <c r="AO906" s="4">
        <v>0.00028298071707582</v>
      </c>
      <c r="AP906" s="4">
        <v>0.0163572420247719</v>
      </c>
      <c r="AQ906" s="4">
        <v>0.000183237248763784</v>
      </c>
      <c r="AR906" s="4">
        <v>0.154150679827258</v>
      </c>
      <c r="AS906" s="4">
        <v>0.00111279079533048</v>
      </c>
      <c r="AT906" s="4"/>
      <c r="AU906" s="4"/>
      <c r="AV906" s="4"/>
      <c r="AW906" s="4"/>
      <c r="AX906" s="4"/>
      <c r="AY906" s="4"/>
      <c r="AZ906" s="4">
        <v>0.0129550443918191</v>
      </c>
      <c r="BA906" s="4">
        <v>0.00166550271270769</v>
      </c>
      <c r="BF906" s="4">
        <v>0.464305608131098</v>
      </c>
      <c r="BG906" s="4">
        <v>0.00511346945803114</v>
      </c>
      <c r="BH906" s="4">
        <v>0.0489158002020113</v>
      </c>
      <c r="BI906" s="4">
        <v>0.00062524691928731</v>
      </c>
      <c r="BL906" s="4">
        <v>-0.871094755530787</v>
      </c>
      <c r="BM906" s="4">
        <v>0.0301459574252252</v>
      </c>
      <c r="BN906" s="4">
        <v>-0.322516025127413</v>
      </c>
      <c r="BO906" s="4">
        <v>0.000911787019570008</v>
      </c>
      <c r="BP906" s="4">
        <v>-0.172557070154964</v>
      </c>
      <c r="BQ906" s="4">
        <v>0.00166916200956112</v>
      </c>
      <c r="BR906" s="4">
        <v>0.129091440030865</v>
      </c>
      <c r="BS906" s="4">
        <v>0.00257898466342629</v>
      </c>
    </row>
    <row r="907" s="4" customFormat="1" spans="1:35">
      <c r="A907" s="4">
        <v>906</v>
      </c>
      <c r="B907" s="18">
        <v>143</v>
      </c>
      <c r="C907" s="19" t="s">
        <v>450</v>
      </c>
      <c r="D907" s="5" t="s">
        <v>451</v>
      </c>
      <c r="E907" s="4">
        <v>47.1805555555556</v>
      </c>
      <c r="F907" s="4">
        <v>128.888888888889</v>
      </c>
      <c r="G907" s="20">
        <v>0.3</v>
      </c>
      <c r="H907" s="21">
        <v>676</v>
      </c>
      <c r="I907" s="4"/>
      <c r="J907" s="5" t="s">
        <v>94</v>
      </c>
      <c r="K907" s="5" t="s">
        <v>78</v>
      </c>
      <c r="L907" s="4">
        <v>2020</v>
      </c>
      <c r="M907" s="4">
        <v>7</v>
      </c>
      <c r="N907" s="5" t="s">
        <v>96</v>
      </c>
      <c r="O907" s="28" t="s">
        <v>80</v>
      </c>
      <c r="P907" s="20"/>
      <c r="Q907" s="5"/>
      <c r="R907" s="5"/>
      <c r="S907" s="13"/>
      <c r="T907" s="21">
        <v>26</v>
      </c>
      <c r="U907" s="21">
        <v>46</v>
      </c>
      <c r="V907" s="21">
        <v>28</v>
      </c>
      <c r="W907" s="18">
        <v>7</v>
      </c>
      <c r="X907" s="5" t="s">
        <v>91</v>
      </c>
      <c r="Y907" s="5" t="s">
        <v>82</v>
      </c>
      <c r="Z907" s="4">
        <v>3</v>
      </c>
      <c r="AA907" s="4">
        <v>3</v>
      </c>
      <c r="AB907" s="9">
        <v>0.636421631895796</v>
      </c>
      <c r="AC907" s="9">
        <v>0.00244539130112326</v>
      </c>
      <c r="AD907" s="9">
        <v>0.443301346189216</v>
      </c>
      <c r="AE907" s="9">
        <v>0.00334543235294512</v>
      </c>
      <c r="AF907" s="9">
        <v>-0.193120285706582</v>
      </c>
      <c r="AG907" s="9">
        <v>0.00579082365406836</v>
      </c>
      <c r="AH907" s="9"/>
      <c r="AI907" s="9"/>
    </row>
    <row r="908" s="4" customFormat="1" spans="1:51">
      <c r="A908" s="4">
        <v>907</v>
      </c>
      <c r="B908" s="18">
        <v>143</v>
      </c>
      <c r="C908" s="19" t="s">
        <v>450</v>
      </c>
      <c r="D908" s="5" t="s">
        <v>451</v>
      </c>
      <c r="E908" s="4">
        <v>47.1805555555556</v>
      </c>
      <c r="F908" s="4">
        <v>128.888888888889</v>
      </c>
      <c r="G908" s="20">
        <v>0.3</v>
      </c>
      <c r="H908" s="21">
        <v>676</v>
      </c>
      <c r="I908" s="4"/>
      <c r="J908" s="5" t="s">
        <v>94</v>
      </c>
      <c r="K908" s="5" t="s">
        <v>78</v>
      </c>
      <c r="L908" s="4">
        <v>2020</v>
      </c>
      <c r="M908" s="4">
        <v>7</v>
      </c>
      <c r="N908" s="5" t="s">
        <v>96</v>
      </c>
      <c r="O908" s="28" t="s">
        <v>80</v>
      </c>
      <c r="P908" s="20"/>
      <c r="Q908" s="5"/>
      <c r="R908" s="5"/>
      <c r="S908" s="13"/>
      <c r="T908" s="21">
        <v>26</v>
      </c>
      <c r="U908" s="21">
        <v>46</v>
      </c>
      <c r="V908" s="21">
        <v>28</v>
      </c>
      <c r="W908" s="18">
        <v>7</v>
      </c>
      <c r="X908" s="5" t="s">
        <v>91</v>
      </c>
      <c r="Y908" s="5" t="s">
        <v>82</v>
      </c>
      <c r="Z908" s="4">
        <v>3</v>
      </c>
      <c r="AA908" s="4">
        <v>3</v>
      </c>
      <c r="AB908" s="9">
        <v>0.413764223422908</v>
      </c>
      <c r="AC908" s="9">
        <v>0.00848678260228003</v>
      </c>
      <c r="AD908" s="9">
        <v>0.451386390357961</v>
      </c>
      <c r="AE908" s="9">
        <v>0.00929259779925729</v>
      </c>
      <c r="AF908" s="9">
        <v>0.0376221669350536</v>
      </c>
      <c r="AG908" s="9">
        <v>0.0177793804015373</v>
      </c>
      <c r="AH908" s="9"/>
      <c r="AI908" s="9"/>
      <c r="AJ908" s="4"/>
      <c r="AK908" s="4"/>
      <c r="AL908" s="4"/>
      <c r="AM908" s="4"/>
      <c r="AN908" s="4"/>
      <c r="AO908" s="4"/>
      <c r="AP908" s="4"/>
      <c r="AQ908" s="4"/>
      <c r="AR908" s="4"/>
      <c r="AS908" s="4"/>
      <c r="AT908" s="4"/>
      <c r="AU908" s="4"/>
      <c r="AV908" s="4"/>
      <c r="AW908" s="4"/>
      <c r="AX908" s="4">
        <v>-0.0193276151975569</v>
      </c>
      <c r="AY908" s="4">
        <v>0.0107532782252785</v>
      </c>
    </row>
    <row r="909" s="4" customFormat="1" spans="1:35">
      <c r="A909" s="4">
        <v>908</v>
      </c>
      <c r="B909" s="18">
        <v>143</v>
      </c>
      <c r="C909" s="19" t="s">
        <v>450</v>
      </c>
      <c r="D909" s="5" t="s">
        <v>451</v>
      </c>
      <c r="E909" s="4">
        <v>47.1805555555556</v>
      </c>
      <c r="F909" s="4">
        <v>128.888888888889</v>
      </c>
      <c r="G909" s="20">
        <v>0.3</v>
      </c>
      <c r="H909" s="21">
        <v>676</v>
      </c>
      <c r="I909" s="4"/>
      <c r="J909" s="5" t="s">
        <v>94</v>
      </c>
      <c r="K909" s="5" t="s">
        <v>78</v>
      </c>
      <c r="L909" s="4">
        <v>2020</v>
      </c>
      <c r="M909" s="4">
        <v>7</v>
      </c>
      <c r="N909" s="5" t="s">
        <v>96</v>
      </c>
      <c r="O909" s="28" t="s">
        <v>80</v>
      </c>
      <c r="P909" s="20"/>
      <c r="Q909" s="5"/>
      <c r="R909" s="5"/>
      <c r="S909" s="13"/>
      <c r="T909" s="21">
        <v>26</v>
      </c>
      <c r="U909" s="21">
        <v>46</v>
      </c>
      <c r="V909" s="21">
        <v>28</v>
      </c>
      <c r="W909" s="18">
        <v>7</v>
      </c>
      <c r="X909" s="5" t="s">
        <v>91</v>
      </c>
      <c r="Y909" s="5" t="s">
        <v>82</v>
      </c>
      <c r="Z909" s="4">
        <v>3</v>
      </c>
      <c r="AA909" s="4">
        <v>3</v>
      </c>
      <c r="AB909" s="9">
        <v>0.371563624166459</v>
      </c>
      <c r="AC909" s="9">
        <v>0.00863272837807893</v>
      </c>
      <c r="AD909" s="9">
        <v>0.114409510622712</v>
      </c>
      <c r="AE909" s="9">
        <v>0.00619735104463216</v>
      </c>
      <c r="AF909" s="9">
        <v>-0.257154113543749</v>
      </c>
      <c r="AG909" s="9">
        <v>0.0148300794227111</v>
      </c>
      <c r="AH909" s="9"/>
      <c r="AI909" s="9"/>
    </row>
    <row r="910" s="4" customFormat="1" spans="1:71">
      <c r="A910" s="4">
        <v>909</v>
      </c>
      <c r="B910" s="18">
        <v>143</v>
      </c>
      <c r="C910" s="19" t="s">
        <v>450</v>
      </c>
      <c r="D910" s="5" t="s">
        <v>451</v>
      </c>
      <c r="E910" s="4">
        <v>47.1805555555556</v>
      </c>
      <c r="F910" s="4">
        <v>128.888888888889</v>
      </c>
      <c r="G910" s="20">
        <v>0.3</v>
      </c>
      <c r="H910" s="21">
        <v>676</v>
      </c>
      <c r="I910" s="4"/>
      <c r="J910" s="5" t="s">
        <v>94</v>
      </c>
      <c r="K910" s="5" t="s">
        <v>78</v>
      </c>
      <c r="L910" s="4">
        <v>2020</v>
      </c>
      <c r="M910" s="4">
        <v>7</v>
      </c>
      <c r="N910" s="5" t="s">
        <v>96</v>
      </c>
      <c r="O910" s="28" t="s">
        <v>80</v>
      </c>
      <c r="P910" s="20"/>
      <c r="Q910" s="5"/>
      <c r="R910" s="5"/>
      <c r="S910" s="13"/>
      <c r="T910" s="21">
        <v>26</v>
      </c>
      <c r="U910" s="21">
        <v>46</v>
      </c>
      <c r="V910" s="21">
        <v>28</v>
      </c>
      <c r="W910" s="18">
        <v>7</v>
      </c>
      <c r="X910" s="5" t="s">
        <v>91</v>
      </c>
      <c r="Y910" s="5" t="s">
        <v>82</v>
      </c>
      <c r="Z910" s="4">
        <v>3</v>
      </c>
      <c r="AA910" s="4">
        <v>3</v>
      </c>
      <c r="AB910" s="9">
        <v>0.230747387340942</v>
      </c>
      <c r="AC910" s="9">
        <v>0.016751965241505</v>
      </c>
      <c r="AD910" s="9">
        <v>0.0520433873707886</v>
      </c>
      <c r="AE910" s="9">
        <v>0.00322525508455004</v>
      </c>
      <c r="AF910" s="9">
        <v>-0.178703999970154</v>
      </c>
      <c r="AG910" s="9">
        <v>0.0199772203260551</v>
      </c>
      <c r="AH910" s="9">
        <v>-0.0149364376450068</v>
      </c>
      <c r="AI910" s="9">
        <v>0.00835159993553112</v>
      </c>
      <c r="AJ910" s="4">
        <v>0.245683824985949</v>
      </c>
      <c r="AK910" s="4">
        <v>0.0251035651770362</v>
      </c>
      <c r="AL910" s="4">
        <v>0.0669798250157956</v>
      </c>
      <c r="AM910" s="4">
        <v>0.0115768550200812</v>
      </c>
      <c r="AN910" s="4">
        <v>-0.0893940323936975</v>
      </c>
      <c r="AO910" s="4">
        <v>0.000609827330161535</v>
      </c>
      <c r="AP910" s="4">
        <v>0.0178310816430724</v>
      </c>
      <c r="AQ910" s="4">
        <v>8.67173494362436e-5</v>
      </c>
      <c r="AR910" s="4">
        <v>0.0183491386681966</v>
      </c>
      <c r="AS910" s="4">
        <v>0.00279189198381118</v>
      </c>
      <c r="AT910" s="4"/>
      <c r="AU910" s="4"/>
      <c r="AV910" s="4"/>
      <c r="AW910" s="4"/>
      <c r="AX910" s="4"/>
      <c r="AY910" s="4"/>
      <c r="AZ910" s="4">
        <v>0.0943144234287037</v>
      </c>
      <c r="BA910" s="4">
        <v>0.0015154191675674</v>
      </c>
      <c r="BF910" s="4">
        <v>0.559615787935423</v>
      </c>
      <c r="BG910" s="4">
        <v>0.00548389839177177</v>
      </c>
      <c r="BH910" s="4">
        <v>-0.108590587472219</v>
      </c>
      <c r="BI910" s="4">
        <v>0.00135546837834137</v>
      </c>
      <c r="BL910" s="4">
        <v>-1.54212072113207</v>
      </c>
      <c r="BM910" s="4">
        <v>0.0165467708722052</v>
      </c>
      <c r="BN910" s="4">
        <v>-0.595383011794054</v>
      </c>
      <c r="BO910" s="4">
        <v>0.0010444607143382</v>
      </c>
      <c r="BP910" s="4">
        <v>-0.247839593830341</v>
      </c>
      <c r="BQ910" s="4">
        <v>0.00861578080621931</v>
      </c>
      <c r="BR910" s="4">
        <v>0.0451788067985207</v>
      </c>
      <c r="BS910" s="4">
        <v>0.00446529086900926</v>
      </c>
    </row>
    <row r="911" s="4" customFormat="1" spans="1:35">
      <c r="A911" s="4">
        <v>910</v>
      </c>
      <c r="B911" s="18">
        <v>143</v>
      </c>
      <c r="C911" s="19" t="s">
        <v>450</v>
      </c>
      <c r="D911" s="5" t="s">
        <v>451</v>
      </c>
      <c r="E911" s="4">
        <v>47.1805555555556</v>
      </c>
      <c r="F911" s="4">
        <v>128.888888888889</v>
      </c>
      <c r="G911" s="20">
        <v>0.3</v>
      </c>
      <c r="H911" s="21">
        <v>676</v>
      </c>
      <c r="I911" s="4"/>
      <c r="J911" s="5" t="s">
        <v>94</v>
      </c>
      <c r="K911" s="5" t="s">
        <v>78</v>
      </c>
      <c r="L911" s="4">
        <v>2020</v>
      </c>
      <c r="M911" s="4">
        <v>7</v>
      </c>
      <c r="N911" s="5" t="s">
        <v>96</v>
      </c>
      <c r="O911" s="28" t="s">
        <v>80</v>
      </c>
      <c r="P911" s="20"/>
      <c r="Q911" s="5"/>
      <c r="R911" s="5"/>
      <c r="S911" s="13"/>
      <c r="T911" s="21">
        <v>26</v>
      </c>
      <c r="U911" s="21">
        <v>46</v>
      </c>
      <c r="V911" s="21">
        <v>28</v>
      </c>
      <c r="W911" s="18">
        <v>7</v>
      </c>
      <c r="X911" s="5" t="s">
        <v>91</v>
      </c>
      <c r="Y911" s="5" t="s">
        <v>82</v>
      </c>
      <c r="Z911" s="4">
        <v>3</v>
      </c>
      <c r="AA911" s="4">
        <v>3</v>
      </c>
      <c r="AB911" s="9">
        <v>0.375613064076553</v>
      </c>
      <c r="AC911" s="9">
        <v>0.0115690603548015</v>
      </c>
      <c r="AD911" s="9">
        <v>0.152566293255503</v>
      </c>
      <c r="AE911" s="9">
        <v>0.0066171576952685</v>
      </c>
      <c r="AF911" s="9">
        <v>-0.223046770821049</v>
      </c>
      <c r="AG911" s="9">
        <v>0.0181862180500699</v>
      </c>
      <c r="AH911" s="9"/>
      <c r="AI911" s="9"/>
    </row>
    <row r="912" s="3" customFormat="1" spans="1:51">
      <c r="A912" s="4">
        <v>911</v>
      </c>
      <c r="B912" s="6">
        <v>144</v>
      </c>
      <c r="C912" s="13" t="s">
        <v>179</v>
      </c>
      <c r="D912" s="13" t="s">
        <v>452</v>
      </c>
      <c r="E912" s="3">
        <v>41.8</v>
      </c>
      <c r="F912" s="3">
        <v>123.55</v>
      </c>
      <c r="G912" s="26">
        <v>7.55</v>
      </c>
      <c r="H912" s="27">
        <v>629</v>
      </c>
      <c r="I912" s="3"/>
      <c r="J912" s="13" t="s">
        <v>90</v>
      </c>
      <c r="K912" s="5" t="s">
        <v>78</v>
      </c>
      <c r="L912" s="3">
        <v>2008</v>
      </c>
      <c r="M912" s="3">
        <v>10</v>
      </c>
      <c r="N912" s="13" t="s">
        <v>108</v>
      </c>
      <c r="O912" s="28" t="s">
        <v>80</v>
      </c>
      <c r="P912" s="20"/>
      <c r="Q912" s="3">
        <v>15.9</v>
      </c>
      <c r="R912" s="3">
        <v>0.8</v>
      </c>
      <c r="S912" s="13">
        <v>19.875</v>
      </c>
      <c r="T912" s="21">
        <v>26</v>
      </c>
      <c r="U912" s="21">
        <v>46</v>
      </c>
      <c r="V912" s="21">
        <v>28</v>
      </c>
      <c r="W912" s="3">
        <v>29</v>
      </c>
      <c r="X912" s="5" t="s">
        <v>91</v>
      </c>
      <c r="Y912" s="13" t="s">
        <v>82</v>
      </c>
      <c r="Z912" s="3">
        <v>3</v>
      </c>
      <c r="AA912" s="3">
        <v>3</v>
      </c>
      <c r="AB912" s="9">
        <v>0.242232541834582</v>
      </c>
      <c r="AC912" s="9">
        <v>0.00520653205660836</v>
      </c>
      <c r="AD912" s="25">
        <v>0.34761327935759</v>
      </c>
      <c r="AE912" s="25">
        <v>0.00769142830126125</v>
      </c>
      <c r="AF912" s="9">
        <v>0.105380737523009</v>
      </c>
      <c r="AG912" s="9">
        <v>0.0128979603578696</v>
      </c>
      <c r="AH912" s="25">
        <v>0.229686649903144</v>
      </c>
      <c r="AI912" s="25">
        <v>0.00694155213105647</v>
      </c>
      <c r="AJ912" s="4">
        <v>0.0125458919314383</v>
      </c>
      <c r="AK912" s="4">
        <v>0.0121480841876648</v>
      </c>
      <c r="AL912" s="3">
        <v>0.117926629454446</v>
      </c>
      <c r="AM912" s="3">
        <v>0.0146329804323177</v>
      </c>
      <c r="AN912" s="4"/>
      <c r="AO912" s="4"/>
      <c r="AP912" s="3">
        <v>0.161268147596122</v>
      </c>
      <c r="AQ912" s="3">
        <v>0.00666666666666667</v>
      </c>
      <c r="AR912" s="4"/>
      <c r="AS912" s="4"/>
      <c r="AT912" s="3"/>
      <c r="AU912" s="3"/>
      <c r="AV912" s="4"/>
      <c r="AW912" s="4"/>
      <c r="AX912" s="3">
        <v>0.0072733471362775</v>
      </c>
      <c r="AY912" s="3">
        <v>0.00646399736358456</v>
      </c>
    </row>
    <row r="913" s="3" customFormat="1" spans="1:49">
      <c r="A913" s="4">
        <v>912</v>
      </c>
      <c r="B913" s="6">
        <v>144</v>
      </c>
      <c r="C913" s="13" t="s">
        <v>179</v>
      </c>
      <c r="D913" s="13" t="s">
        <v>452</v>
      </c>
      <c r="E913" s="3">
        <v>41.8</v>
      </c>
      <c r="F913" s="3">
        <v>123.55</v>
      </c>
      <c r="G913" s="26">
        <v>7.55</v>
      </c>
      <c r="H913" s="27">
        <v>629</v>
      </c>
      <c r="I913" s="3"/>
      <c r="J913" s="13" t="s">
        <v>90</v>
      </c>
      <c r="K913" s="5" t="s">
        <v>78</v>
      </c>
      <c r="L913" s="3">
        <v>2008</v>
      </c>
      <c r="M913" s="3">
        <v>10</v>
      </c>
      <c r="N913" s="13" t="s">
        <v>108</v>
      </c>
      <c r="O913" s="28" t="s">
        <v>80</v>
      </c>
      <c r="P913" s="20"/>
      <c r="Q913" s="3">
        <v>15.9</v>
      </c>
      <c r="R913" s="3">
        <v>0.8</v>
      </c>
      <c r="S913" s="13">
        <v>19.875</v>
      </c>
      <c r="T913" s="21">
        <v>26</v>
      </c>
      <c r="U913" s="21">
        <v>46</v>
      </c>
      <c r="V913" s="21">
        <v>28</v>
      </c>
      <c r="W913" s="3">
        <v>29</v>
      </c>
      <c r="X913" s="5" t="s">
        <v>91</v>
      </c>
      <c r="Y913" s="13" t="s">
        <v>82</v>
      </c>
      <c r="Z913" s="3">
        <v>3</v>
      </c>
      <c r="AA913" s="3">
        <v>3</v>
      </c>
      <c r="AB913" s="9">
        <v>0.279637757281132</v>
      </c>
      <c r="AC913" s="9">
        <v>0.00062541249139032</v>
      </c>
      <c r="AD913" s="25">
        <v>0.214763468683563</v>
      </c>
      <c r="AE913" s="25">
        <v>0.00138523455816211</v>
      </c>
      <c r="AF913" s="9">
        <v>-0.0648742885975696</v>
      </c>
      <c r="AG913" s="9">
        <v>0.00201064704955242</v>
      </c>
      <c r="AH913" s="25">
        <v>0.113249007206484</v>
      </c>
      <c r="AI913" s="25">
        <v>0.00694155213105655</v>
      </c>
      <c r="AJ913" s="4">
        <v>0.166388750074648</v>
      </c>
      <c r="AK913" s="4">
        <v>0.0075669646224469</v>
      </c>
      <c r="AL913" s="3">
        <v>0.101514461477078</v>
      </c>
      <c r="AM913" s="3">
        <v>0.00832678668921866</v>
      </c>
      <c r="AN913" s="4"/>
      <c r="AO913" s="4"/>
      <c r="AP913" s="3">
        <v>0.0518250678645862</v>
      </c>
      <c r="AQ913" s="3">
        <v>0.00666666666666667</v>
      </c>
      <c r="AR913" s="4"/>
      <c r="AS913" s="4"/>
      <c r="AT913" s="3"/>
      <c r="AU913" s="3"/>
      <c r="AV913" s="4"/>
      <c r="AW913" s="4"/>
    </row>
    <row r="914" s="3" customFormat="1" spans="1:49">
      <c r="A914" s="4">
        <v>913</v>
      </c>
      <c r="B914" s="6">
        <v>144</v>
      </c>
      <c r="C914" s="13" t="s">
        <v>179</v>
      </c>
      <c r="D914" s="13" t="s">
        <v>452</v>
      </c>
      <c r="E914" s="3">
        <v>41.8</v>
      </c>
      <c r="F914" s="3">
        <v>123.55</v>
      </c>
      <c r="G914" s="26">
        <v>7.55</v>
      </c>
      <c r="H914" s="27">
        <v>629</v>
      </c>
      <c r="I914" s="3"/>
      <c r="J914" s="13" t="s">
        <v>90</v>
      </c>
      <c r="K914" s="5" t="s">
        <v>78</v>
      </c>
      <c r="L914" s="3">
        <v>2008</v>
      </c>
      <c r="M914" s="3">
        <v>10</v>
      </c>
      <c r="N914" s="13" t="s">
        <v>108</v>
      </c>
      <c r="O914" s="28" t="s">
        <v>80</v>
      </c>
      <c r="P914" s="20"/>
      <c r="Q914" s="3">
        <v>15.9</v>
      </c>
      <c r="R914" s="3">
        <v>0.8</v>
      </c>
      <c r="S914" s="13">
        <v>19.875</v>
      </c>
      <c r="T914" s="21">
        <v>26</v>
      </c>
      <c r="U914" s="21">
        <v>46</v>
      </c>
      <c r="V914" s="21">
        <v>28</v>
      </c>
      <c r="W914" s="3">
        <v>29</v>
      </c>
      <c r="X914" s="5" t="s">
        <v>91</v>
      </c>
      <c r="Y914" s="13" t="s">
        <v>82</v>
      </c>
      <c r="Z914" s="3">
        <v>3</v>
      </c>
      <c r="AA914" s="3">
        <v>3</v>
      </c>
      <c r="AB914" s="9">
        <v>-0.00592092650151193</v>
      </c>
      <c r="AC914" s="9">
        <v>0.00151094155702679</v>
      </c>
      <c r="AD914" s="25">
        <v>-0.0236428715615676</v>
      </c>
      <c r="AE914" s="25">
        <v>0.000725788624495999</v>
      </c>
      <c r="AF914" s="9">
        <v>-0.0177219450600557</v>
      </c>
      <c r="AG914" s="9">
        <v>0.00223673018152278</v>
      </c>
      <c r="AH914" s="25">
        <v>0.0174263807444321</v>
      </c>
      <c r="AI914" s="25">
        <v>0.0069415521310565</v>
      </c>
      <c r="AJ914" s="4">
        <v>-0.0233473072459463</v>
      </c>
      <c r="AK914" s="4">
        <v>0.0084524936880833</v>
      </c>
      <c r="AL914" s="3">
        <v>-0.0410692523059978</v>
      </c>
      <c r="AM914" s="3">
        <v>0.0076673407555525</v>
      </c>
      <c r="AN914" s="4"/>
      <c r="AO914" s="4"/>
      <c r="AP914" s="3">
        <v>-0.0380998462322704</v>
      </c>
      <c r="AQ914" s="3">
        <v>0.00666666666666667</v>
      </c>
      <c r="AR914" s="4"/>
      <c r="AS914" s="4"/>
      <c r="AT914" s="3"/>
      <c r="AU914" s="3"/>
      <c r="AV914" s="4"/>
      <c r="AW914" s="4"/>
    </row>
    <row r="915" s="4" customFormat="1" spans="1:63">
      <c r="A915" s="4">
        <v>914</v>
      </c>
      <c r="B915" s="18">
        <v>145</v>
      </c>
      <c r="C915" s="19" t="s">
        <v>453</v>
      </c>
      <c r="D915" s="5" t="s">
        <v>454</v>
      </c>
      <c r="E915" s="9">
        <v>36.744167</v>
      </c>
      <c r="F915" s="9">
        <v>109.243056</v>
      </c>
      <c r="G915" s="20">
        <v>8.8</v>
      </c>
      <c r="H915" s="21">
        <v>510</v>
      </c>
      <c r="I915" s="4">
        <v>1303</v>
      </c>
      <c r="J915" s="13" t="s">
        <v>193</v>
      </c>
      <c r="K915" s="5" t="s">
        <v>182</v>
      </c>
      <c r="L915" s="4">
        <v>2016</v>
      </c>
      <c r="M915" s="4">
        <v>9</v>
      </c>
      <c r="N915" s="5" t="s">
        <v>108</v>
      </c>
      <c r="O915" s="36" t="s">
        <v>80</v>
      </c>
      <c r="P915" s="20"/>
      <c r="Q915" s="4">
        <v>7.519</v>
      </c>
      <c r="R915" s="4">
        <v>0.8122</v>
      </c>
      <c r="S915" s="13">
        <v>9.25757202659443</v>
      </c>
      <c r="T915" s="21">
        <v>20</v>
      </c>
      <c r="U915" s="21">
        <v>36</v>
      </c>
      <c r="V915" s="21">
        <v>44</v>
      </c>
      <c r="W915" s="18">
        <v>7</v>
      </c>
      <c r="X915" s="5" t="s">
        <v>81</v>
      </c>
      <c r="Y915" s="5" t="s">
        <v>82</v>
      </c>
      <c r="Z915" s="4">
        <v>3</v>
      </c>
      <c r="AA915" s="4">
        <v>3</v>
      </c>
      <c r="AB915" s="9">
        <v>-0.399162387303609</v>
      </c>
      <c r="AC915" s="9">
        <v>0.000256361683990305</v>
      </c>
      <c r="AD915" s="9">
        <v>-0.159261093261347</v>
      </c>
      <c r="AE915" s="9">
        <v>0.00533448946951658</v>
      </c>
      <c r="AF915" s="9">
        <v>0.239901294042259</v>
      </c>
      <c r="AG915" s="9">
        <v>0.00559085115350688</v>
      </c>
      <c r="AH915" s="9">
        <v>-0.178965046958907</v>
      </c>
      <c r="AI915" s="9">
        <v>0.0069415521310565</v>
      </c>
      <c r="AJ915" s="4">
        <v>-0.220197340344701</v>
      </c>
      <c r="AK915" s="4">
        <v>0.00719791381504681</v>
      </c>
      <c r="AL915" s="4">
        <v>0.0197039536975592</v>
      </c>
      <c r="AM915" s="4">
        <v>0.0122760416005731</v>
      </c>
      <c r="AN915" s="4"/>
      <c r="AO915" s="4"/>
      <c r="AP915" s="4">
        <v>-0.103556349185173</v>
      </c>
      <c r="AQ915" s="4">
        <v>0.0143562530821346</v>
      </c>
      <c r="AR915" s="4">
        <v>0.13403750819838</v>
      </c>
      <c r="AS915" s="4">
        <v>0.00409043632550118</v>
      </c>
      <c r="AT915" s="4"/>
      <c r="AU915" s="4"/>
      <c r="AV915" s="4"/>
      <c r="AW915" s="4"/>
      <c r="AX915" s="4"/>
      <c r="AY915" s="4"/>
      <c r="AZ915" s="4">
        <v>-0.553665049780139</v>
      </c>
      <c r="BA915" s="4">
        <v>0.0041757577659659</v>
      </c>
      <c r="BJ915" s="4">
        <v>0.0363676441708748</v>
      </c>
      <c r="BK915" s="4">
        <v>0.00699168556311414</v>
      </c>
    </row>
    <row r="916" s="4" customFormat="1" spans="1:63">
      <c r="A916" s="4">
        <v>915</v>
      </c>
      <c r="B916" s="18">
        <v>145</v>
      </c>
      <c r="C916" s="19" t="s">
        <v>453</v>
      </c>
      <c r="D916" s="5" t="s">
        <v>454</v>
      </c>
      <c r="E916" s="9">
        <v>36.746389</v>
      </c>
      <c r="F916" s="9">
        <v>109.253333</v>
      </c>
      <c r="G916" s="20">
        <v>8.8</v>
      </c>
      <c r="H916" s="21">
        <v>510</v>
      </c>
      <c r="I916" s="4">
        <v>1303</v>
      </c>
      <c r="J916" s="13" t="s">
        <v>193</v>
      </c>
      <c r="K916" s="5" t="s">
        <v>182</v>
      </c>
      <c r="L916" s="4">
        <v>2016</v>
      </c>
      <c r="M916" s="4">
        <v>9</v>
      </c>
      <c r="N916" s="5" t="s">
        <v>108</v>
      </c>
      <c r="O916" s="36" t="s">
        <v>80</v>
      </c>
      <c r="P916" s="20"/>
      <c r="Q916" s="4">
        <v>7.519</v>
      </c>
      <c r="R916" s="4">
        <v>0.8122</v>
      </c>
      <c r="S916" s="13">
        <v>9.25757202659443</v>
      </c>
      <c r="T916" s="21">
        <v>20</v>
      </c>
      <c r="U916" s="21">
        <v>36</v>
      </c>
      <c r="V916" s="21">
        <v>44</v>
      </c>
      <c r="W916" s="18">
        <v>12</v>
      </c>
      <c r="X916" s="5" t="s">
        <v>91</v>
      </c>
      <c r="Y916" s="5" t="s">
        <v>82</v>
      </c>
      <c r="Z916" s="4">
        <v>3</v>
      </c>
      <c r="AA916" s="4">
        <v>3</v>
      </c>
      <c r="AB916" s="9">
        <v>-0.591920281978508</v>
      </c>
      <c r="AC916" s="9">
        <v>0.000256361683990305</v>
      </c>
      <c r="AD916" s="9">
        <v>-0.543157373452116</v>
      </c>
      <c r="AE916" s="9">
        <v>0.00533448946951658</v>
      </c>
      <c r="AF916" s="9">
        <v>0.0487629085263923</v>
      </c>
      <c r="AG916" s="9">
        <v>0.00559085115350688</v>
      </c>
      <c r="AH916" s="9">
        <v>-0.612091349022571</v>
      </c>
      <c r="AI916" s="9">
        <v>0.0069415521310565</v>
      </c>
      <c r="AJ916" s="4">
        <v>0.0201710670440626</v>
      </c>
      <c r="AK916" s="4">
        <v>0.00719791381504681</v>
      </c>
      <c r="AL916" s="4">
        <v>0.0689339755704541</v>
      </c>
      <c r="AM916" s="4">
        <v>0.0122760416005731</v>
      </c>
      <c r="AN916" s="4"/>
      <c r="AO916" s="4"/>
      <c r="AP916" s="4">
        <v>-0.566702213955109</v>
      </c>
      <c r="AQ916" s="4">
        <v>0.0143562530821345</v>
      </c>
      <c r="AR916" s="4">
        <v>-0.0791717854277096</v>
      </c>
      <c r="AS916" s="4">
        <v>0.00409043632550118</v>
      </c>
      <c r="AT916" s="4"/>
      <c r="AU916" s="4"/>
      <c r="AV916" s="4"/>
      <c r="AW916" s="4"/>
      <c r="AX916" s="4">
        <v>-0.0327675192880792</v>
      </c>
      <c r="AY916" s="4">
        <v>0.00843831728496734</v>
      </c>
      <c r="AZ916" s="4">
        <v>-0.773029653628541</v>
      </c>
      <c r="BA916" s="4">
        <v>0.0041757577659659</v>
      </c>
      <c r="BJ916" s="4">
        <v>0.0434851119397387</v>
      </c>
      <c r="BK916" s="4">
        <v>0.00163237932364234</v>
      </c>
    </row>
    <row r="917" s="4" customFormat="1" spans="1:63">
      <c r="A917" s="4">
        <v>916</v>
      </c>
      <c r="B917" s="18">
        <v>145</v>
      </c>
      <c r="C917" s="19" t="s">
        <v>453</v>
      </c>
      <c r="D917" s="5" t="s">
        <v>454</v>
      </c>
      <c r="E917" s="9">
        <v>36.733889</v>
      </c>
      <c r="F917" s="9">
        <v>109.275278</v>
      </c>
      <c r="G917" s="20">
        <v>8.8</v>
      </c>
      <c r="H917" s="21">
        <v>510</v>
      </c>
      <c r="I917" s="4">
        <v>1276</v>
      </c>
      <c r="J917" s="13" t="s">
        <v>193</v>
      </c>
      <c r="K917" s="5" t="s">
        <v>182</v>
      </c>
      <c r="L917" s="4">
        <v>2016</v>
      </c>
      <c r="M917" s="4">
        <v>9</v>
      </c>
      <c r="N917" s="5" t="s">
        <v>108</v>
      </c>
      <c r="O917" s="36" t="s">
        <v>80</v>
      </c>
      <c r="P917" s="20"/>
      <c r="Q917" s="4">
        <v>7.519</v>
      </c>
      <c r="R917" s="4">
        <v>0.8122</v>
      </c>
      <c r="S917" s="13">
        <v>9.25757202659443</v>
      </c>
      <c r="T917" s="21">
        <v>20</v>
      </c>
      <c r="U917" s="21">
        <v>36</v>
      </c>
      <c r="V917" s="21">
        <v>44</v>
      </c>
      <c r="W917" s="18">
        <v>17</v>
      </c>
      <c r="X917" s="5" t="s">
        <v>91</v>
      </c>
      <c r="Y917" s="5" t="s">
        <v>82</v>
      </c>
      <c r="Z917" s="4">
        <v>3</v>
      </c>
      <c r="AA917" s="4">
        <v>3</v>
      </c>
      <c r="AB917" s="9">
        <v>-0.635910543911781</v>
      </c>
      <c r="AC917" s="9">
        <v>0.000256361683990305</v>
      </c>
      <c r="AD917" s="9">
        <v>-0.403397009752212</v>
      </c>
      <c r="AE917" s="9">
        <v>0.00533448946951658</v>
      </c>
      <c r="AF917" s="9">
        <v>0.232513534159571</v>
      </c>
      <c r="AG917" s="9">
        <v>0.00559085115350687</v>
      </c>
      <c r="AH917" s="9">
        <v>-0.716402603234703</v>
      </c>
      <c r="AI917" s="9">
        <v>0.00694155213105651</v>
      </c>
      <c r="AJ917" s="4">
        <v>0.0804920593229231</v>
      </c>
      <c r="AK917" s="4">
        <v>0.00719791381504681</v>
      </c>
      <c r="AL917" s="4">
        <v>0.31300559348249</v>
      </c>
      <c r="AM917" s="4">
        <v>0.0122760416005731</v>
      </c>
      <c r="AN917" s="4"/>
      <c r="AO917" s="4"/>
      <c r="AP917" s="4">
        <v>-0.733307611149768</v>
      </c>
      <c r="AQ917" s="4">
        <v>0.0143562530821345</v>
      </c>
      <c r="AR917" s="4">
        <v>-0.418448112519677</v>
      </c>
      <c r="AS917" s="4">
        <v>0.00409043632550118</v>
      </c>
      <c r="AT917" s="4"/>
      <c r="AU917" s="4"/>
      <c r="AV917" s="4"/>
      <c r="AW917" s="4"/>
      <c r="AX917" s="4"/>
      <c r="AY917" s="4"/>
      <c r="AZ917" s="4">
        <v>-0.523375681506391</v>
      </c>
      <c r="BA917" s="4">
        <v>0.0041757577659659</v>
      </c>
      <c r="BJ917" s="4">
        <v>-0.0849932128333927</v>
      </c>
      <c r="BK917" s="4">
        <v>0.00323746483215786</v>
      </c>
    </row>
    <row r="918" s="4" customFormat="1" spans="1:63">
      <c r="A918" s="4">
        <v>917</v>
      </c>
      <c r="B918" s="18">
        <v>145</v>
      </c>
      <c r="C918" s="19" t="s">
        <v>453</v>
      </c>
      <c r="D918" s="5" t="s">
        <v>454</v>
      </c>
      <c r="E918" s="9">
        <v>36.735833</v>
      </c>
      <c r="F918" s="9">
        <v>109.270556</v>
      </c>
      <c r="G918" s="20">
        <v>8.8</v>
      </c>
      <c r="H918" s="21">
        <v>510</v>
      </c>
      <c r="I918" s="4">
        <v>1307</v>
      </c>
      <c r="J918" s="13" t="s">
        <v>193</v>
      </c>
      <c r="K918" s="5" t="s">
        <v>182</v>
      </c>
      <c r="L918" s="4">
        <v>2016</v>
      </c>
      <c r="M918" s="4">
        <v>9</v>
      </c>
      <c r="N918" s="5" t="s">
        <v>108</v>
      </c>
      <c r="O918" s="36" t="s">
        <v>80</v>
      </c>
      <c r="P918" s="20"/>
      <c r="Q918" s="4">
        <v>7.519</v>
      </c>
      <c r="R918" s="4">
        <v>0.8122</v>
      </c>
      <c r="S918" s="13">
        <v>9.25757202659443</v>
      </c>
      <c r="T918" s="21">
        <v>20</v>
      </c>
      <c r="U918" s="21">
        <v>36</v>
      </c>
      <c r="V918" s="21">
        <v>44</v>
      </c>
      <c r="W918" s="18">
        <v>22</v>
      </c>
      <c r="X918" s="5" t="s">
        <v>91</v>
      </c>
      <c r="Y918" s="5" t="s">
        <v>82</v>
      </c>
      <c r="Z918" s="4">
        <v>3</v>
      </c>
      <c r="AA918" s="4">
        <v>3</v>
      </c>
      <c r="AB918" s="9">
        <v>-0.681925350722431</v>
      </c>
      <c r="AC918" s="9">
        <v>0.000256361683990305</v>
      </c>
      <c r="AD918" s="9">
        <v>-0.628871033008265</v>
      </c>
      <c r="AE918" s="9">
        <v>0.00533448946951657</v>
      </c>
      <c r="AF918" s="9">
        <v>0.0530543177141659</v>
      </c>
      <c r="AG918" s="9">
        <v>0.00559085115350687</v>
      </c>
      <c r="AH918" s="9">
        <v>-0.862730425380237</v>
      </c>
      <c r="AI918" s="9">
        <v>0.00694155213105651</v>
      </c>
      <c r="AJ918" s="4">
        <v>0.180805074657806</v>
      </c>
      <c r="AK918" s="4">
        <v>0.00719791381504682</v>
      </c>
      <c r="AL918" s="4">
        <v>0.233859392371972</v>
      </c>
      <c r="AM918" s="4">
        <v>0.0122760416005731</v>
      </c>
      <c r="AN918" s="4"/>
      <c r="AO918" s="4"/>
      <c r="AP918" s="4">
        <v>-0.884539051693792</v>
      </c>
      <c r="AQ918" s="4">
        <v>0.0143562530821345</v>
      </c>
      <c r="AR918" s="4">
        <v>0.0309198731023611</v>
      </c>
      <c r="AS918" s="4">
        <v>0.00409043632550118</v>
      </c>
      <c r="AT918" s="4"/>
      <c r="AU918" s="4"/>
      <c r="AV918" s="4"/>
      <c r="AW918" s="4"/>
      <c r="AX918" s="4">
        <v>0.0684185023070239</v>
      </c>
      <c r="AY918" s="4">
        <v>0.0136082187977232</v>
      </c>
      <c r="AZ918" s="4">
        <v>-0.764538310658266</v>
      </c>
      <c r="BA918" s="4">
        <v>0.0041757577659659</v>
      </c>
      <c r="BJ918" s="4">
        <v>-0.0930904230660121</v>
      </c>
      <c r="BK918" s="4">
        <v>0.00326613347434287</v>
      </c>
    </row>
    <row r="919" s="4" customFormat="1" spans="1:63">
      <c r="A919" s="4">
        <v>918</v>
      </c>
      <c r="B919" s="18">
        <v>145</v>
      </c>
      <c r="C919" s="19" t="s">
        <v>453</v>
      </c>
      <c r="D919" s="5" t="s">
        <v>454</v>
      </c>
      <c r="E919" s="9">
        <v>36.734722</v>
      </c>
      <c r="F919" s="9">
        <v>109.274167</v>
      </c>
      <c r="G919" s="20">
        <v>8.8</v>
      </c>
      <c r="H919" s="21">
        <v>510</v>
      </c>
      <c r="I919" s="4">
        <v>1267</v>
      </c>
      <c r="J919" s="13" t="s">
        <v>193</v>
      </c>
      <c r="K919" s="5" t="s">
        <v>182</v>
      </c>
      <c r="L919" s="4">
        <v>2016</v>
      </c>
      <c r="M919" s="4">
        <v>9</v>
      </c>
      <c r="N919" s="5" t="s">
        <v>108</v>
      </c>
      <c r="O919" s="36" t="s">
        <v>80</v>
      </c>
      <c r="P919" s="20"/>
      <c r="Q919" s="4">
        <v>7.519</v>
      </c>
      <c r="R919" s="4">
        <v>0.8122</v>
      </c>
      <c r="S919" s="13">
        <v>9.25757202659443</v>
      </c>
      <c r="T919" s="21">
        <v>20</v>
      </c>
      <c r="U919" s="21">
        <v>36</v>
      </c>
      <c r="V919" s="21">
        <v>44</v>
      </c>
      <c r="W919" s="18">
        <v>32</v>
      </c>
      <c r="X919" s="13" t="s">
        <v>141</v>
      </c>
      <c r="Y919" s="5" t="s">
        <v>82</v>
      </c>
      <c r="Z919" s="4">
        <v>3</v>
      </c>
      <c r="AA919" s="4">
        <v>3</v>
      </c>
      <c r="AB919" s="9">
        <v>-0.409596151344294</v>
      </c>
      <c r="AC919" s="9">
        <v>0.000256361683990305</v>
      </c>
      <c r="AD919" s="9">
        <v>-0.349002640523821</v>
      </c>
      <c r="AE919" s="9">
        <v>0.00533448946951657</v>
      </c>
      <c r="AF919" s="9">
        <v>0.0605935108204718</v>
      </c>
      <c r="AG919" s="9">
        <v>0.00559085115350687</v>
      </c>
      <c r="AH919" s="9">
        <v>-0.557031352836707</v>
      </c>
      <c r="AI919" s="9">
        <v>0.00694155213105651</v>
      </c>
      <c r="AJ919" s="4">
        <v>0.147435201492414</v>
      </c>
      <c r="AK919" s="4">
        <v>0.00719791381504681</v>
      </c>
      <c r="AL919" s="4">
        <v>0.208028712312884</v>
      </c>
      <c r="AM919" s="4">
        <v>0.0122760416005731</v>
      </c>
      <c r="AN919" s="4"/>
      <c r="AO919" s="4"/>
      <c r="AP919" s="4">
        <v>-0.386033727489743</v>
      </c>
      <c r="AQ919" s="4">
        <v>0.0143562530821345</v>
      </c>
      <c r="AR919" s="4">
        <v>0.0452944620790505</v>
      </c>
      <c r="AS919" s="4">
        <v>0.00409043632550118</v>
      </c>
      <c r="AT919" s="4"/>
      <c r="AU919" s="4"/>
      <c r="AV919" s="4"/>
      <c r="AW919" s="4"/>
      <c r="AX919" s="4">
        <v>0.0614239393418947</v>
      </c>
      <c r="AY919" s="4">
        <v>0.0136082187977232</v>
      </c>
      <c r="AZ919" s="4">
        <v>-0.658331812341184</v>
      </c>
      <c r="BA919" s="4">
        <v>0.0041757577659659</v>
      </c>
      <c r="BJ919" s="4">
        <v>-0.0930904230660121</v>
      </c>
      <c r="BK919" s="4">
        <v>0.00203229999779673</v>
      </c>
    </row>
    <row r="920" s="4" customFormat="1" spans="1:63">
      <c r="A920" s="4">
        <v>919</v>
      </c>
      <c r="B920" s="18">
        <v>145</v>
      </c>
      <c r="C920" s="19" t="s">
        <v>453</v>
      </c>
      <c r="D920" s="5" t="s">
        <v>454</v>
      </c>
      <c r="E920" s="9">
        <v>36.7375</v>
      </c>
      <c r="F920" s="9">
        <v>109.265278</v>
      </c>
      <c r="G920" s="20">
        <v>8.8</v>
      </c>
      <c r="H920" s="21">
        <v>510</v>
      </c>
      <c r="I920" s="4">
        <v>1246</v>
      </c>
      <c r="J920" s="13" t="s">
        <v>193</v>
      </c>
      <c r="K920" s="5" t="s">
        <v>182</v>
      </c>
      <c r="L920" s="4">
        <v>2016</v>
      </c>
      <c r="M920" s="4">
        <v>9</v>
      </c>
      <c r="N920" s="5" t="s">
        <v>108</v>
      </c>
      <c r="O920" s="36" t="s">
        <v>80</v>
      </c>
      <c r="P920" s="20"/>
      <c r="Q920" s="4">
        <v>7.519</v>
      </c>
      <c r="R920" s="4">
        <v>0.8122</v>
      </c>
      <c r="S920" s="13">
        <v>9.25757202659443</v>
      </c>
      <c r="T920" s="21">
        <v>20</v>
      </c>
      <c r="U920" s="21">
        <v>36</v>
      </c>
      <c r="V920" s="21">
        <v>44</v>
      </c>
      <c r="W920" s="4"/>
      <c r="X920" s="13" t="s">
        <v>141</v>
      </c>
      <c r="Y920" s="5" t="s">
        <v>82</v>
      </c>
      <c r="Z920" s="4">
        <v>3</v>
      </c>
      <c r="AA920" s="4">
        <v>3</v>
      </c>
      <c r="AB920" s="9">
        <v>-0.107774758958033</v>
      </c>
      <c r="AC920" s="9">
        <v>0.000256361683990305</v>
      </c>
      <c r="AD920" s="9">
        <v>-0.128214549017356</v>
      </c>
      <c r="AE920" s="9">
        <v>0.00533448946951658</v>
      </c>
      <c r="AF920" s="9">
        <v>-0.0204397900593237</v>
      </c>
      <c r="AG920" s="9">
        <v>0.00559085115350688</v>
      </c>
      <c r="AH920" s="9">
        <v>-0.18485168664758</v>
      </c>
      <c r="AI920" s="9">
        <v>0.0069415521310565</v>
      </c>
      <c r="AJ920" s="4">
        <v>0.0770769276895473</v>
      </c>
      <c r="AK920" s="4">
        <v>0.00719791381504681</v>
      </c>
      <c r="AL920" s="4">
        <v>0.0566371376302232</v>
      </c>
      <c r="AM920" s="4">
        <v>0.0122760416005731</v>
      </c>
      <c r="AN920" s="4"/>
      <c r="AO920" s="4"/>
      <c r="AP920" s="4">
        <v>-0.215488549973384</v>
      </c>
      <c r="AQ920" s="4">
        <v>0.0143562530821345</v>
      </c>
      <c r="AR920" s="4">
        <v>0.122184778612928</v>
      </c>
      <c r="AS920" s="4">
        <v>0.00409043632550118</v>
      </c>
      <c r="AT920" s="4"/>
      <c r="AU920" s="4"/>
      <c r="AV920" s="4"/>
      <c r="AW920" s="4"/>
      <c r="AX920" s="4">
        <v>0.0555262269766978</v>
      </c>
      <c r="AY920" s="4">
        <v>0.0136082187977232</v>
      </c>
      <c r="AZ920" s="4">
        <v>-0.0916793642970479</v>
      </c>
      <c r="BA920" s="4">
        <v>0.0041757577659659</v>
      </c>
      <c r="BJ920" s="4">
        <v>-0.0610876919798383</v>
      </c>
      <c r="BK920" s="4">
        <v>0.0018121488094828</v>
      </c>
    </row>
    <row r="921" s="4" customFormat="1" spans="1:53">
      <c r="A921" s="4">
        <v>920</v>
      </c>
      <c r="B921" s="18">
        <v>145</v>
      </c>
      <c r="C921" s="19" t="s">
        <v>453</v>
      </c>
      <c r="D921" s="5" t="s">
        <v>454</v>
      </c>
      <c r="E921" s="9">
        <v>36.744167</v>
      </c>
      <c r="F921" s="9">
        <v>109.243056</v>
      </c>
      <c r="G921" s="20">
        <v>8.8</v>
      </c>
      <c r="H921" s="21">
        <v>510</v>
      </c>
      <c r="I921" s="4">
        <v>1303</v>
      </c>
      <c r="J921" s="13" t="s">
        <v>193</v>
      </c>
      <c r="K921" s="5" t="s">
        <v>182</v>
      </c>
      <c r="L921" s="4">
        <v>2016</v>
      </c>
      <c r="M921" s="4">
        <v>9</v>
      </c>
      <c r="N921" s="5" t="s">
        <v>108</v>
      </c>
      <c r="O921" s="36" t="s">
        <v>80</v>
      </c>
      <c r="P921" s="20"/>
      <c r="Q921" s="4">
        <v>6.6915</v>
      </c>
      <c r="R921" s="4">
        <v>0.7757</v>
      </c>
      <c r="S921" s="13">
        <v>8.62640195952043</v>
      </c>
      <c r="T921" s="21">
        <v>20</v>
      </c>
      <c r="U921" s="21">
        <v>36</v>
      </c>
      <c r="V921" s="21">
        <v>44</v>
      </c>
      <c r="W921" s="18">
        <v>7</v>
      </c>
      <c r="X921" s="5" t="s">
        <v>81</v>
      </c>
      <c r="Y921" s="5" t="s">
        <v>82</v>
      </c>
      <c r="Z921" s="4">
        <v>3</v>
      </c>
      <c r="AA921" s="4">
        <v>3</v>
      </c>
      <c r="AB921" s="9">
        <v>-0.221512486325247</v>
      </c>
      <c r="AC921" s="9">
        <v>0.000256361683990305</v>
      </c>
      <c r="AD921" s="9">
        <v>-0.0128206884290614</v>
      </c>
      <c r="AE921" s="9">
        <v>0.00533448946951658</v>
      </c>
      <c r="AF921" s="9">
        <v>0.208691797896186</v>
      </c>
      <c r="AG921" s="9">
        <v>0.00559085115350689</v>
      </c>
      <c r="AH921" s="9">
        <v>-0.034976575271183</v>
      </c>
      <c r="AI921" s="9">
        <v>0.00694155213105651</v>
      </c>
      <c r="AJ921" s="4">
        <v>-0.186535911054064</v>
      </c>
      <c r="AK921" s="4">
        <v>0.00719791381504681</v>
      </c>
      <c r="AL921" s="4">
        <v>0.0221558868421231</v>
      </c>
      <c r="AM921" s="4">
        <v>0.0122760416005731</v>
      </c>
      <c r="AN921" s="4"/>
      <c r="AO921" s="4"/>
      <c r="AP921" s="4">
        <v>-0.0731267102118768</v>
      </c>
      <c r="AQ921" s="4">
        <v>0.0143562530821345</v>
      </c>
      <c r="AR921" s="4">
        <v>0.136592289975095</v>
      </c>
      <c r="AS921" s="4">
        <v>0.00409043632550118</v>
      </c>
      <c r="AT921" s="4"/>
      <c r="AU921" s="4"/>
      <c r="AV921" s="4"/>
      <c r="AW921" s="4"/>
      <c r="AX921" s="4">
        <v>-0.0754086977737336</v>
      </c>
      <c r="AY921" s="4">
        <v>0.021297805213191</v>
      </c>
      <c r="AZ921" s="4">
        <v>-0.553665049780139</v>
      </c>
      <c r="BA921" s="4">
        <v>0.0041757577659659</v>
      </c>
    </row>
    <row r="922" s="4" customFormat="1" spans="1:53">
      <c r="A922" s="4">
        <v>921</v>
      </c>
      <c r="B922" s="18">
        <v>145</v>
      </c>
      <c r="C922" s="19" t="s">
        <v>453</v>
      </c>
      <c r="D922" s="5" t="s">
        <v>454</v>
      </c>
      <c r="E922" s="9">
        <v>36.746389</v>
      </c>
      <c r="F922" s="9">
        <v>109.253333</v>
      </c>
      <c r="G922" s="20">
        <v>8.8</v>
      </c>
      <c r="H922" s="21">
        <v>510</v>
      </c>
      <c r="I922" s="4">
        <v>1303</v>
      </c>
      <c r="J922" s="13" t="s">
        <v>193</v>
      </c>
      <c r="K922" s="5" t="s">
        <v>182</v>
      </c>
      <c r="L922" s="4">
        <v>2016</v>
      </c>
      <c r="M922" s="4">
        <v>9</v>
      </c>
      <c r="N922" s="5" t="s">
        <v>108</v>
      </c>
      <c r="O922" s="36" t="s">
        <v>80</v>
      </c>
      <c r="P922" s="20"/>
      <c r="Q922" s="4">
        <v>6.6915</v>
      </c>
      <c r="R922" s="4">
        <v>0.7757</v>
      </c>
      <c r="S922" s="13">
        <v>8.62640195952043</v>
      </c>
      <c r="T922" s="21">
        <v>20</v>
      </c>
      <c r="U922" s="21">
        <v>36</v>
      </c>
      <c r="V922" s="21">
        <v>44</v>
      </c>
      <c r="W922" s="18">
        <v>12</v>
      </c>
      <c r="X922" s="5" t="s">
        <v>91</v>
      </c>
      <c r="Y922" s="5" t="s">
        <v>82</v>
      </c>
      <c r="Z922" s="4">
        <v>3</v>
      </c>
      <c r="AA922" s="4">
        <v>3</v>
      </c>
      <c r="AB922" s="9">
        <v>-0.422031497636394</v>
      </c>
      <c r="AC922" s="9">
        <v>0.000256361683990305</v>
      </c>
      <c r="AD922" s="9">
        <v>-0.202167639811391</v>
      </c>
      <c r="AE922" s="9">
        <v>0.00533448946951658</v>
      </c>
      <c r="AF922" s="9">
        <v>0.219863857825004</v>
      </c>
      <c r="AG922" s="9">
        <v>0.00559085115350689</v>
      </c>
      <c r="AH922" s="9">
        <v>-0.427132822623598</v>
      </c>
      <c r="AI922" s="9">
        <v>0.00694155213105651</v>
      </c>
      <c r="AJ922" s="4">
        <v>0.00510132498720414</v>
      </c>
      <c r="AK922" s="4">
        <v>0.0071979138150468</v>
      </c>
      <c r="AL922" s="4">
        <v>0.224965182812208</v>
      </c>
      <c r="AM922" s="4">
        <v>0.0122760416005731</v>
      </c>
      <c r="AN922" s="4"/>
      <c r="AO922" s="4"/>
      <c r="AP922" s="4">
        <v>-0.408455911027101</v>
      </c>
      <c r="AQ922" s="4">
        <v>0.0143562530821345</v>
      </c>
      <c r="AR922" s="4">
        <v>-0.0647278366904093</v>
      </c>
      <c r="AS922" s="4">
        <v>0.00409043632550118</v>
      </c>
      <c r="AT922" s="4"/>
      <c r="AU922" s="4"/>
      <c r="AV922" s="4"/>
      <c r="AW922" s="4"/>
      <c r="AX922" s="4">
        <v>-0.0453891350674609</v>
      </c>
      <c r="AY922" s="4">
        <v>0.021297805213191</v>
      </c>
      <c r="AZ922" s="4">
        <v>-0.773029653628541</v>
      </c>
      <c r="BA922" s="4">
        <v>0.0041757577659659</v>
      </c>
    </row>
    <row r="923" s="4" customFormat="1" spans="1:53">
      <c r="A923" s="4">
        <v>922</v>
      </c>
      <c r="B923" s="18">
        <v>145</v>
      </c>
      <c r="C923" s="19" t="s">
        <v>453</v>
      </c>
      <c r="D923" s="5" t="s">
        <v>454</v>
      </c>
      <c r="E923" s="9">
        <v>36.733889</v>
      </c>
      <c r="F923" s="9">
        <v>109.275278</v>
      </c>
      <c r="G923" s="20">
        <v>8.8</v>
      </c>
      <c r="H923" s="21">
        <v>510</v>
      </c>
      <c r="I923" s="4">
        <v>1276</v>
      </c>
      <c r="J923" s="13" t="s">
        <v>193</v>
      </c>
      <c r="K923" s="5" t="s">
        <v>182</v>
      </c>
      <c r="L923" s="4">
        <v>2016</v>
      </c>
      <c r="M923" s="4">
        <v>9</v>
      </c>
      <c r="N923" s="5" t="s">
        <v>108</v>
      </c>
      <c r="O923" s="36" t="s">
        <v>80</v>
      </c>
      <c r="P923" s="20"/>
      <c r="Q923" s="4">
        <v>6.6915</v>
      </c>
      <c r="R923" s="4">
        <v>0.7757</v>
      </c>
      <c r="S923" s="13">
        <v>8.62640195952043</v>
      </c>
      <c r="T923" s="21">
        <v>20</v>
      </c>
      <c r="U923" s="21">
        <v>36</v>
      </c>
      <c r="V923" s="21">
        <v>44</v>
      </c>
      <c r="W923" s="18">
        <v>17</v>
      </c>
      <c r="X923" s="5" t="s">
        <v>91</v>
      </c>
      <c r="Y923" s="5" t="s">
        <v>82</v>
      </c>
      <c r="Z923" s="4">
        <v>3</v>
      </c>
      <c r="AA923" s="4">
        <v>3</v>
      </c>
      <c r="AB923" s="9">
        <v>-0.691582832116235</v>
      </c>
      <c r="AC923" s="9">
        <v>0.000256361683990305</v>
      </c>
      <c r="AD923" s="9">
        <v>-0.651528560754728</v>
      </c>
      <c r="AE923" s="9">
        <v>0.00533448946951659</v>
      </c>
      <c r="AF923" s="9">
        <v>0.0400542713615069</v>
      </c>
      <c r="AG923" s="9">
        <v>0.00559085115350689</v>
      </c>
      <c r="AH923" s="9">
        <v>-0.746135339238639</v>
      </c>
      <c r="AI923" s="9">
        <v>0.00694155213105651</v>
      </c>
      <c r="AJ923" s="4">
        <v>0.0545525071224042</v>
      </c>
      <c r="AK923" s="4">
        <v>0.00719791381504681</v>
      </c>
      <c r="AL923" s="4">
        <v>0.0946067784839116</v>
      </c>
      <c r="AM923" s="4">
        <v>0.0122760416005731</v>
      </c>
      <c r="AN923" s="4"/>
      <c r="AO923" s="4"/>
      <c r="AP923" s="4">
        <v>-0.747586894671204</v>
      </c>
      <c r="AQ923" s="4">
        <v>0.0143562530821345</v>
      </c>
      <c r="AR923" s="4">
        <v>-0.350465057408598</v>
      </c>
      <c r="AS923" s="4">
        <v>0.00409043632550118</v>
      </c>
      <c r="AT923" s="4"/>
      <c r="AU923" s="4"/>
      <c r="AV923" s="4"/>
      <c r="AW923" s="4"/>
      <c r="AX923" s="4">
        <v>0.0169050079150648</v>
      </c>
      <c r="AY923" s="4">
        <v>0.0212978052131909</v>
      </c>
      <c r="AZ923" s="4">
        <v>-0.523375681506391</v>
      </c>
      <c r="BA923" s="4">
        <v>0.0041757577659659</v>
      </c>
    </row>
    <row r="924" s="4" customFormat="1" spans="1:53">
      <c r="A924" s="4">
        <v>923</v>
      </c>
      <c r="B924" s="18">
        <v>145</v>
      </c>
      <c r="C924" s="19" t="s">
        <v>453</v>
      </c>
      <c r="D924" s="5" t="s">
        <v>454</v>
      </c>
      <c r="E924" s="9">
        <v>36.735833</v>
      </c>
      <c r="F924" s="9">
        <v>109.270556</v>
      </c>
      <c r="G924" s="20">
        <v>8.8</v>
      </c>
      <c r="H924" s="21">
        <v>510</v>
      </c>
      <c r="I924" s="4">
        <v>1307</v>
      </c>
      <c r="J924" s="13" t="s">
        <v>193</v>
      </c>
      <c r="K924" s="5" t="s">
        <v>182</v>
      </c>
      <c r="L924" s="4">
        <v>2016</v>
      </c>
      <c r="M924" s="4">
        <v>9</v>
      </c>
      <c r="N924" s="5" t="s">
        <v>108</v>
      </c>
      <c r="O924" s="36" t="s">
        <v>80</v>
      </c>
      <c r="P924" s="20"/>
      <c r="Q924" s="4">
        <v>6.6915</v>
      </c>
      <c r="R924" s="4">
        <v>0.7757</v>
      </c>
      <c r="S924" s="13">
        <v>8.62640195952043</v>
      </c>
      <c r="T924" s="21">
        <v>20</v>
      </c>
      <c r="U924" s="21">
        <v>36</v>
      </c>
      <c r="V924" s="21">
        <v>44</v>
      </c>
      <c r="W924" s="18">
        <v>22</v>
      </c>
      <c r="X924" s="5" t="s">
        <v>91</v>
      </c>
      <c r="Y924" s="5" t="s">
        <v>82</v>
      </c>
      <c r="Z924" s="4">
        <v>3</v>
      </c>
      <c r="AA924" s="4">
        <v>3</v>
      </c>
      <c r="AB924" s="9">
        <v>-0.607700690807957</v>
      </c>
      <c r="AC924" s="9">
        <v>0.000256361683990305</v>
      </c>
      <c r="AD924" s="9">
        <v>-0.483735184000506</v>
      </c>
      <c r="AE924" s="9">
        <v>0.00533448946951659</v>
      </c>
      <c r="AF924" s="9">
        <v>0.12396550680745</v>
      </c>
      <c r="AG924" s="9">
        <v>0.00559085115350689</v>
      </c>
      <c r="AH924" s="9">
        <v>-0.903321325081826</v>
      </c>
      <c r="AI924" s="9">
        <v>0.00694155213105651</v>
      </c>
      <c r="AJ924" s="4">
        <v>0.295620634273868</v>
      </c>
      <c r="AK924" s="4">
        <v>0.0071979138150468</v>
      </c>
      <c r="AL924" s="4">
        <v>0.41958614108132</v>
      </c>
      <c r="AM924" s="4">
        <v>0.0122760416005731</v>
      </c>
      <c r="AN924" s="4"/>
      <c r="AO924" s="4"/>
      <c r="AP924" s="4">
        <v>-0.901736213214336</v>
      </c>
      <c r="AQ924" s="4">
        <v>0.0143562530821345</v>
      </c>
      <c r="AR924" s="4">
        <v>0.00599839837795415</v>
      </c>
      <c r="AS924" s="4">
        <v>0.00409043632550118</v>
      </c>
      <c r="AT924" s="4"/>
      <c r="AU924" s="4"/>
      <c r="AV924" s="4"/>
      <c r="AW924" s="4"/>
      <c r="AX924" s="4">
        <v>0.0218086263135552</v>
      </c>
      <c r="AY924" s="4">
        <v>0.021297805213191</v>
      </c>
      <c r="AZ924" s="4">
        <v>-0.764538310658266</v>
      </c>
      <c r="BA924" s="4">
        <v>0.0041757577659659</v>
      </c>
    </row>
    <row r="925" s="4" customFormat="1" spans="1:53">
      <c r="A925" s="4">
        <v>924</v>
      </c>
      <c r="B925" s="18">
        <v>145</v>
      </c>
      <c r="C925" s="19" t="s">
        <v>453</v>
      </c>
      <c r="D925" s="5" t="s">
        <v>454</v>
      </c>
      <c r="E925" s="9">
        <v>36.734722</v>
      </c>
      <c r="F925" s="9">
        <v>109.274167</v>
      </c>
      <c r="G925" s="20">
        <v>8.8</v>
      </c>
      <c r="H925" s="21">
        <v>510</v>
      </c>
      <c r="I925" s="4">
        <v>1267</v>
      </c>
      <c r="J925" s="13" t="s">
        <v>193</v>
      </c>
      <c r="K925" s="5" t="s">
        <v>182</v>
      </c>
      <c r="L925" s="4">
        <v>2016</v>
      </c>
      <c r="M925" s="4">
        <v>9</v>
      </c>
      <c r="N925" s="5" t="s">
        <v>108</v>
      </c>
      <c r="O925" s="36" t="s">
        <v>80</v>
      </c>
      <c r="P925" s="20"/>
      <c r="Q925" s="4">
        <v>6.6915</v>
      </c>
      <c r="R925" s="4">
        <v>0.7757</v>
      </c>
      <c r="S925" s="13">
        <v>8.62640195952043</v>
      </c>
      <c r="T925" s="21">
        <v>20</v>
      </c>
      <c r="U925" s="21">
        <v>36</v>
      </c>
      <c r="V925" s="21">
        <v>44</v>
      </c>
      <c r="W925" s="18">
        <v>32</v>
      </c>
      <c r="X925" s="13" t="s">
        <v>141</v>
      </c>
      <c r="Y925" s="5" t="s">
        <v>82</v>
      </c>
      <c r="Z925" s="4">
        <v>3</v>
      </c>
      <c r="AA925" s="4">
        <v>3</v>
      </c>
      <c r="AB925" s="9">
        <v>-0.36408012414959</v>
      </c>
      <c r="AC925" s="9">
        <v>0.000256361683990305</v>
      </c>
      <c r="AD925" s="9">
        <v>-0.249271748002637</v>
      </c>
      <c r="AE925" s="9">
        <v>0.00533448946951659</v>
      </c>
      <c r="AF925" s="9">
        <v>0.114808376146953</v>
      </c>
      <c r="AG925" s="9">
        <v>0.0055908511535069</v>
      </c>
      <c r="AH925" s="9">
        <v>-0.449404581143636</v>
      </c>
      <c r="AI925" s="9">
        <v>0.0069415521310565</v>
      </c>
      <c r="AJ925" s="4">
        <v>0.0853244569940461</v>
      </c>
      <c r="AK925" s="4">
        <v>0.0071979138150468</v>
      </c>
      <c r="AL925" s="4">
        <v>0.200132833141</v>
      </c>
      <c r="AM925" s="4">
        <v>0.0122760416005731</v>
      </c>
      <c r="AN925" s="4"/>
      <c r="AO925" s="4"/>
      <c r="AP925" s="4">
        <v>-0.525685606614999</v>
      </c>
      <c r="AQ925" s="4">
        <v>0.0143562530821345</v>
      </c>
      <c r="AR925" s="4">
        <v>0.0509873639191426</v>
      </c>
      <c r="AS925" s="4">
        <v>0.00409043632550118</v>
      </c>
      <c r="AT925" s="4"/>
      <c r="AU925" s="4"/>
      <c r="AV925" s="4"/>
      <c r="AW925" s="4"/>
      <c r="AX925" s="4">
        <v>-0.170997625346964</v>
      </c>
      <c r="AY925" s="4">
        <v>0.0212978052131911</v>
      </c>
      <c r="AZ925" s="4">
        <v>-0.658331812341184</v>
      </c>
      <c r="BA925" s="4">
        <v>0.0041757577659659</v>
      </c>
    </row>
    <row r="926" s="4" customFormat="1" spans="1:53">
      <c r="A926" s="4">
        <v>925</v>
      </c>
      <c r="B926" s="18">
        <v>145</v>
      </c>
      <c r="C926" s="19" t="s">
        <v>453</v>
      </c>
      <c r="D926" s="5" t="s">
        <v>454</v>
      </c>
      <c r="E926" s="9">
        <v>36.7375</v>
      </c>
      <c r="F926" s="9">
        <v>109.265278</v>
      </c>
      <c r="G926" s="20">
        <v>8.8</v>
      </c>
      <c r="H926" s="21">
        <v>510</v>
      </c>
      <c r="I926" s="4">
        <v>1246</v>
      </c>
      <c r="J926" s="13" t="s">
        <v>193</v>
      </c>
      <c r="K926" s="5" t="s">
        <v>182</v>
      </c>
      <c r="L926" s="4">
        <v>2016</v>
      </c>
      <c r="M926" s="4">
        <v>9</v>
      </c>
      <c r="N926" s="5" t="s">
        <v>108</v>
      </c>
      <c r="O926" s="36" t="s">
        <v>80</v>
      </c>
      <c r="P926" s="20"/>
      <c r="Q926" s="4">
        <v>6.6915</v>
      </c>
      <c r="R926" s="4">
        <v>0.7757</v>
      </c>
      <c r="S926" s="13">
        <v>8.62640195952043</v>
      </c>
      <c r="T926" s="21">
        <v>20</v>
      </c>
      <c r="U926" s="21">
        <v>36</v>
      </c>
      <c r="V926" s="21">
        <v>44</v>
      </c>
      <c r="W926" s="4"/>
      <c r="X926" s="13" t="s">
        <v>141</v>
      </c>
      <c r="Y926" s="5" t="s">
        <v>82</v>
      </c>
      <c r="Z926" s="4">
        <v>3</v>
      </c>
      <c r="AA926" s="4">
        <v>3</v>
      </c>
      <c r="AB926" s="9">
        <v>-0.0831770096882993</v>
      </c>
      <c r="AC926" s="9">
        <v>0.000256361683990306</v>
      </c>
      <c r="AD926" s="9">
        <v>-0.111328750205346</v>
      </c>
      <c r="AE926" s="9">
        <v>0.00533448946951658</v>
      </c>
      <c r="AF926" s="9">
        <v>-0.0281517405170466</v>
      </c>
      <c r="AG926" s="9">
        <v>0.00559085115350689</v>
      </c>
      <c r="AH926" s="9">
        <v>-0.21017414452188</v>
      </c>
      <c r="AI926" s="9">
        <v>0.00694155213105651</v>
      </c>
      <c r="AJ926" s="4">
        <v>0.126997134833581</v>
      </c>
      <c r="AK926" s="4">
        <v>0.00719791381504682</v>
      </c>
      <c r="AL926" s="4">
        <v>0.0988453943165339</v>
      </c>
      <c r="AM926" s="4">
        <v>0.0122760416005731</v>
      </c>
      <c r="AN926" s="4"/>
      <c r="AO926" s="4"/>
      <c r="AP926" s="4">
        <v>-0.253041733686053</v>
      </c>
      <c r="AQ926" s="4">
        <v>0.0143562530821345</v>
      </c>
      <c r="AR926" s="4">
        <v>0.116886144776086</v>
      </c>
      <c r="AS926" s="4">
        <v>0.00409043632550118</v>
      </c>
      <c r="AT926" s="4"/>
      <c r="AU926" s="4"/>
      <c r="AV926" s="4"/>
      <c r="AW926" s="4"/>
      <c r="AX926" s="4">
        <v>0.0306368633258043</v>
      </c>
      <c r="AY926" s="4">
        <v>0.021297805213191</v>
      </c>
      <c r="AZ926" s="4">
        <v>-0.0916793642970479</v>
      </c>
      <c r="BA926" s="4">
        <v>0.0041757577659659</v>
      </c>
    </row>
    <row r="927" s="4" customFormat="1" spans="1:53">
      <c r="A927" s="4">
        <v>926</v>
      </c>
      <c r="B927" s="18">
        <v>145</v>
      </c>
      <c r="C927" s="19" t="s">
        <v>453</v>
      </c>
      <c r="D927" s="5" t="s">
        <v>454</v>
      </c>
      <c r="E927" s="9">
        <v>36.744167</v>
      </c>
      <c r="F927" s="9">
        <v>109.243056</v>
      </c>
      <c r="G927" s="20">
        <v>8.8</v>
      </c>
      <c r="H927" s="21">
        <v>510</v>
      </c>
      <c r="I927" s="4">
        <v>1303</v>
      </c>
      <c r="J927" s="13" t="s">
        <v>193</v>
      </c>
      <c r="K927" s="5" t="s">
        <v>182</v>
      </c>
      <c r="L927" s="4">
        <v>2016</v>
      </c>
      <c r="M927" s="4">
        <v>9</v>
      </c>
      <c r="N927" s="5" t="s">
        <v>108</v>
      </c>
      <c r="O927" s="36" t="s">
        <v>80</v>
      </c>
      <c r="P927" s="20"/>
      <c r="Q927" s="4">
        <v>5.1923</v>
      </c>
      <c r="R927" s="4">
        <v>0.5316</v>
      </c>
      <c r="S927" s="13">
        <v>9.76730624529722</v>
      </c>
      <c r="T927" s="21">
        <v>20</v>
      </c>
      <c r="U927" s="21">
        <v>36</v>
      </c>
      <c r="V927" s="21">
        <v>44</v>
      </c>
      <c r="W927" s="18">
        <v>7</v>
      </c>
      <c r="X927" s="5" t="s">
        <v>81</v>
      </c>
      <c r="Y927" s="5" t="s">
        <v>82</v>
      </c>
      <c r="Z927" s="4">
        <v>3</v>
      </c>
      <c r="AA927" s="4">
        <v>3</v>
      </c>
      <c r="AB927" s="9">
        <v>-0.51437555377751</v>
      </c>
      <c r="AC927" s="9">
        <v>0.000256361683990305</v>
      </c>
      <c r="AD927" s="9">
        <v>-0.279802375520958</v>
      </c>
      <c r="AE927" s="9">
        <v>0.00533448946951658</v>
      </c>
      <c r="AF927" s="9">
        <v>0.234573178256553</v>
      </c>
      <c r="AG927" s="9">
        <v>0.00559085115350689</v>
      </c>
      <c r="AH927" s="9">
        <v>-0.270554017511209</v>
      </c>
      <c r="AI927" s="9">
        <v>0.00694155213105651</v>
      </c>
      <c r="AJ927" s="4">
        <v>-0.243821536266304</v>
      </c>
      <c r="AK927" s="4">
        <v>0.00719791381504676</v>
      </c>
      <c r="AL927" s="4">
        <v>-0.00924835800974862</v>
      </c>
      <c r="AM927" s="4">
        <v>0.0122760416005731</v>
      </c>
      <c r="AN927" s="4"/>
      <c r="AO927" s="4"/>
      <c r="AP927" s="4">
        <v>-0.18327008777137</v>
      </c>
      <c r="AQ927" s="4">
        <v>0.0143562530821345</v>
      </c>
      <c r="AR927" s="4">
        <v>0.116509961009585</v>
      </c>
      <c r="AS927" s="4">
        <v>0.00409043632550119</v>
      </c>
      <c r="AT927" s="4"/>
      <c r="AU927" s="4"/>
      <c r="AV927" s="4"/>
      <c r="AW927" s="4"/>
      <c r="AX927" s="4">
        <v>0.0381501349406946</v>
      </c>
      <c r="AY927" s="4">
        <v>0.021297805213191</v>
      </c>
      <c r="AZ927" s="4">
        <v>-0.553665049780139</v>
      </c>
      <c r="BA927" s="4">
        <v>0.0041757577659659</v>
      </c>
    </row>
    <row r="928" s="4" customFormat="1" spans="1:53">
      <c r="A928" s="4">
        <v>927</v>
      </c>
      <c r="B928" s="18">
        <v>145</v>
      </c>
      <c r="C928" s="19" t="s">
        <v>453</v>
      </c>
      <c r="D928" s="5" t="s">
        <v>454</v>
      </c>
      <c r="E928" s="9">
        <v>36.746389</v>
      </c>
      <c r="F928" s="9">
        <v>109.253333</v>
      </c>
      <c r="G928" s="20">
        <v>8.8</v>
      </c>
      <c r="H928" s="21">
        <v>510</v>
      </c>
      <c r="I928" s="4">
        <v>1303</v>
      </c>
      <c r="J928" s="13" t="s">
        <v>193</v>
      </c>
      <c r="K928" s="5" t="s">
        <v>182</v>
      </c>
      <c r="L928" s="4">
        <v>2016</v>
      </c>
      <c r="M928" s="4">
        <v>9</v>
      </c>
      <c r="N928" s="5" t="s">
        <v>108</v>
      </c>
      <c r="O928" s="36" t="s">
        <v>80</v>
      </c>
      <c r="P928" s="20"/>
      <c r="Q928" s="4">
        <v>5.1923</v>
      </c>
      <c r="R928" s="4">
        <v>0.5316</v>
      </c>
      <c r="S928" s="13">
        <v>9.76730624529722</v>
      </c>
      <c r="T928" s="21">
        <v>20</v>
      </c>
      <c r="U928" s="21">
        <v>36</v>
      </c>
      <c r="V928" s="21">
        <v>44</v>
      </c>
      <c r="W928" s="18">
        <v>12</v>
      </c>
      <c r="X928" s="5" t="s">
        <v>91</v>
      </c>
      <c r="Y928" s="5" t="s">
        <v>82</v>
      </c>
      <c r="Z928" s="4">
        <v>3</v>
      </c>
      <c r="AA928" s="4">
        <v>3</v>
      </c>
      <c r="AB928" s="9">
        <v>-0.643208195134948</v>
      </c>
      <c r="AC928" s="9">
        <v>0.000256361683990305</v>
      </c>
      <c r="AD928" s="9">
        <v>-0.802290462144332</v>
      </c>
      <c r="AE928" s="9">
        <v>0.00533448946951658</v>
      </c>
      <c r="AF928" s="9">
        <v>-0.159082267009384</v>
      </c>
      <c r="AG928" s="9">
        <v>0.0055908511535069</v>
      </c>
      <c r="AH928" s="9">
        <v>-0.671165343084279</v>
      </c>
      <c r="AI928" s="9">
        <v>0.0069415521310565</v>
      </c>
      <c r="AJ928" s="4">
        <v>0.0279571479493308</v>
      </c>
      <c r="AK928" s="4">
        <v>0.00719791381504676</v>
      </c>
      <c r="AL928" s="4">
        <v>-0.131125119060053</v>
      </c>
      <c r="AM928" s="4">
        <v>0.0122760416005731</v>
      </c>
      <c r="AN928" s="4"/>
      <c r="AO928" s="4"/>
      <c r="AP928" s="4">
        <v>-0.440481354149343</v>
      </c>
      <c r="AQ928" s="4">
        <v>0.0143562530821345</v>
      </c>
      <c r="AR928" s="4">
        <v>-0.0823501546786375</v>
      </c>
      <c r="AS928" s="4">
        <v>0.00409043632550119</v>
      </c>
      <c r="AT928" s="4"/>
      <c r="AU928" s="4"/>
      <c r="AV928" s="4"/>
      <c r="AW928" s="4"/>
      <c r="AX928" s="4">
        <v>-0.0186769115964959</v>
      </c>
      <c r="AY928" s="4">
        <v>0.021297805213191</v>
      </c>
      <c r="AZ928" s="4">
        <v>-0.773029653628541</v>
      </c>
      <c r="BA928" s="4">
        <v>0.0041757577659659</v>
      </c>
    </row>
    <row r="929" s="4" customFormat="1" spans="1:53">
      <c r="A929" s="4">
        <v>928</v>
      </c>
      <c r="B929" s="18">
        <v>145</v>
      </c>
      <c r="C929" s="19" t="s">
        <v>453</v>
      </c>
      <c r="D929" s="5" t="s">
        <v>454</v>
      </c>
      <c r="E929" s="9">
        <v>36.733889</v>
      </c>
      <c r="F929" s="9">
        <v>109.275278</v>
      </c>
      <c r="G929" s="20">
        <v>8.8</v>
      </c>
      <c r="H929" s="21">
        <v>510</v>
      </c>
      <c r="I929" s="4">
        <v>1276</v>
      </c>
      <c r="J929" s="13" t="s">
        <v>193</v>
      </c>
      <c r="K929" s="5" t="s">
        <v>182</v>
      </c>
      <c r="L929" s="4">
        <v>2016</v>
      </c>
      <c r="M929" s="4">
        <v>9</v>
      </c>
      <c r="N929" s="5" t="s">
        <v>108</v>
      </c>
      <c r="O929" s="36" t="s">
        <v>80</v>
      </c>
      <c r="P929" s="20"/>
      <c r="Q929" s="4">
        <v>5.1923</v>
      </c>
      <c r="R929" s="4">
        <v>0.5316</v>
      </c>
      <c r="S929" s="13">
        <v>9.76730624529722</v>
      </c>
      <c r="T929" s="21">
        <v>20</v>
      </c>
      <c r="U929" s="21">
        <v>36</v>
      </c>
      <c r="V929" s="21">
        <v>44</v>
      </c>
      <c r="W929" s="18">
        <v>17</v>
      </c>
      <c r="X929" s="5" t="s">
        <v>91</v>
      </c>
      <c r="Y929" s="5" t="s">
        <v>82</v>
      </c>
      <c r="Z929" s="4">
        <v>3</v>
      </c>
      <c r="AA929" s="4">
        <v>3</v>
      </c>
      <c r="AB929" s="9">
        <v>-0.768181889269105</v>
      </c>
      <c r="AC929" s="9">
        <v>0.000256361683990305</v>
      </c>
      <c r="AD929" s="9">
        <v>-0.914909539449895</v>
      </c>
      <c r="AE929" s="9">
        <v>0.00533448946951656</v>
      </c>
      <c r="AF929" s="9">
        <v>-0.14672765018079</v>
      </c>
      <c r="AG929" s="9">
        <v>0.00559085115350688</v>
      </c>
      <c r="AH929" s="9">
        <v>-0.827736192033239</v>
      </c>
      <c r="AI929" s="9">
        <v>0.0069415521310565</v>
      </c>
      <c r="AJ929" s="4">
        <v>0.05955430276413</v>
      </c>
      <c r="AK929" s="4">
        <v>0.00719791381504675</v>
      </c>
      <c r="AL929" s="4">
        <v>-0.0871733474166548</v>
      </c>
      <c r="AM929" s="4">
        <v>0.0122760416005731</v>
      </c>
      <c r="AN929" s="4"/>
      <c r="AO929" s="4"/>
      <c r="AP929" s="4">
        <v>-0.697524693729162</v>
      </c>
      <c r="AQ929" s="4">
        <v>0.0143562530821345</v>
      </c>
      <c r="AR929" s="4">
        <v>-0.322106925016015</v>
      </c>
      <c r="AS929" s="4">
        <v>0.00409043632550119</v>
      </c>
      <c r="AT929" s="4"/>
      <c r="AU929" s="4"/>
      <c r="AV929" s="4"/>
      <c r="AW929" s="4"/>
      <c r="AX929" s="4">
        <v>0.00145155543256554</v>
      </c>
      <c r="AY929" s="4">
        <v>0.021297805213191</v>
      </c>
      <c r="AZ929" s="4">
        <v>-0.523375681506391</v>
      </c>
      <c r="BA929" s="4">
        <v>0.0041757577659659</v>
      </c>
    </row>
    <row r="930" s="4" customFormat="1" spans="1:53">
      <c r="A930" s="4">
        <v>929</v>
      </c>
      <c r="B930" s="18">
        <v>145</v>
      </c>
      <c r="C930" s="19" t="s">
        <v>453</v>
      </c>
      <c r="D930" s="5" t="s">
        <v>454</v>
      </c>
      <c r="E930" s="9">
        <v>36.735833</v>
      </c>
      <c r="F930" s="9">
        <v>109.270556</v>
      </c>
      <c r="G930" s="20">
        <v>8.8</v>
      </c>
      <c r="H930" s="21">
        <v>510</v>
      </c>
      <c r="I930" s="4">
        <v>1307</v>
      </c>
      <c r="J930" s="13" t="s">
        <v>193</v>
      </c>
      <c r="K930" s="5" t="s">
        <v>182</v>
      </c>
      <c r="L930" s="4">
        <v>2016</v>
      </c>
      <c r="M930" s="4">
        <v>9</v>
      </c>
      <c r="N930" s="5" t="s">
        <v>108</v>
      </c>
      <c r="O930" s="36" t="s">
        <v>80</v>
      </c>
      <c r="P930" s="20"/>
      <c r="Q930" s="4">
        <v>5.1923</v>
      </c>
      <c r="R930" s="4">
        <v>0.5316</v>
      </c>
      <c r="S930" s="13">
        <v>9.76730624529722</v>
      </c>
      <c r="T930" s="21">
        <v>20</v>
      </c>
      <c r="U930" s="21">
        <v>36</v>
      </c>
      <c r="V930" s="21">
        <v>44</v>
      </c>
      <c r="W930" s="18">
        <v>22</v>
      </c>
      <c r="X930" s="5" t="s">
        <v>91</v>
      </c>
      <c r="Y930" s="5" t="s">
        <v>82</v>
      </c>
      <c r="Z930" s="4">
        <v>3</v>
      </c>
      <c r="AA930" s="4">
        <v>3</v>
      </c>
      <c r="AB930" s="9">
        <v>-0.663470402408859</v>
      </c>
      <c r="AC930" s="9">
        <v>0.000256361683990305</v>
      </c>
      <c r="AD930" s="9">
        <v>-0.638885803381866</v>
      </c>
      <c r="AE930" s="9">
        <v>0.00533448946951656</v>
      </c>
      <c r="AF930" s="9">
        <v>0.0245845990269934</v>
      </c>
      <c r="AG930" s="9">
        <v>0.00559085115350687</v>
      </c>
      <c r="AH930" s="9">
        <v>-1.13251051978244</v>
      </c>
      <c r="AI930" s="9">
        <v>0.00694155213105651</v>
      </c>
      <c r="AJ930" s="4">
        <v>0.469040117373581</v>
      </c>
      <c r="AK930" s="4">
        <v>0.00719791381504679</v>
      </c>
      <c r="AL930" s="4">
        <v>0.493624716400574</v>
      </c>
      <c r="AM930" s="4">
        <v>0.0122760416005731</v>
      </c>
      <c r="AN930" s="4"/>
      <c r="AO930" s="4"/>
      <c r="AP930" s="4">
        <v>-0.962478472645719</v>
      </c>
      <c r="AQ930" s="4">
        <v>0.0143562530821345</v>
      </c>
      <c r="AR930" s="4">
        <v>0.00799751460816465</v>
      </c>
      <c r="AS930" s="4">
        <v>0.00409043632550119</v>
      </c>
      <c r="AT930" s="4"/>
      <c r="AU930" s="4"/>
      <c r="AV930" s="4"/>
      <c r="AW930" s="4"/>
      <c r="AX930" s="4">
        <v>-0.0015851118674895</v>
      </c>
      <c r="AY930" s="4">
        <v>0.0212978052131909</v>
      </c>
      <c r="AZ930" s="4">
        <v>-0.764538310658266</v>
      </c>
      <c r="BA930" s="4">
        <v>0.0041757577659659</v>
      </c>
    </row>
    <row r="931" s="4" customFormat="1" spans="1:53">
      <c r="A931" s="4">
        <v>930</v>
      </c>
      <c r="B931" s="18">
        <v>145</v>
      </c>
      <c r="C931" s="19" t="s">
        <v>453</v>
      </c>
      <c r="D931" s="5" t="s">
        <v>454</v>
      </c>
      <c r="E931" s="9">
        <v>36.734722</v>
      </c>
      <c r="F931" s="9">
        <v>109.274167</v>
      </c>
      <c r="G931" s="20">
        <v>8.8</v>
      </c>
      <c r="H931" s="21">
        <v>510</v>
      </c>
      <c r="I931" s="4">
        <v>1267</v>
      </c>
      <c r="J931" s="13" t="s">
        <v>193</v>
      </c>
      <c r="K931" s="5" t="s">
        <v>182</v>
      </c>
      <c r="L931" s="4">
        <v>2016</v>
      </c>
      <c r="M931" s="4">
        <v>9</v>
      </c>
      <c r="N931" s="5" t="s">
        <v>108</v>
      </c>
      <c r="O931" s="36" t="s">
        <v>80</v>
      </c>
      <c r="P931" s="20"/>
      <c r="Q931" s="4">
        <v>5.1923</v>
      </c>
      <c r="R931" s="4">
        <v>0.5316</v>
      </c>
      <c r="S931" s="13">
        <v>9.76730624529722</v>
      </c>
      <c r="T931" s="21">
        <v>20</v>
      </c>
      <c r="U931" s="21">
        <v>36</v>
      </c>
      <c r="V931" s="21">
        <v>44</v>
      </c>
      <c r="W931" s="18">
        <v>32</v>
      </c>
      <c r="X931" s="13" t="s">
        <v>141</v>
      </c>
      <c r="Y931" s="5" t="s">
        <v>82</v>
      </c>
      <c r="Z931" s="4">
        <v>3</v>
      </c>
      <c r="AA931" s="4">
        <v>3</v>
      </c>
      <c r="AB931" s="9">
        <v>-0.623351831512218</v>
      </c>
      <c r="AC931" s="9">
        <v>0.000256361683990305</v>
      </c>
      <c r="AD931" s="9">
        <v>-0.633876352429461</v>
      </c>
      <c r="AE931" s="9">
        <v>0.00533448946951656</v>
      </c>
      <c r="AF931" s="9">
        <v>-0.0105245209172433</v>
      </c>
      <c r="AG931" s="9">
        <v>0.00559085115350687</v>
      </c>
      <c r="AH931" s="9">
        <v>-0.827736192033239</v>
      </c>
      <c r="AI931" s="9">
        <v>0.0069415521310565</v>
      </c>
      <c r="AJ931" s="4">
        <v>0.20438436052102</v>
      </c>
      <c r="AK931" s="4">
        <v>0.00719791381504676</v>
      </c>
      <c r="AL931" s="4">
        <v>0.193859839603779</v>
      </c>
      <c r="AM931" s="4">
        <v>0.0122760416005731</v>
      </c>
      <c r="AN931" s="4"/>
      <c r="AO931" s="4"/>
      <c r="AP931" s="4">
        <v>-0.706185155148851</v>
      </c>
      <c r="AQ931" s="4">
        <v>0.0143562530821345</v>
      </c>
      <c r="AR931" s="4">
        <v>0.0358777306986774</v>
      </c>
      <c r="AS931" s="4">
        <v>0.00409043632550119</v>
      </c>
      <c r="AT931" s="4"/>
      <c r="AU931" s="4"/>
      <c r="AV931" s="4"/>
      <c r="AW931" s="4"/>
      <c r="AX931" s="4">
        <v>0.0762810254713635</v>
      </c>
      <c r="AY931" s="4">
        <v>0.0212978052131909</v>
      </c>
      <c r="AZ931" s="4">
        <v>-0.658331812341184</v>
      </c>
      <c r="BA931" s="4">
        <v>0.0041757577659659</v>
      </c>
    </row>
    <row r="932" s="4" customFormat="1" spans="1:53">
      <c r="A932" s="4">
        <v>931</v>
      </c>
      <c r="B932" s="18">
        <v>145</v>
      </c>
      <c r="C932" s="19" t="s">
        <v>453</v>
      </c>
      <c r="D932" s="5" t="s">
        <v>454</v>
      </c>
      <c r="E932" s="9">
        <v>36.7375</v>
      </c>
      <c r="F932" s="9">
        <v>109.265278</v>
      </c>
      <c r="G932" s="20">
        <v>8.8</v>
      </c>
      <c r="H932" s="21">
        <v>510</v>
      </c>
      <c r="I932" s="4">
        <v>1246</v>
      </c>
      <c r="J932" s="13" t="s">
        <v>193</v>
      </c>
      <c r="K932" s="5" t="s">
        <v>182</v>
      </c>
      <c r="L932" s="4">
        <v>2016</v>
      </c>
      <c r="M932" s="4">
        <v>9</v>
      </c>
      <c r="N932" s="5" t="s">
        <v>108</v>
      </c>
      <c r="O932" s="36" t="s">
        <v>80</v>
      </c>
      <c r="P932" s="20"/>
      <c r="Q932" s="4">
        <v>5.1923</v>
      </c>
      <c r="R932" s="4">
        <v>0.5316</v>
      </c>
      <c r="S932" s="13">
        <v>9.76730624529722</v>
      </c>
      <c r="T932" s="21">
        <v>20</v>
      </c>
      <c r="U932" s="21">
        <v>36</v>
      </c>
      <c r="V932" s="21">
        <v>44</v>
      </c>
      <c r="W932" s="4"/>
      <c r="X932" s="13" t="s">
        <v>141</v>
      </c>
      <c r="Y932" s="5" t="s">
        <v>82</v>
      </c>
      <c r="Z932" s="4">
        <v>3</v>
      </c>
      <c r="AA932" s="4">
        <v>3</v>
      </c>
      <c r="AB932" s="9">
        <v>-0.210422154952917</v>
      </c>
      <c r="AC932" s="9">
        <v>0.000256361683990304</v>
      </c>
      <c r="AD932" s="9">
        <v>-0.0132972957071675</v>
      </c>
      <c r="AE932" s="9">
        <v>0.00533448946951657</v>
      </c>
      <c r="AF932" s="9">
        <v>0.19712485924575</v>
      </c>
      <c r="AG932" s="9">
        <v>0.00559085115350687</v>
      </c>
      <c r="AH932" s="9">
        <v>-0.218522386648419</v>
      </c>
      <c r="AI932" s="9">
        <v>0.0069415521310565</v>
      </c>
      <c r="AJ932" s="4">
        <v>0.00810023169549762</v>
      </c>
      <c r="AK932" s="4">
        <v>0.00719791381504674</v>
      </c>
      <c r="AL932" s="4">
        <v>0.205225090941252</v>
      </c>
      <c r="AM932" s="4">
        <v>0.012276041600573</v>
      </c>
      <c r="AN932" s="4"/>
      <c r="AO932" s="4"/>
      <c r="AP932" s="4">
        <v>-0.137909445612819</v>
      </c>
      <c r="AQ932" s="4">
        <v>0.0143562530821345</v>
      </c>
      <c r="AR932" s="4">
        <v>0.115137469680271</v>
      </c>
      <c r="AS932" s="4">
        <v>0.00409043632550119</v>
      </c>
      <c r="AT932" s="4"/>
      <c r="AU932" s="4"/>
      <c r="AV932" s="4"/>
      <c r="AW932" s="4"/>
      <c r="AX932" s="4">
        <v>0.0428675891641733</v>
      </c>
      <c r="AY932" s="4">
        <v>0.021297805213191</v>
      </c>
      <c r="AZ932" s="4">
        <v>-0.0916793642970479</v>
      </c>
      <c r="BA932" s="4">
        <v>0.0041757577659659</v>
      </c>
    </row>
    <row r="933" s="4" customFormat="1" spans="1:53">
      <c r="A933" s="4">
        <v>932</v>
      </c>
      <c r="B933" s="18">
        <v>145</v>
      </c>
      <c r="C933" s="19" t="s">
        <v>453</v>
      </c>
      <c r="D933" s="5" t="s">
        <v>454</v>
      </c>
      <c r="E933" s="9">
        <v>36.744167</v>
      </c>
      <c r="F933" s="9">
        <v>109.243056</v>
      </c>
      <c r="G933" s="20">
        <v>8.8</v>
      </c>
      <c r="H933" s="21">
        <v>510</v>
      </c>
      <c r="I933" s="4">
        <v>1303</v>
      </c>
      <c r="J933" s="13" t="s">
        <v>193</v>
      </c>
      <c r="K933" s="5" t="s">
        <v>182</v>
      </c>
      <c r="L933" s="4">
        <v>2016</v>
      </c>
      <c r="M933" s="4">
        <v>9</v>
      </c>
      <c r="N933" s="5" t="s">
        <v>108</v>
      </c>
      <c r="O933" s="36" t="s">
        <v>80</v>
      </c>
      <c r="P933" s="20"/>
      <c r="Q933" s="4">
        <v>7.21154</v>
      </c>
      <c r="R933" s="4">
        <v>0.96502</v>
      </c>
      <c r="S933" s="13">
        <v>7.47294356593646</v>
      </c>
      <c r="T933" s="21">
        <v>20</v>
      </c>
      <c r="U933" s="21">
        <v>36</v>
      </c>
      <c r="V933" s="21">
        <v>44</v>
      </c>
      <c r="W933" s="18">
        <v>7</v>
      </c>
      <c r="X933" s="5" t="s">
        <v>81</v>
      </c>
      <c r="Y933" s="5" t="s">
        <v>82</v>
      </c>
      <c r="Z933" s="4">
        <v>3</v>
      </c>
      <c r="AA933" s="4">
        <v>3</v>
      </c>
      <c r="AB933" s="9">
        <v>-0.575551406094549</v>
      </c>
      <c r="AC933" s="9">
        <v>0.000256361683990305</v>
      </c>
      <c r="AD933" s="9">
        <v>-0.59243063609657</v>
      </c>
      <c r="AE933" s="9">
        <v>0.00533448946951659</v>
      </c>
      <c r="AF933" s="9">
        <v>-0.0168792300020205</v>
      </c>
      <c r="AG933" s="9">
        <v>0.00559085115350689</v>
      </c>
      <c r="AH933" s="9">
        <v>-0.506392124987579</v>
      </c>
      <c r="AI933" s="9">
        <v>0.00694155213105651</v>
      </c>
      <c r="AJ933" s="4">
        <v>-0.0691592811069702</v>
      </c>
      <c r="AK933" s="4">
        <v>0.00719791381504682</v>
      </c>
      <c r="AL933" s="4">
        <v>-0.0860385111089896</v>
      </c>
      <c r="AM933" s="4">
        <v>0.0122760416005731</v>
      </c>
      <c r="AN933" s="4"/>
      <c r="AO933" s="4"/>
      <c r="AP933" s="4">
        <v>-0.117661283933899</v>
      </c>
      <c r="AQ933" s="4">
        <v>0.0143562530821345</v>
      </c>
      <c r="AR933" s="4">
        <v>0.0529118321157821</v>
      </c>
      <c r="AS933" s="4">
        <v>0.00409043632550118</v>
      </c>
      <c r="AT933" s="4"/>
      <c r="AU933" s="4"/>
      <c r="AV933" s="4"/>
      <c r="AW933" s="4"/>
      <c r="AX933" s="4">
        <v>-0.0872839297398386</v>
      </c>
      <c r="AY933" s="4">
        <v>0.021297805213191</v>
      </c>
      <c r="AZ933" s="4">
        <v>-0.553665049780139</v>
      </c>
      <c r="BA933" s="4">
        <v>0.0041757577659659</v>
      </c>
    </row>
    <row r="934" s="4" customFormat="1" spans="1:53">
      <c r="A934" s="4">
        <v>933</v>
      </c>
      <c r="B934" s="18">
        <v>145</v>
      </c>
      <c r="C934" s="19" t="s">
        <v>453</v>
      </c>
      <c r="D934" s="5" t="s">
        <v>454</v>
      </c>
      <c r="E934" s="9">
        <v>36.746389</v>
      </c>
      <c r="F934" s="9">
        <v>109.253333</v>
      </c>
      <c r="G934" s="20">
        <v>8.8</v>
      </c>
      <c r="H934" s="21">
        <v>510</v>
      </c>
      <c r="I934" s="4">
        <v>1303</v>
      </c>
      <c r="J934" s="13" t="s">
        <v>193</v>
      </c>
      <c r="K934" s="5" t="s">
        <v>182</v>
      </c>
      <c r="L934" s="4">
        <v>2016</v>
      </c>
      <c r="M934" s="4">
        <v>9</v>
      </c>
      <c r="N934" s="5" t="s">
        <v>108</v>
      </c>
      <c r="O934" s="36" t="s">
        <v>80</v>
      </c>
      <c r="P934" s="20"/>
      <c r="Q934" s="4">
        <v>7.21154</v>
      </c>
      <c r="R934" s="4">
        <v>0.96502</v>
      </c>
      <c r="S934" s="13">
        <v>7.47294356593646</v>
      </c>
      <c r="T934" s="21">
        <v>20</v>
      </c>
      <c r="U934" s="21">
        <v>36</v>
      </c>
      <c r="V934" s="21">
        <v>44</v>
      </c>
      <c r="W934" s="18">
        <v>12</v>
      </c>
      <c r="X934" s="5" t="s">
        <v>91</v>
      </c>
      <c r="Y934" s="5" t="s">
        <v>82</v>
      </c>
      <c r="Z934" s="4">
        <v>3</v>
      </c>
      <c r="AA934" s="4">
        <v>3</v>
      </c>
      <c r="AB934" s="9">
        <v>-0.541969721041185</v>
      </c>
      <c r="AC934" s="9">
        <v>0.000256361683990305</v>
      </c>
      <c r="AD934" s="9">
        <v>-0.659884185356412</v>
      </c>
      <c r="AE934" s="9">
        <v>0.00533448946951658</v>
      </c>
      <c r="AF934" s="9">
        <v>-0.117914464315227</v>
      </c>
      <c r="AG934" s="9">
        <v>0.00559085115350689</v>
      </c>
      <c r="AH934" s="9">
        <v>-0.706571062874256</v>
      </c>
      <c r="AI934" s="9">
        <v>0.00694155213105651</v>
      </c>
      <c r="AJ934" s="4">
        <v>0.16460134183307</v>
      </c>
      <c r="AK934" s="4">
        <v>0.00719791381504682</v>
      </c>
      <c r="AL934" s="4">
        <v>0.0466868775178449</v>
      </c>
      <c r="AM934" s="4">
        <v>0.0122760416005731</v>
      </c>
      <c r="AN934" s="4"/>
      <c r="AO934" s="4"/>
      <c r="AP934" s="4">
        <v>-0.550204964520033</v>
      </c>
      <c r="AQ934" s="4">
        <v>0.0143562530821345</v>
      </c>
      <c r="AR934" s="4">
        <v>-0.209918896632953</v>
      </c>
      <c r="AS934" s="4">
        <v>0.00409043632550118</v>
      </c>
      <c r="AT934" s="4"/>
      <c r="AU934" s="4"/>
      <c r="AV934" s="4"/>
      <c r="AW934" s="4"/>
      <c r="AX934" s="4">
        <v>-0.230683988934936</v>
      </c>
      <c r="AY934" s="4">
        <v>0.0212978052131908</v>
      </c>
      <c r="AZ934" s="4">
        <v>-0.773029653628541</v>
      </c>
      <c r="BA934" s="4">
        <v>0.0041757577659659</v>
      </c>
    </row>
    <row r="935" s="4" customFormat="1" spans="1:53">
      <c r="A935" s="4">
        <v>934</v>
      </c>
      <c r="B935" s="18">
        <v>145</v>
      </c>
      <c r="C935" s="19" t="s">
        <v>453</v>
      </c>
      <c r="D935" s="5" t="s">
        <v>454</v>
      </c>
      <c r="E935" s="9">
        <v>36.733889</v>
      </c>
      <c r="F935" s="9">
        <v>109.275278</v>
      </c>
      <c r="G935" s="20">
        <v>8.8</v>
      </c>
      <c r="H935" s="21">
        <v>510</v>
      </c>
      <c r="I935" s="4">
        <v>1276</v>
      </c>
      <c r="J935" s="13" t="s">
        <v>193</v>
      </c>
      <c r="K935" s="5" t="s">
        <v>182</v>
      </c>
      <c r="L935" s="4">
        <v>2016</v>
      </c>
      <c r="M935" s="4">
        <v>9</v>
      </c>
      <c r="N935" s="5" t="s">
        <v>108</v>
      </c>
      <c r="O935" s="36" t="s">
        <v>80</v>
      </c>
      <c r="P935" s="20"/>
      <c r="Q935" s="4">
        <v>7.21154</v>
      </c>
      <c r="R935" s="4">
        <v>0.96502</v>
      </c>
      <c r="S935" s="13">
        <v>7.47294356593646</v>
      </c>
      <c r="T935" s="21">
        <v>20</v>
      </c>
      <c r="U935" s="21">
        <v>36</v>
      </c>
      <c r="V935" s="21">
        <v>44</v>
      </c>
      <c r="W935" s="18">
        <v>17</v>
      </c>
      <c r="X935" s="5" t="s">
        <v>91</v>
      </c>
      <c r="Y935" s="5" t="s">
        <v>82</v>
      </c>
      <c r="Z935" s="4">
        <v>3</v>
      </c>
      <c r="AA935" s="4">
        <v>3</v>
      </c>
      <c r="AB935" s="9">
        <v>-0.809446139916924</v>
      </c>
      <c r="AC935" s="9">
        <v>0.000256361683990305</v>
      </c>
      <c r="AD935" s="9">
        <v>-0.843022727519963</v>
      </c>
      <c r="AE935" s="9">
        <v>0.00533448946951659</v>
      </c>
      <c r="AF935" s="9">
        <v>-0.0335765876030391</v>
      </c>
      <c r="AG935" s="9">
        <v>0.0055908511535069</v>
      </c>
      <c r="AH935" s="9">
        <v>-0.90304466582642</v>
      </c>
      <c r="AI935" s="9">
        <v>0.00694155213105651</v>
      </c>
      <c r="AJ935" s="4">
        <v>0.093598525909496</v>
      </c>
      <c r="AK935" s="4">
        <v>0.0071979138150468</v>
      </c>
      <c r="AL935" s="4">
        <v>0.0600219383064575</v>
      </c>
      <c r="AM935" s="4">
        <v>0.0122760416005731</v>
      </c>
      <c r="AN935" s="4"/>
      <c r="AO935" s="4"/>
      <c r="AP935" s="4">
        <v>-0.631272771640388</v>
      </c>
      <c r="AQ935" s="4">
        <v>0.0143562530821345</v>
      </c>
      <c r="AR935" s="4">
        <v>-0.272259275956811</v>
      </c>
      <c r="AS935" s="4">
        <v>0.00409043632550118</v>
      </c>
      <c r="AT935" s="4"/>
      <c r="AU935" s="4"/>
      <c r="AV935" s="4"/>
      <c r="AW935" s="4"/>
      <c r="AX935" s="4">
        <v>-0.130211498304078</v>
      </c>
      <c r="AY935" s="4">
        <v>0.0212978052131909</v>
      </c>
      <c r="AZ935" s="4">
        <v>-0.523375681506391</v>
      </c>
      <c r="BA935" s="4">
        <v>0.0041757577659659</v>
      </c>
    </row>
    <row r="936" s="4" customFormat="1" spans="1:53">
      <c r="A936" s="4">
        <v>935</v>
      </c>
      <c r="B936" s="18">
        <v>145</v>
      </c>
      <c r="C936" s="19" t="s">
        <v>453</v>
      </c>
      <c r="D936" s="5" t="s">
        <v>454</v>
      </c>
      <c r="E936" s="9">
        <v>36.735833</v>
      </c>
      <c r="F936" s="9">
        <v>109.270556</v>
      </c>
      <c r="G936" s="20">
        <v>8.8</v>
      </c>
      <c r="H936" s="21">
        <v>510</v>
      </c>
      <c r="I936" s="4">
        <v>1307</v>
      </c>
      <c r="J936" s="13" t="s">
        <v>193</v>
      </c>
      <c r="K936" s="5" t="s">
        <v>182</v>
      </c>
      <c r="L936" s="4">
        <v>2016</v>
      </c>
      <c r="M936" s="4">
        <v>9</v>
      </c>
      <c r="N936" s="5" t="s">
        <v>108</v>
      </c>
      <c r="O936" s="36" t="s">
        <v>80</v>
      </c>
      <c r="P936" s="20"/>
      <c r="Q936" s="4">
        <v>7.21154</v>
      </c>
      <c r="R936" s="4">
        <v>0.96502</v>
      </c>
      <c r="S936" s="13">
        <v>7.47294356593646</v>
      </c>
      <c r="T936" s="21">
        <v>20</v>
      </c>
      <c r="U936" s="21">
        <v>36</v>
      </c>
      <c r="V936" s="21">
        <v>44</v>
      </c>
      <c r="W936" s="18">
        <v>22</v>
      </c>
      <c r="X936" s="5" t="s">
        <v>91</v>
      </c>
      <c r="Y936" s="5" t="s">
        <v>82</v>
      </c>
      <c r="Z936" s="4">
        <v>3</v>
      </c>
      <c r="AA936" s="4">
        <v>3</v>
      </c>
      <c r="AB936" s="9">
        <v>-0.693145370472509</v>
      </c>
      <c r="AC936" s="9">
        <v>0.000256361683990305</v>
      </c>
      <c r="AD936" s="9">
        <v>-0.69731285912068</v>
      </c>
      <c r="AE936" s="9">
        <v>0.00533448946951657</v>
      </c>
      <c r="AF936" s="9">
        <v>-0.00416748864817007</v>
      </c>
      <c r="AG936" s="9">
        <v>0.00559085115350687</v>
      </c>
      <c r="AH936" s="9">
        <v>-1.08273820796369</v>
      </c>
      <c r="AI936" s="9">
        <v>0.00694155213105651</v>
      </c>
      <c r="AJ936" s="4">
        <v>0.389592837491175</v>
      </c>
      <c r="AK936" s="4">
        <v>0.00719791381504683</v>
      </c>
      <c r="AL936" s="4">
        <v>0.385425348843008</v>
      </c>
      <c r="AM936" s="4">
        <v>0.0122760416005731</v>
      </c>
      <c r="AN936" s="4"/>
      <c r="AO936" s="4"/>
      <c r="AP936" s="4">
        <v>-0.498296755414562</v>
      </c>
      <c r="AQ936" s="4">
        <v>0.0143562530821345</v>
      </c>
      <c r="AR936" s="4">
        <v>-0.0263856586813658</v>
      </c>
      <c r="AS936" s="4">
        <v>0.00409043632550118</v>
      </c>
      <c r="AT936" s="4"/>
      <c r="AU936" s="4"/>
      <c r="AV936" s="4"/>
      <c r="AW936" s="4"/>
      <c r="AX936" s="4">
        <v>-0.170032047136726</v>
      </c>
      <c r="AY936" s="4">
        <v>0.0212978052131909</v>
      </c>
      <c r="AZ936" s="4">
        <v>-0.764538310658266</v>
      </c>
      <c r="BA936" s="4">
        <v>0.0041757577659659</v>
      </c>
    </row>
    <row r="937" s="4" customFormat="1" spans="1:53">
      <c r="A937" s="4">
        <v>936</v>
      </c>
      <c r="B937" s="18">
        <v>145</v>
      </c>
      <c r="C937" s="19" t="s">
        <v>453</v>
      </c>
      <c r="D937" s="5" t="s">
        <v>454</v>
      </c>
      <c r="E937" s="9">
        <v>36.734722</v>
      </c>
      <c r="F937" s="9">
        <v>109.274167</v>
      </c>
      <c r="G937" s="20">
        <v>8.8</v>
      </c>
      <c r="H937" s="21">
        <v>510</v>
      </c>
      <c r="I937" s="4">
        <v>1267</v>
      </c>
      <c r="J937" s="13" t="s">
        <v>193</v>
      </c>
      <c r="K937" s="5" t="s">
        <v>182</v>
      </c>
      <c r="L937" s="4">
        <v>2016</v>
      </c>
      <c r="M937" s="4">
        <v>9</v>
      </c>
      <c r="N937" s="5" t="s">
        <v>108</v>
      </c>
      <c r="O937" s="36" t="s">
        <v>80</v>
      </c>
      <c r="P937" s="20"/>
      <c r="Q937" s="4">
        <v>7.21154</v>
      </c>
      <c r="R937" s="4">
        <v>0.96502</v>
      </c>
      <c r="S937" s="13">
        <v>7.47294356593646</v>
      </c>
      <c r="T937" s="21">
        <v>20</v>
      </c>
      <c r="U937" s="21">
        <v>36</v>
      </c>
      <c r="V937" s="21">
        <v>44</v>
      </c>
      <c r="W937" s="18">
        <v>32</v>
      </c>
      <c r="X937" s="13" t="s">
        <v>141</v>
      </c>
      <c r="Y937" s="5" t="s">
        <v>82</v>
      </c>
      <c r="Z937" s="4">
        <v>3</v>
      </c>
      <c r="AA937" s="4">
        <v>3</v>
      </c>
      <c r="AB937" s="9">
        <v>-0.5019635931093</v>
      </c>
      <c r="AC937" s="9">
        <v>0.000256361683990305</v>
      </c>
      <c r="AD937" s="9">
        <v>-0.6558133733797</v>
      </c>
      <c r="AE937" s="9">
        <v>0.00533448946951658</v>
      </c>
      <c r="AF937" s="9">
        <v>-0.1538497802704</v>
      </c>
      <c r="AG937" s="9">
        <v>0.00559085115350688</v>
      </c>
      <c r="AH937" s="9">
        <v>-0.851753424070395</v>
      </c>
      <c r="AI937" s="9">
        <v>0.00694155213105652</v>
      </c>
      <c r="AJ937" s="4">
        <v>0.349789830961097</v>
      </c>
      <c r="AK937" s="4">
        <v>0.0071979138150468</v>
      </c>
      <c r="AL937" s="4">
        <v>0.195940050690695</v>
      </c>
      <c r="AM937" s="4">
        <v>0.0122760416005731</v>
      </c>
      <c r="AN937" s="4"/>
      <c r="AO937" s="4"/>
      <c r="AP937" s="4">
        <v>-0.486691392971746</v>
      </c>
      <c r="AQ937" s="4">
        <v>0.0143562530821345</v>
      </c>
      <c r="AR937" s="4">
        <v>0.0253495380529589</v>
      </c>
      <c r="AS937" s="4">
        <v>0.00409043632550118</v>
      </c>
      <c r="AT937" s="4"/>
      <c r="AU937" s="4"/>
      <c r="AV937" s="4"/>
      <c r="AW937" s="4"/>
      <c r="AX937" s="4">
        <v>-0.121551036884389</v>
      </c>
      <c r="AY937" s="4">
        <v>0.0212978052131909</v>
      </c>
      <c r="AZ937" s="4">
        <v>-0.658331812341184</v>
      </c>
      <c r="BA937" s="4">
        <v>0.0041757577659659</v>
      </c>
    </row>
    <row r="938" s="4" customFormat="1" spans="1:53">
      <c r="A938" s="4">
        <v>937</v>
      </c>
      <c r="B938" s="18">
        <v>145</v>
      </c>
      <c r="C938" s="19" t="s">
        <v>453</v>
      </c>
      <c r="D938" s="5" t="s">
        <v>454</v>
      </c>
      <c r="E938" s="9">
        <v>36.7375</v>
      </c>
      <c r="F938" s="9">
        <v>109.265278</v>
      </c>
      <c r="G938" s="20">
        <v>8.8</v>
      </c>
      <c r="H938" s="21">
        <v>510</v>
      </c>
      <c r="I938" s="4">
        <v>1246</v>
      </c>
      <c r="J938" s="13" t="s">
        <v>193</v>
      </c>
      <c r="K938" s="5" t="s">
        <v>182</v>
      </c>
      <c r="L938" s="4">
        <v>2016</v>
      </c>
      <c r="M938" s="4">
        <v>9</v>
      </c>
      <c r="N938" s="5" t="s">
        <v>108</v>
      </c>
      <c r="O938" s="36" t="s">
        <v>80</v>
      </c>
      <c r="P938" s="20"/>
      <c r="Q938" s="4">
        <v>7.21154</v>
      </c>
      <c r="R938" s="4">
        <v>0.96502</v>
      </c>
      <c r="S938" s="13">
        <v>7.47294356593646</v>
      </c>
      <c r="T938" s="21">
        <v>20</v>
      </c>
      <c r="U938" s="21">
        <v>36</v>
      </c>
      <c r="V938" s="21">
        <v>44</v>
      </c>
      <c r="W938" s="4"/>
      <c r="X938" s="13" t="s">
        <v>141</v>
      </c>
      <c r="Y938" s="5" t="s">
        <v>82</v>
      </c>
      <c r="Z938" s="4">
        <v>3</v>
      </c>
      <c r="AA938" s="4">
        <v>3</v>
      </c>
      <c r="AB938" s="9">
        <v>-0.306655081933573</v>
      </c>
      <c r="AC938" s="9">
        <v>0.000256361683990305</v>
      </c>
      <c r="AD938" s="9">
        <v>-0.619879176205753</v>
      </c>
      <c r="AE938" s="9">
        <v>0.00533448946951658</v>
      </c>
      <c r="AF938" s="9">
        <v>-0.313224094272179</v>
      </c>
      <c r="AG938" s="9">
        <v>0.00559085115350688</v>
      </c>
      <c r="AH938" s="9">
        <v>-0.484508009301543</v>
      </c>
      <c r="AI938" s="9">
        <v>0.0069415521310565</v>
      </c>
      <c r="AJ938" s="4">
        <v>0.177852927367969</v>
      </c>
      <c r="AK938" s="4">
        <v>0.00719791381504681</v>
      </c>
      <c r="AL938" s="4">
        <v>-0.135371166904209</v>
      </c>
      <c r="AM938" s="4">
        <v>0.0122760416005731</v>
      </c>
      <c r="AN938" s="4"/>
      <c r="AO938" s="4"/>
      <c r="AP938" s="4">
        <v>-0.409017970677031</v>
      </c>
      <c r="AQ938" s="4">
        <v>0.0143562530821345</v>
      </c>
      <c r="AR938" s="4">
        <v>0.048952233502266</v>
      </c>
      <c r="AS938" s="4">
        <v>0.00409043632550118</v>
      </c>
      <c r="AT938" s="4"/>
      <c r="AU938" s="4"/>
      <c r="AV938" s="4"/>
      <c r="AW938" s="4"/>
      <c r="AX938" s="4">
        <v>-0.080612941035601</v>
      </c>
      <c r="AY938" s="4">
        <v>0.021297805213191</v>
      </c>
      <c r="AZ938" s="4">
        <v>-0.0916793642970479</v>
      </c>
      <c r="BA938" s="4">
        <v>0.0041757577659659</v>
      </c>
    </row>
    <row r="939" s="3" customFormat="1" spans="1:63">
      <c r="A939" s="4">
        <v>938</v>
      </c>
      <c r="B939" s="6">
        <v>146</v>
      </c>
      <c r="C939" s="24" t="s">
        <v>455</v>
      </c>
      <c r="D939" s="13" t="s">
        <v>456</v>
      </c>
      <c r="E939" s="25">
        <v>42.31</v>
      </c>
      <c r="F939" s="25">
        <v>3.212</v>
      </c>
      <c r="G939" s="26">
        <v>16</v>
      </c>
      <c r="H939" s="27">
        <v>450</v>
      </c>
      <c r="I939" s="3">
        <v>260</v>
      </c>
      <c r="J939" s="13" t="s">
        <v>181</v>
      </c>
      <c r="K939" s="5" t="s">
        <v>182</v>
      </c>
      <c r="L939" s="3">
        <v>2010</v>
      </c>
      <c r="M939" s="3"/>
      <c r="N939" s="3"/>
      <c r="O939" s="36" t="s">
        <v>80</v>
      </c>
      <c r="P939" s="7">
        <v>6.06</v>
      </c>
      <c r="Q939" s="3">
        <f t="shared" ref="Q939:Q941" si="5">(42.53+32.48+35.51+39.14)/4</f>
        <v>37.415</v>
      </c>
      <c r="R939" s="3">
        <f t="shared" ref="R939:R941" si="6">(4.11+2.66+3.14+3.64)/4</f>
        <v>3.3875</v>
      </c>
      <c r="S939" s="13">
        <v>11.0450184501845</v>
      </c>
      <c r="T939" s="21">
        <v>14</v>
      </c>
      <c r="U939" s="8">
        <v>24</v>
      </c>
      <c r="V939" s="8">
        <v>64.1</v>
      </c>
      <c r="W939" s="3"/>
      <c r="X939" s="3"/>
      <c r="Y939" s="13" t="s">
        <v>82</v>
      </c>
      <c r="Z939" s="3">
        <v>3</v>
      </c>
      <c r="AA939" s="3">
        <v>3</v>
      </c>
      <c r="AB939" s="9">
        <v>-1.31117373065178</v>
      </c>
      <c r="AC939" s="9">
        <v>0.000256361683990306</v>
      </c>
      <c r="AD939" s="25">
        <v>-0.674652597923781</v>
      </c>
      <c r="AE939" s="25">
        <v>0.00533448946951657</v>
      </c>
      <c r="AF939" s="9">
        <v>0.636521132728001</v>
      </c>
      <c r="AG939" s="9">
        <v>0.00559085115350688</v>
      </c>
      <c r="AH939" s="25">
        <v>-2.70378295899549</v>
      </c>
      <c r="AI939" s="25">
        <v>0.00694155213105649</v>
      </c>
      <c r="AJ939" s="4">
        <v>1.39260922834371</v>
      </c>
      <c r="AK939" s="4">
        <v>0.00719791381504682</v>
      </c>
      <c r="AL939" s="3">
        <v>2.02913036107171</v>
      </c>
      <c r="AM939" s="3">
        <v>0.012276041600573</v>
      </c>
      <c r="AN939" s="4">
        <v>0.0420094080775432</v>
      </c>
      <c r="AO939" s="4">
        <v>0.000664981470757139</v>
      </c>
      <c r="AP939" s="3">
        <v>-1.55556492249395</v>
      </c>
      <c r="AQ939" s="3">
        <v>0.0143562530821345</v>
      </c>
      <c r="AR939" s="4"/>
      <c r="AS939" s="4"/>
      <c r="AT939" s="3"/>
      <c r="AU939" s="3"/>
      <c r="AV939" s="4"/>
      <c r="AW939" s="4"/>
      <c r="AX939" s="3">
        <v>-0.38873084105368</v>
      </c>
      <c r="AY939" s="3">
        <v>0.021297805213191</v>
      </c>
      <c r="BJ939" s="3">
        <v>0.47907692545141</v>
      </c>
      <c r="BK939" s="3">
        <v>0.000600521013990055</v>
      </c>
    </row>
    <row r="940" s="3" customFormat="1" spans="1:63">
      <c r="A940" s="4">
        <v>939</v>
      </c>
      <c r="B940" s="6">
        <v>146</v>
      </c>
      <c r="C940" s="24" t="s">
        <v>455</v>
      </c>
      <c r="D940" s="13" t="s">
        <v>456</v>
      </c>
      <c r="E940" s="25">
        <v>42.31</v>
      </c>
      <c r="F940" s="25">
        <v>3.212</v>
      </c>
      <c r="G940" s="26">
        <v>16</v>
      </c>
      <c r="H940" s="27">
        <v>450</v>
      </c>
      <c r="I940" s="3">
        <v>260</v>
      </c>
      <c r="J940" s="13" t="s">
        <v>181</v>
      </c>
      <c r="K940" s="5" t="s">
        <v>182</v>
      </c>
      <c r="L940" s="3">
        <v>2010</v>
      </c>
      <c r="M940" s="3"/>
      <c r="N940" s="3"/>
      <c r="O940" s="36" t="s">
        <v>80</v>
      </c>
      <c r="P940" s="7">
        <v>6.06</v>
      </c>
      <c r="Q940" s="3">
        <f t="shared" si="5"/>
        <v>37.415</v>
      </c>
      <c r="R940" s="3">
        <f t="shared" si="6"/>
        <v>3.3875</v>
      </c>
      <c r="S940" s="13">
        <v>11.0450184501845</v>
      </c>
      <c r="T940" s="8">
        <v>11.9</v>
      </c>
      <c r="U940" s="8">
        <v>24</v>
      </c>
      <c r="V940" s="8">
        <v>64.1</v>
      </c>
      <c r="W940" s="3"/>
      <c r="X940" s="3"/>
      <c r="Y940" s="13" t="s">
        <v>82</v>
      </c>
      <c r="Z940" s="3">
        <v>3</v>
      </c>
      <c r="AA940" s="3">
        <v>3</v>
      </c>
      <c r="AB940" s="9">
        <v>0.223272492066113</v>
      </c>
      <c r="AC940" s="9">
        <v>0.000256361683990305</v>
      </c>
      <c r="AD940" s="25">
        <v>0.309443564233294</v>
      </c>
      <c r="AE940" s="25">
        <v>0.00533448946951658</v>
      </c>
      <c r="AF940" s="9">
        <v>0.0861710721671802</v>
      </c>
      <c r="AG940" s="9">
        <v>0.00559085115350688</v>
      </c>
      <c r="AH940" s="25">
        <v>-0.032184188625336</v>
      </c>
      <c r="AI940" s="25">
        <v>0.00694155213105649</v>
      </c>
      <c r="AJ940" s="4">
        <v>0.255456680691454</v>
      </c>
      <c r="AK940" s="4">
        <v>0.00719791381504678</v>
      </c>
      <c r="AL940" s="3">
        <v>0.341627752858629</v>
      </c>
      <c r="AM940" s="3">
        <v>0.012276041600573</v>
      </c>
      <c r="AN940" s="4">
        <v>-0.0525099452719639</v>
      </c>
      <c r="AO940" s="4">
        <v>0.000283159541318635</v>
      </c>
      <c r="AP940" s="3">
        <v>0.255242741704801</v>
      </c>
      <c r="AQ940" s="3">
        <v>0.0143562530821345</v>
      </c>
      <c r="AR940" s="4"/>
      <c r="AS940" s="4"/>
      <c r="AT940" s="3"/>
      <c r="AU940" s="3"/>
      <c r="AV940" s="4"/>
      <c r="AW940" s="4"/>
      <c r="AX940" s="3">
        <v>-0.156366098354222</v>
      </c>
      <c r="AY940" s="3">
        <v>0.021297805213191</v>
      </c>
      <c r="BJ940" s="3">
        <v>0.145182009844498</v>
      </c>
      <c r="BK940" s="3">
        <v>0.00116448796769743</v>
      </c>
    </row>
    <row r="941" s="3" customFormat="1" spans="1:63">
      <c r="A941" s="4">
        <v>940</v>
      </c>
      <c r="B941" s="6">
        <v>146</v>
      </c>
      <c r="C941" s="24" t="s">
        <v>455</v>
      </c>
      <c r="D941" s="13" t="s">
        <v>456</v>
      </c>
      <c r="E941" s="25">
        <v>42.31</v>
      </c>
      <c r="F941" s="25">
        <v>3.212</v>
      </c>
      <c r="G941" s="26">
        <v>16</v>
      </c>
      <c r="H941" s="27">
        <v>450</v>
      </c>
      <c r="I941" s="3">
        <v>260</v>
      </c>
      <c r="J941" s="13" t="s">
        <v>237</v>
      </c>
      <c r="K941" s="5" t="s">
        <v>78</v>
      </c>
      <c r="L941" s="3">
        <v>2010</v>
      </c>
      <c r="M941" s="3"/>
      <c r="N941" s="3"/>
      <c r="O941" s="28" t="s">
        <v>80</v>
      </c>
      <c r="P941" s="7">
        <v>6.06</v>
      </c>
      <c r="Q941" s="3">
        <f t="shared" si="5"/>
        <v>37.415</v>
      </c>
      <c r="R941" s="3">
        <f t="shared" si="6"/>
        <v>3.3875</v>
      </c>
      <c r="S941" s="13">
        <v>11.0450184501845</v>
      </c>
      <c r="T941" s="8">
        <v>11.9</v>
      </c>
      <c r="U941" s="8">
        <v>24</v>
      </c>
      <c r="V941" s="8">
        <v>64.1</v>
      </c>
      <c r="W941" s="3"/>
      <c r="X941" s="3"/>
      <c r="Y941" s="13" t="s">
        <v>82</v>
      </c>
      <c r="Z941" s="3">
        <v>3</v>
      </c>
      <c r="AA941" s="3">
        <v>3</v>
      </c>
      <c r="AB941" s="9">
        <v>-0.0563622807299419</v>
      </c>
      <c r="AC941" s="9">
        <v>0.000256361683990305</v>
      </c>
      <c r="AD941" s="25">
        <v>0</v>
      </c>
      <c r="AE941" s="25">
        <v>0.00533448946951658</v>
      </c>
      <c r="AF941" s="9">
        <v>0.0563622807299434</v>
      </c>
      <c r="AG941" s="9">
        <v>0.00559085115350687</v>
      </c>
      <c r="AH941" s="25">
        <v>-0.226221918196762</v>
      </c>
      <c r="AI941" s="25">
        <v>0.00694155213105649</v>
      </c>
      <c r="AJ941" s="4">
        <v>0.169859637466819</v>
      </c>
      <c r="AK941" s="4">
        <v>0.00719791381504686</v>
      </c>
      <c r="AL941" s="3">
        <v>0.22622191819676</v>
      </c>
      <c r="AM941" s="3">
        <v>0.012276041600573</v>
      </c>
      <c r="AN941" s="4">
        <v>0.0623703307264581</v>
      </c>
      <c r="AO941" s="4">
        <v>0.000789622488586347</v>
      </c>
      <c r="AP941" s="3">
        <v>-0.146797705522</v>
      </c>
      <c r="AQ941" s="3">
        <v>0.0143562530821345</v>
      </c>
      <c r="AR941" s="4"/>
      <c r="AS941" s="4"/>
      <c r="AT941" s="3"/>
      <c r="AU941" s="3"/>
      <c r="AV941" s="4"/>
      <c r="AW941" s="4"/>
      <c r="AX941" s="3">
        <v>-0.271771894186032</v>
      </c>
      <c r="AY941" s="3">
        <v>0.021297805213191</v>
      </c>
      <c r="BJ941" s="3">
        <v>0.189241999638528</v>
      </c>
      <c r="BK941" s="3">
        <v>0.00110287438895495</v>
      </c>
    </row>
    <row r="942" s="3" customFormat="1" spans="1:53">
      <c r="A942" s="4">
        <v>941</v>
      </c>
      <c r="B942" s="12">
        <v>147</v>
      </c>
      <c r="C942" s="48" t="s">
        <v>457</v>
      </c>
      <c r="D942" s="49" t="s">
        <v>458</v>
      </c>
      <c r="E942" s="49">
        <v>-21.75</v>
      </c>
      <c r="F942" s="49">
        <v>45.5</v>
      </c>
      <c r="G942" s="26">
        <v>18</v>
      </c>
      <c r="H942" s="27">
        <v>1750</v>
      </c>
      <c r="I942" s="49">
        <v>1600</v>
      </c>
      <c r="J942" s="13" t="s">
        <v>188</v>
      </c>
      <c r="K942" s="5" t="s">
        <v>182</v>
      </c>
      <c r="L942" s="12">
        <v>2019</v>
      </c>
      <c r="M942" s="12">
        <v>5</v>
      </c>
      <c r="N942" s="49" t="s">
        <v>108</v>
      </c>
      <c r="O942" s="36" t="s">
        <v>80</v>
      </c>
      <c r="P942" s="20"/>
      <c r="Q942" s="12">
        <v>4.36</v>
      </c>
      <c r="R942" s="3">
        <v>1.639999986</v>
      </c>
      <c r="S942" s="13">
        <v>2.65853660806068</v>
      </c>
      <c r="T942" s="50">
        <v>39.9</v>
      </c>
      <c r="U942" s="50">
        <v>26.3</v>
      </c>
      <c r="V942" s="50">
        <v>29.8</v>
      </c>
      <c r="W942" s="3">
        <v>100</v>
      </c>
      <c r="X942" s="13" t="s">
        <v>141</v>
      </c>
      <c r="Y942" s="13" t="s">
        <v>82</v>
      </c>
      <c r="Z942" s="3">
        <v>5</v>
      </c>
      <c r="AA942" s="3">
        <v>5</v>
      </c>
      <c r="AB942" s="9">
        <v>0.998033351344642</v>
      </c>
      <c r="AC942" s="9">
        <v>0.000153817010394183</v>
      </c>
      <c r="AD942" s="25">
        <v>0.163763706043317</v>
      </c>
      <c r="AE942" s="25">
        <v>0.00320069368170995</v>
      </c>
      <c r="AF942" s="9">
        <v>-0.834269645301324</v>
      </c>
      <c r="AG942" s="9">
        <v>0.00335451069210414</v>
      </c>
      <c r="AH942" s="25">
        <v>0.265615570655793</v>
      </c>
      <c r="AI942" s="25">
        <v>0.0041649312786339</v>
      </c>
      <c r="AJ942" s="4">
        <v>0.732417780688849</v>
      </c>
      <c r="AK942" s="4">
        <v>0.00431874828902809</v>
      </c>
      <c r="AL942" s="3">
        <v>-0.101851864612477</v>
      </c>
      <c r="AM942" s="3">
        <v>0.00736562496034387</v>
      </c>
      <c r="AN942" s="4">
        <v>0.0136676387286636</v>
      </c>
      <c r="AO942" s="4">
        <v>0.000225730435227928</v>
      </c>
      <c r="AP942" s="3"/>
      <c r="AQ942" s="3"/>
      <c r="AR942" s="4"/>
      <c r="AS942" s="4"/>
      <c r="AT942" s="3"/>
      <c r="AU942" s="3"/>
      <c r="AV942" s="4"/>
      <c r="AW942" s="4"/>
      <c r="AX942" s="3">
        <v>-0.584441452549125</v>
      </c>
      <c r="AY942" s="3">
        <v>0.021297805213191</v>
      </c>
      <c r="AZ942" s="3">
        <v>0.0444517625708338</v>
      </c>
      <c r="BA942" s="3">
        <v>0.00250545465957954</v>
      </c>
    </row>
    <row r="943" s="3" customFormat="1" spans="1:53">
      <c r="A943" s="4">
        <v>942</v>
      </c>
      <c r="B943" s="12">
        <v>147</v>
      </c>
      <c r="C943" s="48" t="s">
        <v>457</v>
      </c>
      <c r="D943" s="49" t="s">
        <v>458</v>
      </c>
      <c r="E943" s="49">
        <v>-21.75</v>
      </c>
      <c r="F943" s="49">
        <v>45.5</v>
      </c>
      <c r="G943" s="26">
        <v>18</v>
      </c>
      <c r="H943" s="27">
        <v>1750</v>
      </c>
      <c r="I943" s="49">
        <v>1600</v>
      </c>
      <c r="J943" s="13" t="s">
        <v>188</v>
      </c>
      <c r="K943" s="5" t="s">
        <v>182</v>
      </c>
      <c r="L943" s="12">
        <v>2019</v>
      </c>
      <c r="M943" s="12">
        <v>5</v>
      </c>
      <c r="N943" s="49" t="s">
        <v>108</v>
      </c>
      <c r="O943" s="36" t="s">
        <v>80</v>
      </c>
      <c r="P943" s="20"/>
      <c r="Q943" s="12">
        <v>4.8</v>
      </c>
      <c r="R943" s="3">
        <v>1.639999986</v>
      </c>
      <c r="S943" s="13">
        <v>2.92682929327781</v>
      </c>
      <c r="T943" s="50">
        <v>36.4</v>
      </c>
      <c r="U943" s="50">
        <v>45.5</v>
      </c>
      <c r="V943" s="50">
        <v>18</v>
      </c>
      <c r="W943" s="3">
        <v>100</v>
      </c>
      <c r="X943" s="13" t="s">
        <v>141</v>
      </c>
      <c r="Y943" s="13" t="s">
        <v>82</v>
      </c>
      <c r="Z943" s="3">
        <v>5</v>
      </c>
      <c r="AA943" s="3">
        <v>5</v>
      </c>
      <c r="AB943" s="9">
        <v>0.328696819478415</v>
      </c>
      <c r="AC943" s="9">
        <v>0.000153817010394183</v>
      </c>
      <c r="AD943" s="25">
        <v>0.0916913580021932</v>
      </c>
      <c r="AE943" s="25">
        <v>0.00320069368170994</v>
      </c>
      <c r="AF943" s="9">
        <v>-0.237005461476222</v>
      </c>
      <c r="AG943" s="9">
        <v>0.00335451069210412</v>
      </c>
      <c r="AH943" s="25">
        <v>0.160138273496024</v>
      </c>
      <c r="AI943" s="25">
        <v>0.00416493127863391</v>
      </c>
      <c r="AJ943" s="4">
        <v>0.168558545982394</v>
      </c>
      <c r="AK943" s="4">
        <v>0.0043187482890281</v>
      </c>
      <c r="AL943" s="3">
        <v>-0.0684469154938313</v>
      </c>
      <c r="AM943" s="3">
        <v>0.00736562496034388</v>
      </c>
      <c r="AN943" s="4">
        <v>-0.0824762218242384</v>
      </c>
      <c r="AO943" s="4">
        <v>0.000225730435227927</v>
      </c>
      <c r="AP943" s="3"/>
      <c r="AQ943" s="3"/>
      <c r="AR943" s="4"/>
      <c r="AS943" s="4"/>
      <c r="AT943" s="3"/>
      <c r="AU943" s="3"/>
      <c r="AV943" s="4"/>
      <c r="AW943" s="4"/>
      <c r="AX943" s="3">
        <v>-0.365062031098648</v>
      </c>
      <c r="AY943" s="3">
        <v>0.021297805213191</v>
      </c>
      <c r="AZ943" s="3">
        <v>0.0531474695383878</v>
      </c>
      <c r="BA943" s="3">
        <v>0.00250545465957954</v>
      </c>
    </row>
    <row r="944" s="4" customFormat="1" spans="1:53">
      <c r="A944" s="4">
        <v>943</v>
      </c>
      <c r="B944" s="5">
        <v>148</v>
      </c>
      <c r="C944" s="48" t="s">
        <v>459</v>
      </c>
      <c r="D944" s="5" t="s">
        <v>460</v>
      </c>
      <c r="E944" s="5">
        <v>-28.2</v>
      </c>
      <c r="F944" s="5">
        <v>152.1</v>
      </c>
      <c r="G944" s="20">
        <v>17.5</v>
      </c>
      <c r="H944" s="21">
        <v>685</v>
      </c>
      <c r="I944" s="5"/>
      <c r="J944" s="5" t="s">
        <v>94</v>
      </c>
      <c r="K944" s="5" t="s">
        <v>78</v>
      </c>
      <c r="L944" s="5">
        <v>2022</v>
      </c>
      <c r="M944" s="5">
        <v>4</v>
      </c>
      <c r="N944" s="5" t="s">
        <v>108</v>
      </c>
      <c r="O944" s="28" t="s">
        <v>80</v>
      </c>
      <c r="P944" s="20">
        <v>7.15</v>
      </c>
      <c r="Q944" s="5"/>
      <c r="R944" s="5"/>
      <c r="S944" s="13"/>
      <c r="T944" s="21">
        <v>65</v>
      </c>
      <c r="U944" s="21">
        <v>27</v>
      </c>
      <c r="V944" s="21">
        <v>8</v>
      </c>
      <c r="W944" s="5">
        <v>54</v>
      </c>
      <c r="X944" s="13" t="s">
        <v>141</v>
      </c>
      <c r="Y944" s="5" t="s">
        <v>82</v>
      </c>
      <c r="Z944" s="5">
        <v>4</v>
      </c>
      <c r="AA944" s="5">
        <v>4</v>
      </c>
      <c r="AB944" s="9">
        <v>0.0476280489892547</v>
      </c>
      <c r="AC944" s="9">
        <v>0.0347109906185925</v>
      </c>
      <c r="AD944" s="9">
        <v>-0.435318071257846</v>
      </c>
      <c r="AE944" s="9">
        <v>0.187744859732906</v>
      </c>
      <c r="AF944" s="9">
        <v>-0.482946120247102</v>
      </c>
      <c r="AG944" s="9">
        <v>0.222455850351499</v>
      </c>
      <c r="AH944" s="9">
        <v>0.0103574204004537</v>
      </c>
      <c r="AI944" s="9">
        <v>0.000545938721945978</v>
      </c>
      <c r="AJ944" s="4">
        <v>0.0372706285888008</v>
      </c>
      <c r="AK944" s="4">
        <v>0.0352569293405384</v>
      </c>
      <c r="AL944" s="4">
        <v>-0.445675491658299</v>
      </c>
      <c r="AM944" s="4">
        <v>0.188290798454852</v>
      </c>
      <c r="AN944" s="4"/>
      <c r="AO944" s="4"/>
      <c r="AP944" s="4">
        <v>0.0279087881170767</v>
      </c>
      <c r="AQ944" s="4">
        <v>0.00138705656775723</v>
      </c>
      <c r="AR944" s="4"/>
      <c r="AS944" s="4"/>
      <c r="AT944" s="4"/>
      <c r="AU944" s="4"/>
      <c r="AV944" s="4">
        <v>0.0563359628504254</v>
      </c>
      <c r="AW944" s="4">
        <v>0.00188744848525809</v>
      </c>
      <c r="AX944" s="4">
        <v>-0.0754900386245135</v>
      </c>
      <c r="AY944" s="4">
        <v>0.0212978052131909</v>
      </c>
      <c r="AZ944" s="4">
        <v>0.221236973043628</v>
      </c>
      <c r="BA944" s="4">
        <v>0.0128355638430809</v>
      </c>
    </row>
    <row r="945" s="4" customFormat="1" spans="1:53">
      <c r="A945" s="4">
        <v>944</v>
      </c>
      <c r="B945" s="5">
        <v>148</v>
      </c>
      <c r="C945" s="48" t="s">
        <v>459</v>
      </c>
      <c r="D945" s="5" t="s">
        <v>460</v>
      </c>
      <c r="E945" s="5">
        <v>-28.2</v>
      </c>
      <c r="F945" s="5">
        <v>152.1</v>
      </c>
      <c r="G945" s="20">
        <v>17.5</v>
      </c>
      <c r="H945" s="21">
        <v>685</v>
      </c>
      <c r="I945" s="5"/>
      <c r="J945" s="5" t="s">
        <v>94</v>
      </c>
      <c r="K945" s="5" t="s">
        <v>78</v>
      </c>
      <c r="L945" s="5">
        <v>2022</v>
      </c>
      <c r="M945" s="5">
        <v>4</v>
      </c>
      <c r="N945" s="5" t="s">
        <v>108</v>
      </c>
      <c r="O945" s="28" t="s">
        <v>80</v>
      </c>
      <c r="P945" s="20">
        <v>7.15</v>
      </c>
      <c r="Q945" s="5"/>
      <c r="R945" s="5"/>
      <c r="S945" s="13"/>
      <c r="T945" s="21">
        <v>65</v>
      </c>
      <c r="U945" s="21">
        <v>27</v>
      </c>
      <c r="V945" s="21">
        <v>8</v>
      </c>
      <c r="W945" s="5">
        <v>54</v>
      </c>
      <c r="X945" s="13" t="s">
        <v>141</v>
      </c>
      <c r="Y945" s="5" t="s">
        <v>82</v>
      </c>
      <c r="Z945" s="5">
        <v>4</v>
      </c>
      <c r="AA945" s="5">
        <v>4</v>
      </c>
      <c r="AB945" s="9">
        <v>0.355454687533503</v>
      </c>
      <c r="AC945" s="9">
        <v>0.0151226761922852</v>
      </c>
      <c r="AD945" s="9">
        <v>1.2776605201171</v>
      </c>
      <c r="AE945" s="9">
        <v>0.131923088725823</v>
      </c>
      <c r="AF945" s="9">
        <v>0.92220583258359</v>
      </c>
      <c r="AG945" s="9">
        <v>0.147045764918109</v>
      </c>
      <c r="AH945" s="9">
        <v>0.0717999638328967</v>
      </c>
      <c r="AI945" s="9">
        <v>0.000809651215323401</v>
      </c>
      <c r="AJ945" s="4">
        <v>0.283654723700606</v>
      </c>
      <c r="AK945" s="4">
        <v>0.0159323274076086</v>
      </c>
      <c r="AL945" s="4">
        <v>1.2058605562842</v>
      </c>
      <c r="AM945" s="4">
        <v>0.132732739941147</v>
      </c>
      <c r="AN945" s="4"/>
      <c r="AO945" s="4"/>
      <c r="AP945" s="4">
        <v>0.132351451484674</v>
      </c>
      <c r="AQ945" s="4">
        <v>0.00119269005882791</v>
      </c>
      <c r="AR945" s="4"/>
      <c r="AS945" s="4"/>
      <c r="AT945" s="4"/>
      <c r="AU945" s="4"/>
      <c r="AV945" s="4">
        <v>-0.210549280856847</v>
      </c>
      <c r="AW945" s="4">
        <v>0.00323069970452222</v>
      </c>
      <c r="AX945" s="4">
        <v>-1.14821803650155</v>
      </c>
      <c r="AY945" s="4">
        <v>0.021297805213191</v>
      </c>
      <c r="AZ945" s="4">
        <v>0.0996298409488411</v>
      </c>
      <c r="BA945" s="4">
        <v>0.00862473576430176</v>
      </c>
    </row>
    <row r="946" s="4" customFormat="1" spans="1:53">
      <c r="A946" s="4">
        <v>945</v>
      </c>
      <c r="B946" s="5">
        <v>148</v>
      </c>
      <c r="C946" s="48" t="s">
        <v>459</v>
      </c>
      <c r="D946" s="5" t="s">
        <v>460</v>
      </c>
      <c r="E946" s="5">
        <v>-28.2</v>
      </c>
      <c r="F946" s="5">
        <v>152.1</v>
      </c>
      <c r="G946" s="20">
        <v>17.5</v>
      </c>
      <c r="H946" s="21">
        <v>685</v>
      </c>
      <c r="I946" s="5"/>
      <c r="J946" s="5" t="s">
        <v>94</v>
      </c>
      <c r="K946" s="5" t="s">
        <v>78</v>
      </c>
      <c r="L946" s="5">
        <v>2022</v>
      </c>
      <c r="M946" s="5">
        <v>4</v>
      </c>
      <c r="N946" s="5" t="s">
        <v>108</v>
      </c>
      <c r="O946" s="28" t="s">
        <v>80</v>
      </c>
      <c r="P946" s="20">
        <v>7.15</v>
      </c>
      <c r="Q946" s="5"/>
      <c r="R946" s="5"/>
      <c r="S946" s="13"/>
      <c r="T946" s="21">
        <v>65</v>
      </c>
      <c r="U946" s="21">
        <v>27</v>
      </c>
      <c r="V946" s="21">
        <v>8</v>
      </c>
      <c r="W946" s="5">
        <v>54</v>
      </c>
      <c r="X946" s="13" t="s">
        <v>141</v>
      </c>
      <c r="Y946" s="5" t="s">
        <v>82</v>
      </c>
      <c r="Z946" s="5">
        <v>4</v>
      </c>
      <c r="AA946" s="5">
        <v>4</v>
      </c>
      <c r="AB946" s="9">
        <v>0.0800427076735366</v>
      </c>
      <c r="AC946" s="9">
        <v>0.0175440961949375</v>
      </c>
      <c r="AD946" s="9">
        <v>0.22314355131421</v>
      </c>
      <c r="AE946" s="9">
        <v>0.035225</v>
      </c>
      <c r="AF946" s="9">
        <v>0.143100843640673</v>
      </c>
      <c r="AG946" s="9">
        <v>0.0527690961949376</v>
      </c>
      <c r="AH946" s="9">
        <v>0.0400475011292753</v>
      </c>
      <c r="AI946" s="9">
        <v>0.000424891583471833</v>
      </c>
      <c r="AJ946" s="4">
        <v>0.0399952065442617</v>
      </c>
      <c r="AK946" s="4">
        <v>0.0179689877784093</v>
      </c>
      <c r="AL946" s="4">
        <v>0.183096050184938</v>
      </c>
      <c r="AM946" s="4">
        <v>0.0356498915834717</v>
      </c>
      <c r="AN946" s="4"/>
      <c r="AO946" s="4"/>
      <c r="AP946" s="4">
        <v>0.0535842461341063</v>
      </c>
      <c r="AQ946" s="4">
        <v>0.000661967790545468</v>
      </c>
      <c r="AR946" s="4"/>
      <c r="AS946" s="4"/>
      <c r="AT946" s="4"/>
      <c r="AU946" s="4"/>
      <c r="AV946" s="4">
        <v>0.005986444692664</v>
      </c>
      <c r="AW946" s="4">
        <v>0.00321257312705332</v>
      </c>
      <c r="AX946" s="4">
        <v>-0.287426930330137</v>
      </c>
      <c r="AY946" s="4">
        <v>0.021297805213191</v>
      </c>
      <c r="AZ946" s="4">
        <v>0.225083416132036</v>
      </c>
      <c r="BA946" s="4">
        <v>0.00312803236448737</v>
      </c>
    </row>
    <row r="947" s="4" customFormat="1" spans="1:53">
      <c r="A947" s="4">
        <v>946</v>
      </c>
      <c r="B947" s="5">
        <v>148</v>
      </c>
      <c r="C947" s="48" t="s">
        <v>459</v>
      </c>
      <c r="D947" s="5" t="s">
        <v>460</v>
      </c>
      <c r="E947" s="5">
        <v>-28.2</v>
      </c>
      <c r="F947" s="5">
        <v>152.1</v>
      </c>
      <c r="G947" s="20">
        <v>17.5</v>
      </c>
      <c r="H947" s="21">
        <v>685</v>
      </c>
      <c r="I947" s="5"/>
      <c r="J947" s="5" t="s">
        <v>94</v>
      </c>
      <c r="K947" s="5" t="s">
        <v>78</v>
      </c>
      <c r="L947" s="5">
        <v>2022</v>
      </c>
      <c r="M947" s="5">
        <v>4</v>
      </c>
      <c r="N947" s="5" t="s">
        <v>108</v>
      </c>
      <c r="O947" s="28" t="s">
        <v>80</v>
      </c>
      <c r="P947" s="20">
        <v>7.15</v>
      </c>
      <c r="Q947" s="5"/>
      <c r="R947" s="5"/>
      <c r="S947" s="13"/>
      <c r="T947" s="21">
        <v>65</v>
      </c>
      <c r="U947" s="21">
        <v>27</v>
      </c>
      <c r="V947" s="21">
        <v>8</v>
      </c>
      <c r="W947" s="5">
        <v>54</v>
      </c>
      <c r="X947" s="13" t="s">
        <v>141</v>
      </c>
      <c r="Y947" s="5" t="s">
        <v>82</v>
      </c>
      <c r="Z947" s="5">
        <v>4</v>
      </c>
      <c r="AA947" s="5">
        <v>4</v>
      </c>
      <c r="AB947" s="9">
        <v>0.656007633610489</v>
      </c>
      <c r="AC947" s="9">
        <v>0.0250684838132051</v>
      </c>
      <c r="AD947" s="9">
        <v>1.23837423104327</v>
      </c>
      <c r="AE947" s="9">
        <v>0.0597858905692082</v>
      </c>
      <c r="AF947" s="9">
        <v>0.582366597432781</v>
      </c>
      <c r="AG947" s="9">
        <v>0.0848543743824131</v>
      </c>
      <c r="AH947" s="9">
        <v>0.153689744119627</v>
      </c>
      <c r="AI947" s="9">
        <v>0.00109616085857958</v>
      </c>
      <c r="AJ947" s="4">
        <v>0.502317889490863</v>
      </c>
      <c r="AK947" s="4">
        <v>0.0261646446717846</v>
      </c>
      <c r="AL947" s="4">
        <v>1.08468448692364</v>
      </c>
      <c r="AM947" s="4">
        <v>0.060882051427788</v>
      </c>
      <c r="AN947" s="4"/>
      <c r="AO947" s="4"/>
      <c r="AP947" s="4">
        <v>0.228633043598981</v>
      </c>
      <c r="AQ947" s="4">
        <v>0.00152136158844715</v>
      </c>
      <c r="AR947" s="4"/>
      <c r="AS947" s="4"/>
      <c r="AT947" s="4"/>
      <c r="AU947" s="4"/>
      <c r="AV947" s="4">
        <v>-0.0821752535999345</v>
      </c>
      <c r="AW947" s="4">
        <v>0.00634970110303633</v>
      </c>
      <c r="AX947" s="4">
        <v>-0.0794242126747624</v>
      </c>
      <c r="AY947" s="4">
        <v>0.021297805213191</v>
      </c>
      <c r="AZ947" s="4">
        <v>0.321098069371625</v>
      </c>
      <c r="BA947" s="4">
        <v>0.007730562633647</v>
      </c>
    </row>
    <row r="948" s="4" customFormat="1" spans="1:53">
      <c r="A948" s="4">
        <v>947</v>
      </c>
      <c r="B948" s="5">
        <v>148</v>
      </c>
      <c r="C948" s="48" t="s">
        <v>459</v>
      </c>
      <c r="D948" s="5" t="s">
        <v>460</v>
      </c>
      <c r="E948" s="5">
        <v>-28.2</v>
      </c>
      <c r="F948" s="5">
        <v>152.1</v>
      </c>
      <c r="G948" s="20">
        <v>17.5</v>
      </c>
      <c r="H948" s="21">
        <v>685</v>
      </c>
      <c r="I948" s="5"/>
      <c r="J948" s="5" t="s">
        <v>94</v>
      </c>
      <c r="K948" s="5" t="s">
        <v>78</v>
      </c>
      <c r="L948" s="5">
        <v>2022</v>
      </c>
      <c r="M948" s="5">
        <v>4</v>
      </c>
      <c r="N948" s="5" t="s">
        <v>108</v>
      </c>
      <c r="O948" s="28" t="s">
        <v>80</v>
      </c>
      <c r="P948" s="20">
        <v>7.15</v>
      </c>
      <c r="Q948" s="5"/>
      <c r="R948" s="5"/>
      <c r="S948" s="13"/>
      <c r="T948" s="21">
        <v>65</v>
      </c>
      <c r="U948" s="21">
        <v>27</v>
      </c>
      <c r="V948" s="21">
        <v>8</v>
      </c>
      <c r="W948" s="5">
        <v>54</v>
      </c>
      <c r="X948" s="13" t="s">
        <v>141</v>
      </c>
      <c r="Y948" s="5" t="s">
        <v>82</v>
      </c>
      <c r="Z948" s="5">
        <v>4</v>
      </c>
      <c r="AA948" s="5">
        <v>4</v>
      </c>
      <c r="AB948" s="9">
        <v>0.291351801340743</v>
      </c>
      <c r="AC948" s="9">
        <v>0.0272462687650765</v>
      </c>
      <c r="AD948" s="9">
        <v>2.81341071676004</v>
      </c>
      <c r="AE948" s="9">
        <v>0.174011111111111</v>
      </c>
      <c r="AF948" s="9">
        <v>2.52205891541929</v>
      </c>
      <c r="AG948" s="9">
        <v>0.201257379876187</v>
      </c>
      <c r="AH948" s="9">
        <v>-0.0134446768382973</v>
      </c>
      <c r="AI948" s="9">
        <v>0.000232686770336066</v>
      </c>
      <c r="AJ948" s="4">
        <v>0.304796478179042</v>
      </c>
      <c r="AK948" s="4">
        <v>0.0274789555354124</v>
      </c>
      <c r="AL948" s="4">
        <v>2.82685539359833</v>
      </c>
      <c r="AM948" s="4">
        <v>0.174243797881446</v>
      </c>
      <c r="AN948" s="4"/>
      <c r="AO948" s="4"/>
      <c r="AP948" s="4">
        <v>-0.0192313619278876</v>
      </c>
      <c r="AQ948" s="4">
        <v>0.00018496253875918</v>
      </c>
      <c r="AR948" s="4"/>
      <c r="AS948" s="4"/>
      <c r="AT948" s="4"/>
      <c r="AU948" s="4"/>
      <c r="AV948" s="4">
        <v>0.0426396379150991</v>
      </c>
      <c r="AW948" s="4">
        <v>0.00377483164457223</v>
      </c>
      <c r="AX948" s="4"/>
      <c r="AY948" s="4"/>
      <c r="AZ948" s="4">
        <v>0.0953101798043247</v>
      </c>
      <c r="BA948" s="4">
        <v>0.0086328125</v>
      </c>
    </row>
    <row r="949" s="4" customFormat="1" spans="1:53">
      <c r="A949" s="4">
        <v>948</v>
      </c>
      <c r="B949" s="5">
        <v>148</v>
      </c>
      <c r="C949" s="48" t="s">
        <v>459</v>
      </c>
      <c r="D949" s="5" t="s">
        <v>460</v>
      </c>
      <c r="E949" s="5">
        <v>-28.2</v>
      </c>
      <c r="F949" s="5">
        <v>152.1</v>
      </c>
      <c r="G949" s="20">
        <v>17.5</v>
      </c>
      <c r="H949" s="21">
        <v>685</v>
      </c>
      <c r="I949" s="5"/>
      <c r="J949" s="5" t="s">
        <v>94</v>
      </c>
      <c r="K949" s="5" t="s">
        <v>78</v>
      </c>
      <c r="L949" s="5">
        <v>2022</v>
      </c>
      <c r="M949" s="5">
        <v>4</v>
      </c>
      <c r="N949" s="5" t="s">
        <v>108</v>
      </c>
      <c r="O949" s="28" t="s">
        <v>80</v>
      </c>
      <c r="P949" s="20">
        <v>7.15</v>
      </c>
      <c r="Q949" s="5"/>
      <c r="R949" s="5"/>
      <c r="S949" s="13"/>
      <c r="T949" s="21">
        <v>65</v>
      </c>
      <c r="U949" s="21">
        <v>27</v>
      </c>
      <c r="V949" s="21">
        <v>8</v>
      </c>
      <c r="W949" s="5">
        <v>54</v>
      </c>
      <c r="X949" s="13" t="s">
        <v>141</v>
      </c>
      <c r="Y949" s="5" t="s">
        <v>82</v>
      </c>
      <c r="Z949" s="5">
        <v>4</v>
      </c>
      <c r="AA949" s="5">
        <v>4</v>
      </c>
      <c r="AB949" s="9">
        <v>0.187211542088146</v>
      </c>
      <c r="AC949" s="9">
        <v>0.0409335574783505</v>
      </c>
      <c r="AD949" s="9">
        <v>1.70474809223843</v>
      </c>
      <c r="AE949" s="9">
        <v>0.247991276400367</v>
      </c>
      <c r="AF949" s="9">
        <v>1.51753655015028</v>
      </c>
      <c r="AG949" s="9">
        <v>0.288924833878718</v>
      </c>
      <c r="AH949" s="9">
        <v>-0.00535619920052485</v>
      </c>
      <c r="AI949" s="9">
        <v>0.000699071231220377</v>
      </c>
      <c r="AJ949" s="4">
        <v>0.192567741288673</v>
      </c>
      <c r="AK949" s="4">
        <v>0.0416326287095707</v>
      </c>
      <c r="AL949" s="4">
        <v>1.71010429143895</v>
      </c>
      <c r="AM949" s="4">
        <v>0.248690347631587</v>
      </c>
      <c r="AN949" s="4"/>
      <c r="AO949" s="4"/>
      <c r="AP949" s="4">
        <v>0.0188684843043827</v>
      </c>
      <c r="AQ949" s="4">
        <v>0.000876797803291695</v>
      </c>
      <c r="AR949" s="4"/>
      <c r="AS949" s="4"/>
      <c r="AT949" s="4"/>
      <c r="AU949" s="4"/>
      <c r="AV949" s="4">
        <v>-0.078123908987287</v>
      </c>
      <c r="AW949" s="4">
        <v>0.00779123491970061</v>
      </c>
      <c r="AX949" s="4"/>
      <c r="AY949" s="4"/>
      <c r="AZ949" s="4">
        <v>0.161268147596122</v>
      </c>
      <c r="BA949" s="4">
        <v>0.0138936064112721</v>
      </c>
    </row>
    <row r="950" s="4" customFormat="1" spans="1:53">
      <c r="A950" s="4">
        <v>949</v>
      </c>
      <c r="B950" s="5">
        <v>148</v>
      </c>
      <c r="C950" s="48" t="s">
        <v>459</v>
      </c>
      <c r="D950" s="5" t="s">
        <v>460</v>
      </c>
      <c r="E950" s="5">
        <v>-28.2</v>
      </c>
      <c r="F950" s="5">
        <v>152.1</v>
      </c>
      <c r="G950" s="20">
        <v>17.5</v>
      </c>
      <c r="H950" s="21">
        <v>685</v>
      </c>
      <c r="I950" s="5"/>
      <c r="J950" s="5" t="s">
        <v>94</v>
      </c>
      <c r="K950" s="5" t="s">
        <v>78</v>
      </c>
      <c r="L950" s="5">
        <v>2022</v>
      </c>
      <c r="M950" s="5">
        <v>4</v>
      </c>
      <c r="N950" s="5" t="s">
        <v>108</v>
      </c>
      <c r="O950" s="28" t="s">
        <v>80</v>
      </c>
      <c r="P950" s="20">
        <v>7.15</v>
      </c>
      <c r="Q950" s="5"/>
      <c r="R950" s="5"/>
      <c r="S950" s="13"/>
      <c r="T950" s="21">
        <v>65</v>
      </c>
      <c r="U950" s="21">
        <v>27</v>
      </c>
      <c r="V950" s="21">
        <v>8</v>
      </c>
      <c r="W950" s="5">
        <v>54</v>
      </c>
      <c r="X950" s="13" t="s">
        <v>141</v>
      </c>
      <c r="Y950" s="5" t="s">
        <v>82</v>
      </c>
      <c r="Z950" s="5">
        <v>4</v>
      </c>
      <c r="AA950" s="5">
        <v>4</v>
      </c>
      <c r="AB950" s="9">
        <v>0.401795379219202</v>
      </c>
      <c r="AC950" s="9">
        <v>0.0174937709159543</v>
      </c>
      <c r="AD950" s="9">
        <v>1.55462967593911</v>
      </c>
      <c r="AE950" s="9">
        <v>0.0905979854085389</v>
      </c>
      <c r="AF950" s="9">
        <v>1.1528342967199</v>
      </c>
      <c r="AG950" s="9">
        <v>0.108091756324493</v>
      </c>
      <c r="AH950" s="9">
        <v>0.0847480108520574</v>
      </c>
      <c r="AI950" s="9">
        <v>0.00084104145528084</v>
      </c>
      <c r="AJ950" s="4">
        <v>0.317047368367144</v>
      </c>
      <c r="AK950" s="4">
        <v>0.0183348123712351</v>
      </c>
      <c r="AL950" s="4">
        <v>1.46988166508705</v>
      </c>
      <c r="AM950" s="4">
        <v>0.0914390268638198</v>
      </c>
      <c r="AN950" s="4"/>
      <c r="AO950" s="4"/>
      <c r="AP950" s="4">
        <v>0.164874643190234</v>
      </c>
      <c r="AQ950" s="4">
        <v>0.000755998576005696</v>
      </c>
      <c r="AR950" s="4"/>
      <c r="AS950" s="4"/>
      <c r="AT950" s="4"/>
      <c r="AU950" s="4"/>
      <c r="AV950" s="4">
        <v>0.158458416133115</v>
      </c>
      <c r="AW950" s="4">
        <v>0.00459710438542561</v>
      </c>
      <c r="AX950" s="4">
        <v>-0.0175513677166243</v>
      </c>
      <c r="AY950" s="4">
        <v>0.00193299528970321</v>
      </c>
      <c r="AZ950" s="4">
        <v>-0.0639487246002733</v>
      </c>
      <c r="BA950" s="4">
        <v>0.000434313244343076</v>
      </c>
    </row>
    <row r="951" s="4" customFormat="1" ht="26" customHeight="1" spans="1:53">
      <c r="A951" s="4">
        <v>950</v>
      </c>
      <c r="B951" s="5">
        <v>148</v>
      </c>
      <c r="C951" s="48" t="s">
        <v>459</v>
      </c>
      <c r="D951" s="5" t="s">
        <v>460</v>
      </c>
      <c r="E951" s="5">
        <v>-28.2</v>
      </c>
      <c r="F951" s="5">
        <v>152.1</v>
      </c>
      <c r="G951" s="20">
        <v>17.5</v>
      </c>
      <c r="H951" s="21">
        <v>685</v>
      </c>
      <c r="I951" s="5"/>
      <c r="J951" s="5" t="s">
        <v>94</v>
      </c>
      <c r="K951" s="5" t="s">
        <v>78</v>
      </c>
      <c r="L951" s="5">
        <v>2022</v>
      </c>
      <c r="M951" s="5">
        <v>4</v>
      </c>
      <c r="N951" s="5" t="s">
        <v>108</v>
      </c>
      <c r="O951" s="28" t="s">
        <v>80</v>
      </c>
      <c r="P951" s="20">
        <v>7.15</v>
      </c>
      <c r="Q951" s="5"/>
      <c r="R951" s="5"/>
      <c r="S951" s="13"/>
      <c r="T951" s="21">
        <v>65</v>
      </c>
      <c r="U951" s="21">
        <v>27</v>
      </c>
      <c r="V951" s="21">
        <v>8</v>
      </c>
      <c r="W951" s="5">
        <v>54</v>
      </c>
      <c r="X951" s="13" t="s">
        <v>141</v>
      </c>
      <c r="Y951" s="5" t="s">
        <v>82</v>
      </c>
      <c r="Z951" s="5">
        <v>4</v>
      </c>
      <c r="AA951" s="5">
        <v>4</v>
      </c>
      <c r="AB951" s="9">
        <v>1.11676160717379</v>
      </c>
      <c r="AC951" s="9">
        <v>0.0316309177964932</v>
      </c>
      <c r="AD951" s="9">
        <v>1.88706964903238</v>
      </c>
      <c r="AE951" s="9">
        <v>0.0569952045709622</v>
      </c>
      <c r="AF951" s="9">
        <v>0.770308041858592</v>
      </c>
      <c r="AG951" s="9">
        <v>0.0886261223674553</v>
      </c>
      <c r="AH951" s="9">
        <v>0.147071967992902</v>
      </c>
      <c r="AI951" s="9">
        <v>0.00130844841027556</v>
      </c>
      <c r="AJ951" s="4">
        <v>0.969689639180888</v>
      </c>
      <c r="AK951" s="4">
        <v>0.0329393662067686</v>
      </c>
      <c r="AL951" s="4">
        <v>1.73999768103948</v>
      </c>
      <c r="AM951" s="4">
        <v>0.0583036529812377</v>
      </c>
      <c r="AN951" s="4"/>
      <c r="AO951" s="4"/>
      <c r="AP951" s="4">
        <v>0.278203328497237</v>
      </c>
      <c r="AQ951" s="4">
        <v>0.00163150878008733</v>
      </c>
      <c r="AR951" s="4"/>
      <c r="AS951" s="4"/>
      <c r="AT951" s="4"/>
      <c r="AU951" s="4"/>
      <c r="AV951" s="4">
        <v>0.241015104928165</v>
      </c>
      <c r="AW951" s="4">
        <v>0.00205621493170058</v>
      </c>
      <c r="AX951" s="4">
        <v>-0.0605514876517806</v>
      </c>
      <c r="AY951" s="4">
        <v>0.0020023412741513</v>
      </c>
      <c r="AZ951" s="4">
        <v>0.235456811547567</v>
      </c>
      <c r="BA951" s="4">
        <v>0.00320805206380904</v>
      </c>
    </row>
  </sheetData>
  <autoFilter ref="A1:AY951">
    <sortState ref="A2:AY951">
      <sortCondition ref="B2"/>
    </sortState>
    <extLst>
      <etc:autoFilterAnalysis etc:version="v1" etc:showPane="0">
        <etc:analysisCharts>
          <etc:chart etc:type="pie">
            <etc:category etc:colId="3"/>
            <etc:seriesCollections etc:count="1">
              <etc:series etc:colId="3" etc:subtotal="count"/>
            </etc:seriesCollections>
          </etc:chart>
        </etc:analysisCharts>
      </etc:autoFilterAnalysis>
    </extLst>
  </autoFilter>
  <hyperlinks>
    <hyperlink ref="C2" r:id="rId1" display="Global Change Biology | Environmental Change Jourl | Wiley Online Library"/>
    <hyperlink ref="C3" r:id="rId1" display="Global Change Biology | Environmental Change Jourl | Wiley Online Library"/>
    <hyperlink ref="C6" r:id="rId2" display="Artificial climate warming positively affects arbuscular mycorrhizae but decreases soil aggregate water stability in an annual grassland - Rillig - 2002 - Oikos - Wiley Online Library"/>
    <hyperlink ref="C8" r:id="rId3" display="Effect of Long-Term Rice Straw Return on Soil Glomalin, Carbon and Nitrogen - ScienceDirect"/>
    <hyperlink ref="C9" r:id="rId4" display="Effects of long-term fertilization on AM fungal community structure and Glomalin-related soil protein in the Loess Plateau of Chi | Plant and Soil (springer.com)"/>
    <hyperlink ref="C10:C13" r:id="rId4" display="Effects of long-term fertilization on AM fungal community structure and Glomalin-related soil protein in the Loess Plateau of Chi | Plant and Soil (springer.com)"/>
    <hyperlink ref="C14" r:id="rId4" display="Effects of long-term fertilization on AM fungal community structure and Glomalin-related soil protein in the Loess Plateau of Chi | Plant and Soil (springer.com)"/>
    <hyperlink ref="C15" r:id="rId5" display="Rise in carbon dioxide changes soil structure | ture"/>
    <hyperlink ref="C16:C20" r:id="rId5" display="Rise in carbon dioxide changes soil structure | ture"/>
    <hyperlink ref="C21" r:id="rId6" display="Sci-Hub | Effect of organic fertilisers on glomalin content and soil organic matter quality | 10.17221/385/2020-pse"/>
    <hyperlink ref="C22" r:id="rId7" display="Soil mycorrhizal and nematode diversity vary in response to bioenergy crop identity and fertilization - Emery - 2017 - GCB Bioenergy - Wiley Online Library"/>
    <hyperlink ref="C23:C24" r:id="rId7" display="Soil mycorrhizal and nematode diversity vary in response to bioenergy crop identity and fertilization - Emery - 2018 - GCB Bioenergy - Wiley Online Library"/>
    <hyperlink ref="C25" r:id="rId7" display="Soil mycorrhizal and nematode diversity vary in response to bioenergy crop identity and fertilization - Emery - 2020 - GCB Bioenergy - Wiley Online Library"/>
    <hyperlink ref="C26" r:id="rId8" display="Nitrogen addition increases the contents of glomalin-related soil protein and soil organic carbon but retains aggregate stability in a Pinus tabulaeformis forest [PeerJ]"/>
    <hyperlink ref="C27:C37" r:id="rId8" display="Nitrogen addition increases the contents of glomalin-related soil protein and soil organic carbon but retains aggregate stability in a Pinus tabulaeformis forest [PeerJ]"/>
    <hyperlink ref="C39:C40" r:id="rId9" display="Soil biochemical parameters in the rhizosphere contribute more to changes in soil respiration and its components than those in the bulk soil under nitrogen application in croplands | Plant and Soil (springer.com)"/>
    <hyperlink ref="C41" r:id="rId10" display="Responses of Bradford-reactive soil protein to experimental nitrogen addition in three forest communities in northern lower Michigan | Plant and Soil (springer.com)"/>
    <hyperlink ref="C41:C48" r:id="rId10" display="Responses of Bradford-reactive soil protein to experimental nitrogen addition in three forest communities in northern lower Michigan | Plant and Soil (springer.com)"/>
    <hyperlink ref="C65" r:id="rId11" display="(PDF) Elevated CO 2 affects the content of glomalin related soil protein in xeric temperate loess and temperate semi-desert sand grasslands (researchgate.net)"/>
    <hyperlink ref="C50:C52" r:id="rId11" display="Responses of Bradford-reactive soil protein to experimental nitrogen addition in three forest communities in northern lower Michigan | Plant and Soil (springer.com)"/>
    <hyperlink ref="C73" r:id="rId12" display="Fractiotion and Long‐Term Laboratory Incubation to Measure Soil Organic Matter Dymics - Haile-Mariam - 2008 - Soil Science Society of America Jourl - Wiley Online Library"/>
    <hyperlink ref="C74" r:id="rId13" display="Phosphorus fertilisation magement modifies the biodiversity of AM fungi in a tropical savan forage system - ScienceDirect"/>
    <hyperlink ref="C55:C56" r:id="rId13" display="Responses of Bradford-reactive soil protein to experimental nitrogen addition in three forest communities in northern lower Michigan | Plant and Soil (springer.com)"/>
    <hyperlink ref="C177" r:id="rId14" display="Long-term effects of organic manure and inorganic fertilization on biological soil quality indicators of soybean-wheat rotation in the Indian mid-Himalaya - ScienceDirect"/>
    <hyperlink ref="C178" r:id="rId14" display="Long-term effects of organic manure and inorganic fertilization on biological soil quality indicators of soybean-wheat rotation in the Indian mid-Himalaya - ScienceDirect"/>
    <hyperlink ref="C60:C61" r:id="rId15" display="Responses of Bradford-reactive soil protein to experimental nitrogen addition in three forest communities in northern lower Michigan | Plant and Soil (springer.com)"/>
    <hyperlink ref="C109" r:id="rId16" display="60 years of fertilization and liming impacts on soil organic carbon stabilization in a sub-tropical Alfisol | Environmental Science and Pollution Research (springer.com)"/>
    <hyperlink ref="C63:C65" r:id="rId16" display="Responses of Bradford-reactive soil protein to experimental nitrogen addition in three forest communities in northern lower Michigan | Plant and Soil (springer.com)"/>
    <hyperlink ref="C67:C79" r:id="rId17" display="(PDF) Elevated CO 4 affects the content of glomalin related soil protein in xeric temperate loess and temperate semi-desert sand grasslands (researchgate.net)"/>
    <hyperlink ref="C126" r:id="rId18" display="Agronomy | Free Full-Text | Effect of 50 Years of No-Tillage, Stubble Retention, and Nitrogen Fertilization on Soil Respiration, Easily Extractable Glomalin, and Nitrogen Mineralization (mdpi.com)"/>
    <hyperlink ref="C127" r:id="rId18" display="Agronomy | Free Full-Text | Effect of 50 Years of No-Tillage, Stubble Retention, and Nitrogen Fertilization on Soil Respiration, Easily Extractable Glomalin, and Nitrogen Mineralization (mdpi.com)"/>
    <hyperlink ref="C128" r:id="rId19" display="Effects of long-term nitrogen addition and precipitation reduction on glomalin-related soil protein and soil aggregate stability in a temperate forest - ScienceDirect"/>
    <hyperlink ref="C83:C87" r:id="rId19" display="https://www.jeesci.com/CN/10.16258/j.cnki.1674-5906.2019.03.009"/>
    <hyperlink ref="C89:C92" r:id="rId20" display="PDF"/>
    <hyperlink ref="C137" r:id="rId21" display="Agronomy | Free Full-Text | The Influence of Organic and Mineral Fertilizers on the Quality of Soil Organic Matter and Glomalin Content (mdpi.com)"/>
    <hyperlink ref="C138" r:id="rId22" display="Frontiers | Fallow Land Enhances Carbon Sequestration in Glomalin and Soil Aggregates Through Regulating Diversity and Network Complexity of Arbuscular Mycorrhizal Fungi Under Climate Change in Relatively High-Latitude Regions (frontiersin.org)"/>
    <hyperlink ref="C95:C97" r:id="rId22" display="PDF"/>
    <hyperlink ref="C143" r:id="rId23" display="The impact of the long-term application of mineral nitrogen and sewage sludge fertilizers on the quality of soil organic matter | Chemical and Biological Technologies in Agriculture | Full Text (springeropen.com)"/>
    <hyperlink ref="C144" r:id="rId23" display="The impact of the long-term application of mineral nitrogen and sewage sludge fertilizers on the quality of soil organic matter | Chemical and Biological Technologies in Agriculture | Full Text (springeropen.com)"/>
    <hyperlink ref="C147" r:id="rId24" display="Variations in soil aggregate stability and organic carbon stability of alpine meadow and shrubland under long-term warming - ScienceDirect"/>
    <hyperlink ref="C109:C121" r:id="rId24" display="60 years of fertilization and liming impacts on soil organic carbon stabilization in a sub-tropical Alfisol | Environmental Science and Pollution Research (springer.com)"/>
    <hyperlink ref="C153" r:id="rId25" display="Forests | Free Full-Text | Drought Changes the Trade-Off Strategy of Root and Arbuscular Mycorrhizal Fungi Growth in a Subtropical Chinese Fir Plantation (mdpi.com)"/>
    <hyperlink ref="C154" r:id="rId25" display="Forests | Free Full-Text | Drought Changes the Trade-Off Strategy of Root and Arbuscular Mycorrhizal Fungi Growth in a Subtropical Chinese Fir Plantation (mdpi.com)"/>
    <hyperlink ref="C155" r:id="rId26" display="Elevated CO2 alters aggregate‑carbon and microbial community but does not affect total soil organic C in the semi-arid tropics - ScienceDirect"/>
    <hyperlink ref="C121" r:id="rId27" display="Responses of soil microbial community composition and enzyme activities to long-term organic amendments in a continuous tobacco cropping system - ScienceDirect"/>
    <hyperlink ref="C142" r:id="rId28" display="Does pyrolysis temperature determine soil phosphorus bioavailability and uptake on peri-urban cropland amended with poultry litter biochar? | Biomass Conversion and Biorefinery (springer.com)"/>
    <hyperlink ref="C165" r:id="rId29" display="Alteration in the amount of Glomalin in transition from forest to field/meadow - Valerie - 2022 - Soil Use and Magement - Wiley Online Library"/>
    <hyperlink ref="C166" r:id="rId29" display="Alteration in the amount of Glomalin in transition from forest to field/meadow - Valerie - 2022 - Soil Use and Magement - Wiley Online Library"/>
    <hyperlink ref="C167" r:id="rId29" display="Alteration in the amount of Glomalin in transition from forest to field/meadow - Valerie - 2022 - Soil Use and Magement - Wiley Online Library"/>
    <hyperlink ref="C168" r:id="rId29" display="Alteration in the amount of Glomalin in transition from forest to field/meadow - Valerie - 2022 - Soil Use and Magement - Wiley Online Library"/>
    <hyperlink ref="C169" r:id="rId29" display="Alteration in the amount of Glomalin in transition from forest to field/meadow - Valerie - 2022 - Soil Use and Magement - Wiley Online Library"/>
    <hyperlink ref="C170" r:id="rId29" display="Alteration in the amount of Glomalin in transition from forest to field/meadow - Valerie - 2022 - Soil Use and Magement - Wiley Online Library"/>
    <hyperlink ref="C171" r:id="rId29" display="Alteration in the amount of Glomalin in transition from forest to field/meadow - Valerie - 2022 - Soil Use and Magement - Wiley Online Library"/>
    <hyperlink ref="C172" r:id="rId29" display="Alteration in the amount of Glomalin in transition from forest to field/meadow - Valerie - 2022 - Soil Use and Magement - Wiley Online Library"/>
    <hyperlink ref="C173" r:id="rId30" display="SciELO - Brazil - Soil attributes as indicators of the stabilization process of erosion in gullies at different formation stages in the southeast region of Brazil Soil attributes as indicators of the stabilization process of erosion in gullies at different formation stages in the southeast region of Brazil"/>
    <hyperlink ref="C174" r:id="rId30" display="SciELO - Brazil - Soil attributes as indicators of the stabilization process of erosion in gullies at different formation stages in the southeast region of Brazil Soil attributes as indicators of the stabilization process of erosion in gullies at different formation stages in the southeast region of Brazil"/>
    <hyperlink ref="C175" r:id="rId30" display="SciELO - Brazil - Soil attributes as indicators of the stabilization process of erosion in gullies at different formation stages in the southeast region of Brazil Soil attributes as indicators of the stabilization process of erosion in gullies at different formation stages in the southeast region of Brazil"/>
    <hyperlink ref="C176" r:id="rId30" display="SciELO - Brazil - Soil attributes as indicators of the stabilization process of erosion in gullies at different formation stages in the southeast region of Brazil Soil attributes as indicators of the stabilization process of erosion in gullies at different formation stages in the southeast region of Brazil"/>
    <hyperlink ref="C179" r:id="rId14" display="Long-term effects of organic manure and inorganic fertilization on biological soil quality indicators of soybean-wheat rotation in the Indian mid-Himalaya - ScienceDirect"/>
    <hyperlink ref="C180" r:id="rId14" display="Long-term effects of organic manure and inorganic fertilization on biological soil quality indicators of soybean-wheat rotation in the Indian mid-Himalaya - ScienceDirect"/>
    <hyperlink ref="C181" r:id="rId31" display="Service crops improve a degraded monoculture system by changing common bean rhizospheric soil microbiota and reducing soil-borne fungal diseases | FEMS Microbiology Ecology | Oxford Academic (oup.com)"/>
    <hyperlink ref="C182" r:id="rId31" display="Service crops improve a degraded monoculture system by changing common bean rhizospheric soil microbiota and reducing soil-borne fungal diseases | FEMS Microbiology Ecology | Oxford Academic (oup.com)"/>
    <hyperlink ref="C183" r:id="rId31" display="Service crops improve a degraded monoculture system by changing common bean rhizospheric soil microbiota and reducing soil-borne fungal diseases | FEMS Microbiology Ecology | Oxford Academic (oup.com)"/>
    <hyperlink ref="C184" r:id="rId31" display="Service crops improve a degraded monoculture system by changing common bean rhizospheric soil microbiota and reducing soil-borne fungal diseases | FEMS Microbiology Ecology | Oxford Academic (oup.com)"/>
    <hyperlink ref="C185" r:id="rId31" display="Service crops improve a degraded monoculture system by changing common bean rhizospheric soil microbiota and reducing soil-borne fungal diseases | FEMS Microbiology Ecology | Oxford Academic (oup.com)"/>
    <hyperlink ref="C186" r:id="rId31" display="Service crops improve a degraded monoculture system by changing common bean rhizospheric soil microbiota and reducing soil-borne fungal diseases | FEMS Microbiology Ecology | Oxford Academic (oup.com)"/>
    <hyperlink ref="C187" r:id="rId31" display="Service crops improve a degraded monoculture system by changing common bean rhizospheric soil microbiota and reducing soil-borne fungal diseases | FEMS Microbiology Ecology | Oxford Academic (oup.com)"/>
    <hyperlink ref="C188" r:id="rId31" display="Service crops improve a degraded monoculture system by changing common bean rhizospheric soil microbiota and reducing soil-borne fungal diseases | FEMS Microbiology Ecology | Oxford Academic (oup.com)"/>
    <hyperlink ref="C189" r:id="rId31" display="Service crops improve a degraded monoculture system by changing common bean rhizospheric soil microbiota and reducing soil-borne fungal diseases | FEMS Microbiology Ecology | Oxford Academic (oup.com)"/>
    <hyperlink ref="C190" r:id="rId31" display="Service crops improve a degraded monoculture system by changing common bean rhizospheric soil microbiota and reducing soil-borne fungal diseases | FEMS Microbiology Ecology | Oxford Academic (oup.com)"/>
    <hyperlink ref="C113" r:id="rId24" display="63 years of fertilization and liming impacts on soil organic carbon stabilization in a sub-tropical Alfisol | Environmental Science and Pollution Research (springer.com)"/>
    <hyperlink ref="C114" r:id="rId24" display="63 years of fertilization and liming impacts on soil organic carbon stabilization in a sub-tropical Alfisol | Environmental Science and Pollution Research (springer.com)"/>
    <hyperlink ref="C115" r:id="rId24" display="63 years of fertilization and liming impacts on soil organic carbon stabilization in a sub-tropical Alfisol | Environmental Science and Pollution Research (springer.com)"/>
    <hyperlink ref="C116" r:id="rId24" display="63 years of fertilization and liming impacts on soil organic carbon stabilization in a sub-tropical Alfisol | Environmental Science and Pollution Research (springer.com)"/>
    <hyperlink ref="C117:C120" r:id="rId24" display="63 years of fertilization and liming impacts on soil organic carbon stabilization in a sub-tropical Alfisol | Environmental Science and Pollution Research (springer.com)"/>
    <hyperlink ref="C117" r:id="rId24" display="63 years of fertilization and liming impacts on soil organic carbon stabilization in a sub-tropical Alfisol | Environmental Science and Pollution Research (springer.com)"/>
    <hyperlink ref="C118" r:id="rId24" display="63 years of fertilization and liming impacts on soil organic carbon stabilization in a sub-tropical Alfisol | Environmental Science and Pollution Research (springer.com)"/>
    <hyperlink ref="C119" r:id="rId24" display="63 years of fertilization and liming impacts on soil organic carbon stabilization in a sub-tropical Alfisol | Environmental Science and Pollution Research (springer.com)"/>
    <hyperlink ref="C120" r:id="rId24" display="63 years of fertilization and liming impacts on soil organic carbon stabilization in a sub-tropical Alfisol | Environmental Science and Pollution Research (springer.com)"/>
    <hyperlink ref="C193" r:id="rId32" display="tive arbuscular mycorrhizal fungi respond to rehabilitation in iron ore mining areas from the Eastern Brazilian Amazon - ScienceDirect"/>
    <hyperlink ref="C194" r:id="rId32" display="tive arbuscular mycorrhizal fungi respond to rehabilitation in iron ore mining areas from the Eastern Brazilian Amazon - ScienceDirect"/>
    <hyperlink ref="C195" r:id="rId32" display="tive arbuscular mycorrhizal fungi respond to rehabilitation in iron ore mining areas from the Eastern Brazilian Amazon - ScienceDirect"/>
    <hyperlink ref="C196" r:id="rId32" display="tive arbuscular mycorrhizal fungi respond to rehabilitation in iron ore mining areas from the Eastern Brazilian Amazon - ScienceDirect"/>
    <hyperlink ref="C197" r:id="rId32" display="tive arbuscular mycorrhizal fungi respond to rehabilitation in iron ore mining areas from the Eastern Brazilian Amazon - ScienceDirect"/>
    <hyperlink ref="C198" r:id="rId32" display="tive arbuscular mycorrhizal fungi respond to rehabilitation in iron ore mining areas from the Eastern Brazilian Amazon - ScienceDirect"/>
    <hyperlink ref="C199" r:id="rId32" display="tive arbuscular mycorrhizal fungi respond to rehabilitation in iron ore mining areas from the Eastern Brazilian Amazon - ScienceDirect"/>
    <hyperlink ref="C200" r:id="rId32" display="tive arbuscular mycorrhizal fungi respond to rehabilitation in iron ore mining areas from the Eastern Brazilian Amazon - ScienceDirect"/>
    <hyperlink ref="C201" r:id="rId32" display="tive arbuscular mycorrhizal fungi respond to rehabilitation in iron ore mining areas from the Eastern Brazilian Amazon - ScienceDirect"/>
    <hyperlink ref="C202" r:id="rId32" display="tive arbuscular mycorrhizal fungi respond to rehabilitation in iron ore mining areas from the Eastern Brazilian Amazon - ScienceDirect"/>
    <hyperlink ref="C203" r:id="rId32" display="tive arbuscular mycorrhizal fungi respond to rehabilitation in iron ore mining areas from the Eastern Brazilian Amazon - ScienceDirect"/>
    <hyperlink ref="C204" r:id="rId33" display="Agriculture | Free Full-Text | Comparative Alysis of Arbuscular Mycorrhizal Fungal Communities between Farmland and Woodland in the Black Soil Region of Northeast Chi (mdpi.com)"/>
    <hyperlink ref="C205" r:id="rId33" display="Agriculture | Free Full-Text | Comparative Alysis of Arbuscular Mycorrhizal Fungal Communities between Farmland and Woodland in the Black Soil Region of Northeast Chi (mdpi.com)"/>
    <hyperlink ref="C206" r:id="rId33" display="Agriculture | Free Full-Text | Comparative Alysis of Arbuscular Mycorrhizal Fungal Communities between Farmland and Woodland in the Black Soil Region of Northeast Chi (mdpi.com)"/>
    <hyperlink ref="C207" r:id="rId33" display="Agriculture | Free Full-Text | Comparative Alysis of Arbuscular Mycorrhizal Fungal Communities between Farmland and Woodland in the Black Soil Region of Northeast Chi (mdpi.com)"/>
    <hyperlink ref="C208" r:id="rId33" display="Agriculture | Free Full-Text | Comparative Alysis of Arbuscular Mycorrhizal Fungal Communities between Farmland and Woodland in the Black Soil Region of Northeast Chi (mdpi.com)"/>
    <hyperlink ref="C209" r:id="rId33" display="Agriculture | Free Full-Text | Comparative Alysis of Arbuscular Mycorrhizal Fungal Communities between Farmland and Woodland in the Black Soil Region of Northeast Chi (mdpi.com)"/>
    <hyperlink ref="C210" r:id="rId33" display="Agriculture | Free Full-Text | Comparative Alysis of Arbuscular Mycorrhizal Fungal Communities between Farmland and Woodland in the Black Soil Region of Northeast Chi (mdpi.com)"/>
    <hyperlink ref="C211" r:id="rId33" display="Agriculture | Free Full-Text | Comparative Alysis of Arbuscular Mycorrhizal Fungal Communities between Farmland and Woodland in the Black Soil Region of Northeast Chi (mdpi.com)"/>
    <hyperlink ref="C212" r:id="rId33" display="Agriculture | Free Full-Text | Comparative Alysis of Arbuscular Mycorrhizal Fungal Communities between Farmland and Woodland in the Black Soil Region of Northeast Chi (mdpi.com)"/>
    <hyperlink ref="C213" r:id="rId33" display="Agriculture | Free Full-Text | Comparative Alysis of Arbuscular Mycorrhizal Fungal Communities between Farmland and Woodland in the Black Soil Region of Northeast Chi (mdpi.com)"/>
    <hyperlink ref="C106" r:id="rId34" display="A controlled-release fertilizer improved soil fertility but not olive tree performance | Nutrient Cycling in Agroecosystems (springer.com)"/>
    <hyperlink ref="C107" r:id="rId34" display="A controlled-release fertilizer improved soil fertility but not olive tree performance | Nutrient Cycling in Agroecosystems (springer.com)"/>
    <hyperlink ref="C108" r:id="rId34" display="A controlled-release fertilizer improved soil fertility but not olive tree performance | Nutrient Cycling in Agroecosystems (springer.com)"/>
    <hyperlink ref="C214" r:id="rId35" display="Contrasting effects of long term phosphorus fertilization on glomalin-related soil protein (GRSP) - ScienceDirect"/>
    <hyperlink ref="C215" r:id="rId35" display="Contrasting effects of long term phosphorus fertilization on glomalin-related soil protein (GRSP) - ScienceDirect"/>
    <hyperlink ref="C216" r:id="rId35" display="Contrasting effects of long term phosphorus fertilization on glomalin-related soil protein (GRSP) - ScienceDirect"/>
    <hyperlink ref="C217" r:id="rId35" display="Contrasting effects of long term phosphorus fertilization on glomalin-related soil protein (GRSP) - ScienceDirect"/>
    <hyperlink ref="C218" r:id="rId35" display="Contrasting effects of long term phosphorus fertilization on glomalin-related soil protein (GRSP) - ScienceDirect"/>
    <hyperlink ref="C219" r:id="rId35" display="Contrasting effects of long term phosphorus fertilization on glomalin-related soil protein (GRSP) - ScienceDirect"/>
    <hyperlink ref="C220" r:id="rId35" display="Contrasting effects of long term phosphorus fertilization on glomalin-related soil protein (GRSP) - ScienceDirect"/>
    <hyperlink ref="C221" r:id="rId35" display="Contrasting effects of long term phosphorus fertilization on glomalin-related soil protein (GRSP) - ScienceDirect"/>
    <hyperlink ref="C222" r:id="rId35" display="Contrasting effects of long term phosphorus fertilization on glomalin-related soil protein (GRSP) - ScienceDirect"/>
    <hyperlink ref="C223" r:id="rId36" display="Land Degradation &amp; Development | Environmental &amp; Soil Science Jourl | Wiley Online Jourl"/>
    <hyperlink ref="C229" r:id="rId36" display="Land Degradation &amp; Development | Environmental &amp; Soil Science Jourl | Wiley Online Jourl"/>
    <hyperlink ref="C224" r:id="rId36" display="Land Degradation &amp; Development | Environmental &amp; Soil Science Jourl | Wiley Online Jourl"/>
    <hyperlink ref="C225" r:id="rId36" display="Land Degradation &amp; Development | Environmental &amp; Soil Science Jourl | Wiley Online Jourl"/>
    <hyperlink ref="C227" r:id="rId36" display="Land Degradation &amp; Development | Environmental &amp; Soil Science Jourl | Wiley Online Jourl"/>
    <hyperlink ref="C231" r:id="rId36" display="Land Degradation &amp; Development | Environmental &amp; Soil Science Jourl | Wiley Online Jourl"/>
    <hyperlink ref="C233" r:id="rId36" display="Land Degradation &amp; Development | Environmental &amp; Soil Science Jourl | Wiley Online Jourl"/>
    <hyperlink ref="C226" r:id="rId36" display="Land Degradation &amp; Development | Environmental &amp; Soil Science Jourl | Wiley Online Jourl"/>
    <hyperlink ref="C228" r:id="rId36" display="Land Degradation &amp; Development | Environmental &amp; Soil Science Jourl | Wiley Online Jourl"/>
    <hyperlink ref="C230" r:id="rId36" display="Land Degradation &amp; Development | Environmental &amp; Soil Science Jourl | Wiley Online Jourl"/>
    <hyperlink ref="C232" r:id="rId36" display="Land Degradation &amp; Development | Environmental &amp; Soil Science Jourl | Wiley Online Jourl"/>
    <hyperlink ref="C234" r:id="rId36" display="Land Degradation &amp; Development | Environmental &amp; Soil Science Jourl | Wiley Online Jourl"/>
    <hyperlink ref="C235" r:id="rId37" display="SciELO - Brazil - Stability, labile organic carbon, and glomalin of biogenic aggregates in sandy soils under magement systems in the subtropical region of Brazil Stability, labile organic carbon, and glomalin of biogenic aggregates in sandy soils under magement systems in the subtropical region of Brazil"/>
    <hyperlink ref="C236" r:id="rId37" display="SciELO - Brazil - Stability, labile organic carbon, and glomalin of biogenic aggregates in sandy soils under magement systems in the subtropical region of Brazil Stability, labile organic carbon, and glomalin of biogenic aggregates in sandy soils under magement systems in the subtropical region of Brazil"/>
    <hyperlink ref="C237" r:id="rId37" display="SciELO - Brazil - Stability, labile organic carbon, and glomalin of biogenic aggregates in sandy soils under magement systems in the subtropical region of Brazil Stability, labile organic carbon, and glomalin of biogenic aggregates in sandy soils under magement systems in the subtropical region of Brazil"/>
    <hyperlink ref="C238" r:id="rId37" display="SciELO - Brazil - Stability, labile organic carbon, and glomalin of biogenic aggregates in sandy soils under magement systems in the subtropical region of Brazil Stability, labile organic carbon, and glomalin of biogenic aggregates in sandy soils under magement systems in the subtropical region of Brazil"/>
    <hyperlink ref="C239" r:id="rId37" display="SciELO - Brazil - Stability, labile organic carbon, and glomalin of biogenic aggregates in sandy soils under magement systems in the subtropical region of Brazil Stability, labile organic carbon, and glomalin of biogenic aggregates in sandy soils under magement systems in the subtropical region of Brazil"/>
    <hyperlink ref="C240" r:id="rId37" display="SciELO - Brazil - Stability, labile organic carbon, and glomalin of biogenic aggregates in sandy soils under magement systems in the subtropical region of Brazil Stability, labile organic carbon, and glomalin of biogenic aggregates in sandy soils under magement systems in the subtropical region of Brazil"/>
    <hyperlink ref="C241" r:id="rId38" display="Land Degradation &amp; Development | Environmental &amp; Soil Science Jourl | Wiley Online Jourl"/>
    <hyperlink ref="C242" r:id="rId38" display="Land Degradation &amp; Development | Environmental &amp; Soil Science Jourl | Wiley Online Jourl"/>
    <hyperlink ref="C243" r:id="rId38" display="Land Degradation &amp; Development | Environmental &amp; Soil Science Jourl | Wiley Online Jourl"/>
    <hyperlink ref="C264" r:id="rId39" display="Short-term modifications of mycorrhizal fungi, glomalin and soil attributes in a tropical agroforestry - ScienceDirect"/>
    <hyperlink ref="C265" r:id="rId39" display="Short-term modifications of mycorrhizal fungi, glomalin and soil attributes in a tropical agroforestry - ScienceDirect"/>
    <hyperlink ref="C266" r:id="rId39" display="Short-term modifications of mycorrhizal fungi, glomalin and soil attributes in a tropical agroforestry - ScienceDirect"/>
    <hyperlink ref="C267" r:id="rId39" display="Short-term modifications of mycorrhizal fungi, glomalin and soil attributes in a tropical agroforestry - ScienceDirect"/>
    <hyperlink ref="C268" r:id="rId39" display="Short-term modifications of mycorrhizal fungi, glomalin and soil attributes in a tropical agroforestry - ScienceDirect"/>
    <hyperlink ref="C269" r:id="rId39" display="Short-term modifications of mycorrhizal fungi, glomalin and soil attributes in a tropical agroforestry - ScienceDirect"/>
    <hyperlink ref="C270" r:id="rId39" display="Short-term modifications of mycorrhizal fungi, glomalin and soil attributes in a tropical agroforestry - ScienceDirect"/>
    <hyperlink ref="C272" r:id="rId40" display="Carbon and nitrogen stocks and microbial indicators in tropical semiarid degraded Luvisols - ScienceDirect"/>
    <hyperlink ref="C273" r:id="rId40" display="Carbon and nitrogen stocks and microbial indicators in tropical semiarid degraded Luvisols - ScienceDirect"/>
    <hyperlink ref="C274" r:id="rId40" display="Carbon and nitrogen stocks and microbial indicators in tropical semiarid degraded Luvisols - ScienceDirect"/>
    <hyperlink ref="C275" r:id="rId40" display="Carbon and nitrogen stocks and microbial indicators in tropical semiarid degraded Luvisols - ScienceDirect"/>
    <hyperlink ref="C276" r:id="rId40" display="Carbon and nitrogen stocks and microbial indicators in tropical semiarid degraded Luvisols - ScienceDirect"/>
    <hyperlink ref="C277" r:id="rId40" display="Carbon and nitrogen stocks and microbial indicators in tropical semiarid degraded Luvisols - ScienceDirect"/>
    <hyperlink ref="C278" r:id="rId41" display="https://link.springer.com/article/10.1007/s11104-022-05389-2"/>
    <hyperlink ref="C279" r:id="rId41" display="https://link.springer.com/article/10.1007/s11104-022-05389-2"/>
    <hyperlink ref="C280" r:id="rId42" display="Forests | Free Full-Text | Distributions and Influencing Factors of Soil Organic Carbon Fractions under Different Vegetation Restoration Conditions in a Subtropical Mountainous Area, SW Chi (mdpi.com)"/>
    <hyperlink ref="C281" r:id="rId42" display="Forests | Free Full-Text | Distributions and Influencing Factors of Soil Organic Carbon Fractions under Different Vegetation Restoration Conditions in a Subtropical Mountainous Area, SW Chi (mdpi.com)"/>
    <hyperlink ref="C282" r:id="rId42" display="Forests | Free Full-Text | Distributions and Influencing Factors of Soil Organic Carbon Fractions under Different Vegetation Restoration Conditions in a Subtropical Mountainous Area, SW Chi (mdpi.com)"/>
    <hyperlink ref="C283" r:id="rId42" display="Forests | Free Full-Text | Distributions and Influencing Factors of Soil Organic Carbon Fractions under Different Vegetation Restoration Conditions in a Subtropical Mountainous Area, SW Chi (mdpi.com)"/>
    <hyperlink ref="C284" r:id="rId42" display="Forests | Free Full-Text | Distributions and Influencing Factors of Soil Organic Carbon Fractions under Different Vegetation Restoration Conditions in a Subtropical Mountainous Area, SW Chi (mdpi.com)"/>
    <hyperlink ref="C285" r:id="rId42" display="Forests | Free Full-Text | Distributions and Influencing Factors of Soil Organic Carbon Fractions under Different Vegetation Restoration Conditions in a Subtropical Mountainous Area, SW Chi (mdpi.com)"/>
    <hyperlink ref="C286" r:id="rId42" display="Forests | Free Full-Text | Distributions and Influencing Factors of Soil Organic Carbon Fractions under Different Vegetation Restoration Conditions in a Subtropical Mountainous Area, SW Chi (mdpi.com)"/>
    <hyperlink ref="C287" r:id="rId42" display="Forests | Free Full-Text | Distributions and Influencing Factors of Soil Organic Carbon Fractions under Different Vegetation Restoration Conditions in a Subtropical Mountainous Area, SW Chi (mdpi.com)"/>
    <hyperlink ref="C288" r:id="rId42" display="Forests | Free Full-Text | Distributions and Influencing Factors of Soil Organic Carbon Fractions under Different Vegetation Restoration Conditions in a Subtropical Mountainous Area, SW Chi (mdpi.com)"/>
    <hyperlink ref="C289" r:id="rId42" display="Forests | Free Full-Text | Distributions and Influencing Factors of Soil Organic Carbon Fractions under Different Vegetation Restoration Conditions in a Subtropical Mountainous Area, SW Chi (mdpi.com)"/>
    <hyperlink ref="C290" r:id="rId42" display="Forests | Free Full-Text | Distributions and Influencing Factors of Soil Organic Carbon Fractions under Different Vegetation Restoration Conditions in a Subtropical Mountainous Area, SW Chi (mdpi.com)"/>
    <hyperlink ref="C291" r:id="rId42" display="Forests | Free Full-Text | Distributions and Influencing Factors of Soil Organic Carbon Fractions under Different Vegetation Restoration Conditions in a Subtropical Mountainous Area, SW Chi (mdpi.com)"/>
    <hyperlink ref="C292" r:id="rId43" display="https://link.springer.com/article/10.1007/s10343-022-00651-0"/>
    <hyperlink ref="C293" r:id="rId43" display="https://link.springer.com/article/10.1007/s10343-022-00651-0"/>
    <hyperlink ref="C294" r:id="rId43" display="https://link.springer.com/article/10.1007/s10343-022-00651-0"/>
    <hyperlink ref="C296" r:id="rId43" display="https://link.springer.com/article/10.1007/s10343-022-00651-0"/>
    <hyperlink ref="C298" r:id="rId43" display="https://link.springer.com/article/10.1007/s10343-022-00651-0"/>
    <hyperlink ref="C295" r:id="rId43" display="https://link.springer.com/article/10.1007/s10343-022-00651-0"/>
    <hyperlink ref="C297" r:id="rId43" display="https://link.springer.com/article/10.1007/s10343-022-00651-0"/>
    <hyperlink ref="C299" r:id="rId43" display="https://link.springer.com/article/10.1007/s10343-022-00651-0"/>
    <hyperlink ref="C300" r:id="rId44" display="Global Change Biology | Environmental Change Jourl | Wiley Online Library"/>
    <hyperlink ref="C301" r:id="rId44" display="Global Change Biology | Environmental Change Jourl | Wiley Online Library"/>
    <hyperlink ref="C302" r:id="rId44" display="Global Change Biology | Environmental Change Jourl | Wiley Online Library"/>
    <hyperlink ref="C303" r:id="rId44" display="Global Change Biology | Environmental Change Jourl | Wiley Online Library"/>
    <hyperlink ref="C304" r:id="rId44" display="Global Change Biology | Environmental Change Jourl | Wiley Online Library"/>
    <hyperlink ref="C305" r:id="rId44" display="Global Change Biology | Environmental Change Jourl | Wiley Online Library"/>
    <hyperlink ref="C306" r:id="rId44" display="Global Change Biology | Environmental Change Jourl | Wiley Online Library"/>
    <hyperlink ref="C307" r:id="rId44" display="Global Change Biology | Environmental Change Jourl | Wiley Online Library"/>
    <hyperlink ref="C308" r:id="rId44" display="Global Change Biology | Environmental Change Jourl | Wiley Online Library"/>
    <hyperlink ref="C309" r:id="rId45" display="Forests | Free Full-Text | Higher Soil Aggregate Stability in Subtropical Coniferous Plantations Than tural Forests Due to Microbial and Aggregate Factors (mdpi.com)"/>
    <hyperlink ref="C310" r:id="rId45" display="Forests | Free Full-Text | Higher Soil Aggregate Stability in Subtropical Coniferous Plantations Than tural Forests Due to Microbial and Aggregate Factors (mdpi.com)"/>
    <hyperlink ref="C311" r:id="rId46" display="Frontiers | Arbuscular mycorrhizal fungi in the soil using cover crops with and without nitrogen addition (frontiersin.org)"/>
    <hyperlink ref="C312" r:id="rId46" display="Frontiers | Arbuscular mycorrhizal fungi in the soil using cover crops with and without nitrogen addition (frontiersin.org)"/>
    <hyperlink ref="C313" r:id="rId46" display="Frontiers | Arbuscular mycorrhizal fungi in the soil using cover crops with and without nitrogen addition (frontiersin.org)"/>
    <hyperlink ref="C314" r:id="rId46" display="Frontiers | Arbuscular mycorrhizal fungi in the soil using cover crops with and without nitrogen addition (frontiersin.org)"/>
    <hyperlink ref="C315" r:id="rId46" display="Frontiers | Arbuscular mycorrhizal fungi in the soil using cover crops with and without nitrogen addition (frontiersin.org)"/>
    <hyperlink ref="C316" r:id="rId46" display="Frontiers | Arbuscular mycorrhizal fungi in the soil using cover crops with and without nitrogen addition (frontiersin.org)"/>
    <hyperlink ref="C317" r:id="rId20" display="Nitrogen fertilization degrades soil aggregation by increasing ammonium ions and decreasing biological binding agents on a Vertisol after 12 years - ScienceDirect"/>
    <hyperlink ref="C318" r:id="rId20" display="Nitrogen fertilization degrades soil aggregation by increasing ammonium ions and decreasing biological binding agents on a Vertisol after 12 years - ScienceDirect"/>
    <hyperlink ref="C319" r:id="rId20" display="Nitrogen fertilization degrades soil aggregation by increasing ammonium ions and decreasing biological binding agents on a Vertisol after 12 years - ScienceDirect"/>
    <hyperlink ref="C320" r:id="rId20" display="Nitrogen fertilization degrades soil aggregation by increasing ammonium ions and decreasing biological binding agents on a Vertisol after 12 years - ScienceDirect"/>
    <hyperlink ref="C321" r:id="rId20" display="Nitrogen fertilization degrades soil aggregation by increasing ammonium ions and decreasing biological binding agents on a Vertisol after 12 years - ScienceDirect"/>
    <hyperlink ref="C322" r:id="rId20" display="Nitrogen fertilization degrades soil aggregation by increasing ammonium ions and decreasing biological binding agents on a Vertisol after 12 years - ScienceDirect"/>
    <hyperlink ref="C323" r:id="rId20" display="Nitrogen fertilization degrades soil aggregation by increasing ammonium ions and decreasing biological binding agents on a Vertisol after 12 years - ScienceDirect"/>
    <hyperlink ref="C324" r:id="rId20" display="Nitrogen fertilization degrades soil aggregation by increasing ammonium ions and decreasing biological binding agents on a Vertisol after 12 years - ScienceDirect"/>
    <hyperlink ref="C325" r:id="rId20" display="Nitrogen fertilization degrades soil aggregation by increasing ammonium ions and decreasing biological binding agents on a Vertisol after 12 years - ScienceDirect"/>
    <hyperlink ref="C326" r:id="rId20" display="Nitrogen fertilization degrades soil aggregation by increasing ammonium ions and decreasing biological binding agents on a Vertisol after 12 years - ScienceDirect"/>
    <hyperlink ref="C327" r:id="rId47" display="Contributions of mycorrhizal fungi to soil aggregate formation during subalpine forest succession - ScienceDirect"/>
    <hyperlink ref="C328" r:id="rId47" display="Contributions of mycorrhizal fungi to soil aggregate formation during subalpine forest succession - ScienceDirect"/>
    <hyperlink ref="C329" r:id="rId47" display="Contributions of mycorrhizal fungi to soil aggregate formation during subalpine forest succession - ScienceDirect"/>
    <hyperlink ref="C330" r:id="rId47" display="Contributions of mycorrhizal fungi to soil aggregate formation during subalpine forest succession - ScienceDirect"/>
    <hyperlink ref="C331" r:id="rId47" display="Contributions of mycorrhizal fungi to soil aggregate formation during subalpine forest succession - ScienceDirect"/>
    <hyperlink ref="C332" r:id="rId48" display="Frontiers | Effects of forest types on soil carbon content in aggregate faction under climate transition zone (frontiersin.org)"/>
    <hyperlink ref="C333" r:id="rId48" display="Frontiers | Effects of forest types on soil carbon content in aggregate faction under climate transition zone (frontiersin.org)"/>
    <hyperlink ref="C334" r:id="rId49" display="Short-term cultivation limiting soil aggregate stability and macronutrient accumulation associated with glomalin-related soil protein in Eucalyptus urophylla × Eucalyptus grandis plantations - ScienceDirect"/>
    <hyperlink ref="C335" r:id="rId49" display="Short-term cultivation limiting soil aggregate stability and macronutrient accumulation associated with glomalin-related soil protein in Eucalyptus urophylla × Eucalyptus grandis plantations - ScienceDirect"/>
    <hyperlink ref="C336" r:id="rId49" display="Short-term cultivation limiting soil aggregate stability and macronutrient accumulation associated with glomalin-related soil protein in Eucalyptus urophylla × Eucalyptus grandis plantations - ScienceDirect"/>
    <hyperlink ref="C337" r:id="rId49" display="Short-term cultivation limiting soil aggregate stability and macronutrient accumulation associated with glomalin-related soil protein in Eucalyptus urophylla × Eucalyptus grandis plantations - ScienceDirect"/>
    <hyperlink ref="C338" r:id="rId49" display="Short-term cultivation limiting soil aggregate stability and macronutrient accumulation associated with glomalin-related soil protein in Eucalyptus urophylla × Eucalyptus grandis plantations - ScienceDirect"/>
    <hyperlink ref="C339" r:id="rId49" display="Short-term cultivation limiting soil aggregate stability and macronutrient accumulation associated with glomalin-related soil protein in Eucalyptus urophylla × Eucalyptus grandis plantations - ScienceDirect"/>
    <hyperlink ref="C340" r:id="rId49" display="Short-term cultivation limiting soil aggregate stability and macronutrient accumulation associated with glomalin-related soil protein in Eucalyptus urophylla × Eucalyptus grandis plantations - ScienceDirect"/>
    <hyperlink ref="C341" r:id="rId49" display="Short-term cultivation limiting soil aggregate stability and macronutrient accumulation associated with glomalin-related soil protein in Eucalyptus urophylla × Eucalyptus grandis plantations - ScienceDirect"/>
    <hyperlink ref="C342" r:id="rId49" display="Short-term cultivation limiting soil aggregate stability and macronutrient accumulation associated with glomalin-related soil protein in Eucalyptus urophylla × Eucalyptus grandis plantations - ScienceDirect"/>
    <hyperlink ref="C343" r:id="rId49" display="Short-term cultivation limiting soil aggregate stability and macronutrient accumulation associated with glomalin-related soil protein in Eucalyptus urophylla × Eucalyptus grandis plantations - ScienceDirect"/>
    <hyperlink ref="C344" r:id="rId49" display="Short-term cultivation limiting soil aggregate stability and macronutrient accumulation associated with glomalin-related soil protein in Eucalyptus urophylla × Eucalyptus grandis plantations - ScienceDirect"/>
    <hyperlink ref="C345" r:id="rId49" display="Short-term cultivation limiting soil aggregate stability and macronutrient accumulation associated with glomalin-related soil protein in Eucalyptus urophylla × Eucalyptus grandis plantations - ScienceDirect"/>
    <hyperlink ref="C346" r:id="rId49" display="Short-term cultivation limiting soil aggregate stability and macronutrient accumulation associated with glomalin-related soil protein in Eucalyptus urophylla × Eucalyptus grandis plantations - ScienceDirect"/>
    <hyperlink ref="C347" r:id="rId49" display="Short-term cultivation limiting soil aggregate stability and macronutrient accumulation associated with glomalin-related soil protein in Eucalyptus urophylla × Eucalyptus grandis plantations - ScienceDirect"/>
    <hyperlink ref="C348" r:id="rId49" display="Short-term cultivation limiting soil aggregate stability and macronutrient accumulation associated with glomalin-related soil protein in Eucalyptus urophylla × Eucalyptus grandis plantations - ScienceDirect"/>
    <hyperlink ref="C349" r:id="rId50" display="Determining the Most Sensitive Indicators of Soil Carbon Transformation to the Land-Use Change from Intact Rangeland to Cropland, Western Iran | Intertiol Jourl of Environmental Research (springer.com)"/>
    <hyperlink ref="C4" r:id="rId1" display="Global Change Biology | Environmental Change Jourl | Wiley Online Library"/>
    <hyperlink ref="C5" r:id="rId1" display="Global Change Biology | Environmental Change Jourl | Wiley Online Library"/>
    <hyperlink ref="C350" r:id="rId51" display="Glomalin, an arbuscular-mycorrhizal fungal soil protein, responds to land-use change | Plant and Soil (springer.com)"/>
    <hyperlink ref="C351" r:id="rId51" display="Glomalin, an arbuscular-mycorrhizal fungal soil protein, responds to land-use change | Plant and Soil (springer.com)"/>
    <hyperlink ref="C352" r:id="rId51" display="Glomalin, an arbuscular-mycorrhizal fungal soil protein, responds to land-use change | Plant and Soil (springer.com)"/>
    <hyperlink ref="C353" r:id="rId51" display="Glomalin, an arbuscular-mycorrhizal fungal soil protein, responds to land-use change | Plant and Soil (springer.com)"/>
    <hyperlink ref="C354" r:id="rId51" display="Glomalin, an arbuscular-mycorrhizal fungal soil protein, responds to land-use change | Plant and Soil (springer.com)"/>
    <hyperlink ref="C355" r:id="rId51" display="Glomalin, an arbuscular-mycorrhizal fungal soil protein, responds to land-use change | Plant and Soil (springer.com)"/>
    <hyperlink ref="C356" r:id="rId52" display="Mycorrhizae activity and diversity in conventiol and organic apple orchards from Brazil - ScienceDirect"/>
    <hyperlink ref="C357" r:id="rId52" display="Mycorrhizae activity and diversity in conventiol and organic apple orchards from Brazil - ScienceDirect"/>
    <hyperlink ref="C358" r:id="rId52" display="Mycorrhizae activity and diversity in conventiol and organic apple orchards from Brazil - ScienceDirect"/>
    <hyperlink ref="C359" r:id="rId52" display="Mycorrhizae activity and diversity in conventiol and organic apple orchards from Brazil - ScienceDirect"/>
    <hyperlink ref="C360" r:id="rId53" display="Global Change Biology | Environmental Change Jourl | Wiley Online Library"/>
    <hyperlink ref="C361" r:id="rId53" display="Global Change Biology | Environmental Change Jourl | Wiley Online Library"/>
    <hyperlink ref="C362" r:id="rId53" display="Global Change Biology | Environmental Change Jourl | Wiley Online Library"/>
    <hyperlink ref="C363" r:id="rId54" display="Losses of glomalin-related soil protein under prolonged arable cropping: A chronosequence study in sandy soils of the South African Highveld - ScienceDirect"/>
    <hyperlink ref="C364" r:id="rId55" display="Effects of long-term land use on arbuscular mycorrhizal fungi and glomalin-related soil protein - ScienceDirect"/>
    <hyperlink ref="C365" r:id="rId55" display="Effects of long-term land use on arbuscular mycorrhizal fungi and glomalin-related soil protein - ScienceDirect"/>
    <hyperlink ref="C69" r:id="rId16" display="(PDF) Elevated CO 2 affects the content of glomalin related soil protein in xeric temperate loess and temperate semi-desert sand grasslands (researchgate.net)"/>
    <hyperlink ref="C71:C72" r:id="rId17" display="(PDF) Elevated CO 4 affects the content of glomalin related soil protein in xeric temperate loess and temperate semi-desert sand grasslands (researchgate.net)"/>
    <hyperlink ref="C366" r:id="rId56" display="Disturbance changes arbuscular mycorrhizal fungal phenology and soil glomalin concentrations but not fungal spore composition in montane rainforests in Veracruz and Chiapas, Mexico - ScienceDirect"/>
    <hyperlink ref="C367" r:id="rId56" display="Disturbance changes arbuscular mycorrhizal fungal phenology and soil glomalin concentrations but not fungal spore composition in montane rainforests in Veracruz and Chiapas, Mexico - ScienceDirect"/>
    <hyperlink ref="C368" r:id="rId56" display="Disturbance changes arbuscular mycorrhizal fungal phenology and soil glomalin concentrations but not fungal spore composition in montane rainforests in Veracruz and Chiapas, Mexico - ScienceDirect"/>
    <hyperlink ref="C369" r:id="rId56" display="Disturbance changes arbuscular mycorrhizal fungal phenology and soil glomalin concentrations but not fungal spore composition in montane rainforests in Veracruz and Chiapas, Mexico - ScienceDirect"/>
    <hyperlink ref="C370" r:id="rId56" display="Disturbance changes arbuscular mycorrhizal fungal phenology and soil glomalin concentrations but not fungal spore composition in montane rainforests in Veracruz and Chiapas, Mexico - ScienceDirect"/>
    <hyperlink ref="C371:C373" r:id="rId56" display="Disturbance changes arbuscular mycorrhizal fungal phenology and soil glomalin concentrations but not fungal spore composition in montane rainforests in Veracruz and Chiapas, Mexico - ScienceDirect"/>
    <hyperlink ref="C374" r:id="rId56" display="Disturbance changes arbuscular mycorrhizal fungal phenology and soil glomalin concentrations but not fungal spore composition in montane rainforests in Veracruz and Chiapas, Mexico - ScienceDirect"/>
    <hyperlink ref="C375" r:id="rId57" display="Mycorrhizal dymics under elevated CO2 and nitrogen fertilization in a warm temperate forest | Plant and Soil (springer.com)"/>
    <hyperlink ref="C378" r:id="rId57" display="Mycorrhizal dymics under elevated CO3 and nitrogen fertilization in a warm temperate forest | Plant and Soil (springer.com)"/>
    <hyperlink ref="C376" r:id="rId57" display="Mycorrhizal dymics under elevated CO2 and nitrogen fertilization in a warm temperate forest | Plant and Soil (springer.com)"/>
    <hyperlink ref="C377" r:id="rId57" display="Mycorrhizal dymics under elevated CO3 and nitrogen fertilization in a warm temperate forest | Plant and Soil (springer.com)"/>
    <hyperlink ref="C379" r:id="rId57" display="Mycorrhizal dymics under elevated CO3 and nitrogen fertilization in a warm temperate forest | Plant and Soil (springer.com)"/>
    <hyperlink ref="C380" r:id="rId57" display="Mycorrhizal dymics under elevated CO3 and nitrogen fertilization in a warm temperate forest | Plant and Soil (springer.com)"/>
    <hyperlink ref="C381" r:id="rId57" display="Mycorrhizal dymics under elevated CO3 and nitrogen fertilization in a warm temperate forest | Plant and Soil (springer.com)"/>
    <hyperlink ref="C382" r:id="rId57" display="Mycorrhizal dymics under elevated CO3 and nitrogen fertilization in a warm temperate forest | Plant and Soil (springer.com)"/>
    <hyperlink ref="C385" r:id="rId58" display="Water-stable aggregates, glomalin-related soil protein, and carbohydrates in a chronosequence of sandy hydromorphic soils - ScienceDirect"/>
    <hyperlink ref="C386" r:id="rId58" display="Water-stable aggregates, glomalin-related soil protein, and carbohydrates in a chronosequence of sandy hydromorphic soils - ScienceDirect"/>
    <hyperlink ref="C389" r:id="rId58" display="Water-stable aggregates, glomalin-related soil protein, and carbohydrates in a chronosequence of sandy hydromorphic soils - ScienceDirect"/>
    <hyperlink ref="C390" r:id="rId58" display="Water-stable aggregates, glomalin-related soil protein, and carbohydrates in a chronosequence of sandy hydromorphic soils - ScienceDirect"/>
    <hyperlink ref="C391" r:id="rId58" display="Water-stable aggregates, glomalin-related soil protein, and carbohydrates in a chronosequence of sandy hydromorphic soils - ScienceDirect"/>
    <hyperlink ref="C392" r:id="rId58" display="Water-stable aggregates, glomalin-related soil protein, and carbohydrates in a chronosequence of sandy hydromorphic soils - ScienceDirect"/>
    <hyperlink ref="C393" r:id="rId58" display="Water-stable aggregates, glomalin-related soil protein, and carbohydrates in a chronosequence of sandy hydromorphic soils - ScienceDirect"/>
    <hyperlink ref="C394" r:id="rId58" display="Water-stable aggregates, glomalin-related soil protein, and carbohydrates in a chronosequence of sandy hydromorphic soils - ScienceDirect"/>
    <hyperlink ref="C395" r:id="rId58" display="Water-stable aggregates, glomalin-related soil protein, and carbohydrates in a chronosequence of sandy hydromorphic soils - ScienceDirect"/>
    <hyperlink ref="C396" r:id="rId58" display="Water-stable aggregates, glomalin-related soil protein, and carbohydrates in a chronosequence of sandy hydromorphic soils - ScienceDirect"/>
    <hyperlink ref="C397" r:id="rId58" display="Water-stable aggregates, glomalin-related soil protein, and carbohydrates in a chronosequence of sandy hydromorphic soils - ScienceDirect"/>
    <hyperlink ref="C398" r:id="rId58" display="Water-stable aggregates, glomalin-related soil protein, and carbohydrates in a chronosequence of sandy hydromorphic soils - ScienceDirect"/>
    <hyperlink ref="C399" r:id="rId58" display="Water-stable aggregates, glomalin-related soil protein, and carbohydrates in a chronosequence of sandy hydromorphic soils - ScienceDirect"/>
    <hyperlink ref="C400" r:id="rId58" display="Water-stable aggregates, glomalin-related soil protein, and carbohydrates in a chronosequence of sandy hydromorphic soils - ScienceDirect"/>
    <hyperlink ref="C387" r:id="rId58" display="Water-stable aggregates, glomalin-related soil protein, and carbohydrates in a chronosequence of sandy hydromorphic soils - ScienceDirect"/>
    <hyperlink ref="C388" r:id="rId58" display="Water-stable aggregates, glomalin-related soil protein, and carbohydrates in a chronosequence of sandy hydromorphic soils - ScienceDirect"/>
    <hyperlink ref="C406" r:id="rId59" display="Fungi in century old maged soils could hold key to the development of soil water repellency - ScienceDirect"/>
    <hyperlink ref="C403" r:id="rId59" display="Fungi in century old maged soils could hold key to the development of soil water repellency - ScienceDirect"/>
    <hyperlink ref="C404" r:id="rId59" display="Fungi in century old maged soils could hold key to the development of soil water repellency - ScienceDirect"/>
    <hyperlink ref="C417" r:id="rId60" display="Soil structural stability and erosion rates influenced by agricultural magement practices in a semi‐arid Mediterranean agro‐ecosystem - García‐Orenes - 2012 - Soil Use and Magement - Wiley Online Library"/>
    <hyperlink ref="C418" r:id="rId60" display="Soil structural stability and erosion rates influenced by agricultural magement practices in a semi‐arid Mediterranean agro‐ecosystem - García‐Orenes - 2012 - Soil Use and Magement - Wiley Online Library"/>
    <hyperlink ref="C419" r:id="rId60" display="Soil structural stability and erosion rates influenced by agricultural magement practices in a semi‐arid Mediterranean agro‐ecosystem - García‐Orenes - 2012 - Soil Use and Magement - Wiley Online Library"/>
    <hyperlink ref="C420" r:id="rId60" display="Soil structural stability and erosion rates influenced by agricultural magement practices in a semi‐arid Mediterranean agro‐ecosystem - García‐Orenes - 2012 - Soil Use and Magement - Wiley Online Library"/>
    <hyperlink ref="C421" r:id="rId60" display="Soil structural stability and erosion rates influenced by agricultural magement practices in a semi‐arid Mediterranean agro‐ecosystem - García‐Orenes - 2012 - Soil Use and Magement - Wiley Online Library"/>
    <hyperlink ref="C422" r:id="rId60" display="Soil structural stability and erosion rates influenced by agricultural magement practices in a semi‐arid Mediterranean agro‐ecosystem - García‐Orenes - 2012 - Soil Use and Magement - Wiley Online Library"/>
    <hyperlink ref="C423" r:id="rId60" display="Soil structural stability and erosion rates influenced by agricultural magement practices in a semi‐arid Mediterranean agro‐ecosystem - García‐Orenes - 2012 - Soil Use and Magement - Wiley Online Library"/>
    <hyperlink ref="C424" r:id="rId60" display="Soil structural stability and erosion rates influenced by agricultural magement practices in a semi‐arid Mediterranean agro‐ecosystem - García‐Orenes - 2012 - Soil Use and Magement - Wiley Online Library"/>
    <hyperlink ref="C425" r:id="rId60" display="Soil structural stability and erosion rates influenced by agricultural magement practices in a semi‐arid Mediterranean agro‐ecosystem - García‐Orenes - 2012 - Soil Use and Magement - Wiley Online Library"/>
    <hyperlink ref="C426" r:id="rId60" display="Soil structural stability and erosion rates influenced by agricultural magement practices in a semi‐arid Mediterranean agro‐ecosystem - García‐Orenes - 2012 - Soil Use and Magement - Wiley Online Library"/>
    <hyperlink ref="C435" r:id="rId60" display="Soil structural stability and erosion rates influenced by agricultural magement practices in a semi‐arid Mediterranean agro‐ecosystem - García‐Orenes - 2012 - Soil Use and Magement - Wiley Online Library"/>
    <hyperlink ref="C427" r:id="rId60" display="Soil structural stability and erosion rates influenced by agricultural magement practices in a semi‐arid Mediterranean agro‐ecosystem - García‐Orenes - 2012 - Soil Use and Magement - Wiley Online Library"/>
    <hyperlink ref="C436" r:id="rId60" display="Soil structural stability and erosion rates influenced by agricultural magement practices in a semi‐arid Mediterranean agro‐ecosystem - García‐Orenes - 2012 - Soil Use and Magement - Wiley Online Library"/>
    <hyperlink ref="C428" r:id="rId60" display="Soil structural stability and erosion rates influenced by agricultural magement practices in a semi‐arid Mediterranean agro‐ecosystem - García‐Orenes - 2012 - Soil Use and Magement - Wiley Online Library"/>
    <hyperlink ref="C437" r:id="rId60" display="Soil structural stability and erosion rates influenced by agricultural magement practices in a semi‐arid Mediterranean agro‐ecosystem - García‐Orenes - 2012 - Soil Use and Magement - Wiley Online Library"/>
    <hyperlink ref="C429" r:id="rId60" display="Soil structural stability and erosion rates influenced by agricultural magement practices in a semi‐arid Mediterranean agro‐ecosystem - García‐Orenes - 2012 - Soil Use and Magement - Wiley Online Library"/>
    <hyperlink ref="C438" r:id="rId60" display="Soil structural stability and erosion rates influenced by agricultural magement practices in a semi‐arid Mediterranean agro‐ecosystem - García‐Orenes - 2012 - Soil Use and Magement - Wiley Online Library"/>
    <hyperlink ref="C430" r:id="rId60" display="Soil structural stability and erosion rates influenced by agricultural magement practices in a semi‐arid Mediterranean agro‐ecosystem - García‐Orenes - 2012 - Soil Use and Magement - Wiley Online Library"/>
    <hyperlink ref="C439" r:id="rId60" display="Soil structural stability and erosion rates influenced by agricultural magement practices in a semi‐arid Mediterranean agro‐ecosystem - García‐Orenes - 2012 - Soil Use and Magement - Wiley Online Library"/>
    <hyperlink ref="C431" r:id="rId60" display="Soil structural stability and erosion rates influenced by agricultural magement practices in a semi‐arid Mediterranean agro‐ecosystem - García‐Orenes - 2012 - Soil Use and Magement - Wiley Online Library"/>
    <hyperlink ref="C440" r:id="rId60" display="Soil structural stability and erosion rates influenced by agricultural magement practices in a semi‐arid Mediterranean agro‐ecosystem - García‐Orenes - 2012 - Soil Use and Magement - Wiley Online Library"/>
    <hyperlink ref="C432" r:id="rId60" display="Soil structural stability and erosion rates influenced by agricultural magement practices in a semi‐arid Mediterranean agro‐ecosystem - García‐Orenes - 2012 - Soil Use and Magement - Wiley Online Library"/>
    <hyperlink ref="C441" r:id="rId60" display="Soil structural stability and erosion rates influenced by agricultural magement practices in a semi‐arid Mediterranean agro‐ecosystem - García‐Orenes - 2012 - Soil Use and Magement - Wiley Online Library"/>
    <hyperlink ref="C433" r:id="rId60" display="Soil structural stability and erosion rates influenced by agricultural magement practices in a semi‐arid Mediterranean agro‐ecosystem - García‐Orenes - 2012 - Soil Use and Magement - Wiley Online Library"/>
    <hyperlink ref="C434" r:id="rId60" display="Soil structural stability and erosion rates influenced by agricultural magement practices in a semi‐arid Mediterranean agro‐ecosystem - García‐Orenes - 2012 - Soil Use and Magement - Wiley Online Library"/>
    <hyperlink ref="C442" r:id="rId61" display="Arbuscular mycorrhizal fungal diversity, exterl mycelium length, and glomalin-related soil protein content in response to long-term fertilizer magement | Jourl of Soils and Sediments (springer.com)"/>
    <hyperlink ref="C443" r:id="rId61" display="Arbuscular mycorrhizal fungal diversity, exterl mycelium length, and glomalin-related soil protein content in response to long-term fertilizer magement | Jourl of Soils and Sediments (springer.com)"/>
    <hyperlink ref="C444" r:id="rId61" display="Arbuscular mycorrhizal fungal diversity, exterl mycelium length, and glomalin-related soil protein content in response to long-term fertilizer magement | Jourl of Soils and Sediments (springer.com)"/>
    <hyperlink ref="C445" r:id="rId61" display="Arbuscular mycorrhizal fungal diversity, exterl mycelium length, and glomalin-related soil protein content in response to long-term fertilizer magement | Jourl of Soils and Sediments (springer.com)"/>
    <hyperlink ref="C446" r:id="rId62" display="Soybean fungal soil-borne diseases: a parameter for measuring the effect of agricultural intensification on soil health (cdnsciencepub.com)"/>
    <hyperlink ref="C447" r:id="rId62" display="Soybean fungal soil-borne diseases: a parameter for measuring the effect of agricultural intensification on soil health (cdnsciencepub.com)"/>
    <hyperlink ref="C448" r:id="rId62" display="Soybean fungal soil-borne diseases: a parameter for measuring the effect of agricultural intensification on soil health (cdnsciencepub.com)"/>
    <hyperlink ref="C449" r:id="rId62" display="Soybean fungal soil-borne diseases: a parameter for measuring the effect of agricultural intensification on soil health (cdnsciencepub.com)"/>
    <hyperlink ref="C450" r:id="rId62" display="Soybean fungal soil-borne diseases: a parameter for measuring the effect of agricultural intensification on soil health (cdnsciencepub.com)"/>
    <hyperlink ref="C451" r:id="rId62" display="Soybean fungal soil-borne diseases: a parameter for measuring the effect of agricultural intensification on soil health (cdnsciencepub.com)"/>
    <hyperlink ref="C452" r:id="rId62" display="Soybean fungal soil-borne diseases: a parameter for measuring the effect of agricultural intensification on soil health (cdnsciencepub.com)"/>
    <hyperlink ref="C453" r:id="rId62" display="Soybean fungal soil-borne diseases: a parameter for measuring the effect of agricultural intensification on soil health (cdnsciencepub.com)"/>
    <hyperlink ref="C454" r:id="rId63" display="Arbuscular mycorrhizal fungi in the Brazilian Atlantic forest: A gradient of environmental restoration - ScienceDirect"/>
    <hyperlink ref="C455" r:id="rId63" display="Arbuscular mycorrhizal fungi in the Brazilian Atlantic forest: A gradient of environmental restoration - ScienceDirect"/>
    <hyperlink ref="C456" r:id="rId63" display="Arbuscular mycorrhizal fungi in the Brazilian Atlantic forest: A gradient of environmental restoration - ScienceDirect"/>
    <hyperlink ref="C457" r:id="rId63" display="Arbuscular mycorrhizal fungi in the Brazilian Atlantic forest: A gradient of environmental restoration - ScienceDirect"/>
    <hyperlink ref="C458" r:id="rId63" display="Arbuscular mycorrhizal fungi in the Brazilian Atlantic forest: A gradient of environmental restoration - ScienceDirect"/>
    <hyperlink ref="C459" r:id="rId63" display="Arbuscular mycorrhizal fungi in the Brazilian Atlantic forest: A gradient of environmental restoration - ScienceDirect"/>
    <hyperlink ref="C460" r:id="rId64" display="SciELO - Brazil - Arbuscular mycorrhizal fungi in soil aggregates from fields of &quot;murundus&quot; converted to agriculture Arbuscular mycorrhizal fungi in soil aggregates from fields of &quot;murundus&quot; converted to agriculture"/>
    <hyperlink ref="C461" r:id="rId64" display="SciELO - Brazil - Arbuscular mycorrhizal fungi in soil aggregates from fields of &quot;murundus&quot; converted to agriculture Arbuscular mycorrhizal fungi in soil aggregates from fields of &quot;murundus&quot; converted to agriculture"/>
    <hyperlink ref="C462" r:id="rId64" display="SciELO - Brazil - Arbuscular mycorrhizal fungi in soil aggregates from fields of &quot;murundus&quot; converted to agriculture Arbuscular mycorrhizal fungi in soil aggregates from fields of &quot;murundus&quot; converted to agriculture"/>
    <hyperlink ref="C463" r:id="rId64" display="SciELO - Brazil - Arbuscular mycorrhizal fungi in soil aggregates from fields of &quot;murundus&quot; converted to agriculture Arbuscular mycorrhizal fungi in soil aggregates from fields of &quot;murundus&quot; converted to agriculture"/>
    <hyperlink ref="C464" r:id="rId64" display="SciELO - Brazil - Arbuscular mycorrhizal fungi in soil aggregates from fields of &quot;murundus&quot; converted to agriculture Arbuscular mycorrhizal fungi in soil aggregates from fields of &quot;murundus&quot; converted to agriculture"/>
    <hyperlink ref="C465" r:id="rId64" display="SciELO - Brazil - Arbuscular mycorrhizal fungi in soil aggregates from fields of &quot;murundus&quot; converted to agriculture Arbuscular mycorrhizal fungi in soil aggregates from fields of &quot;murundus&quot; converted to agriculture"/>
    <hyperlink ref="C466" r:id="rId64" display="SciELO - Brazil - Arbuscular mycorrhizal fungi in soil aggregates from fields of &quot;murundus&quot; converted to agriculture Arbuscular mycorrhizal fungi in soil aggregates from fields of &quot;murundus&quot; converted to agriculture"/>
    <hyperlink ref="C467" r:id="rId64" display="SciELO - Brazil - Arbuscular mycorrhizal fungi in soil aggregates from fields of &quot;murundus&quot; converted to agriculture Arbuscular mycorrhizal fungi in soil aggregates from fields of &quot;murundus&quot; converted to agriculture"/>
    <hyperlink ref="C468" r:id="rId64" display="SciELO - Brazil - Arbuscular mycorrhizal fungi in soil aggregates from fields of &quot;murundus&quot; converted to agriculture Arbuscular mycorrhizal fungi in soil aggregates from fields of &quot;murundus&quot; converted to agriculture"/>
    <hyperlink ref="C469" r:id="rId65" display="Glomalin-related soil protein responses to elevated CO2 and nitrogen addition in a subtropical forest: Potential consequences for soil carbon accumulation - ScienceDirect"/>
    <hyperlink ref="C470" r:id="rId65" display="Glomalin-related soil protein responses to elevated CO2 and nitrogen addition in a subtropical forest: Potential consequences for soil carbon accumulation - ScienceDirect"/>
    <hyperlink ref="C471" r:id="rId65" display="Glomalin-related soil protein responses to elevated CO2 and nitrogen addition in a subtropical forest: Potential consequences for soil carbon accumulation - ScienceDirect"/>
    <hyperlink ref="C472" r:id="rId65" display="Glomalin-related soil protein responses to elevated CO2 and nitrogen addition in a subtropical forest: Potential consequences for soil carbon accumulation - ScienceDirect"/>
    <hyperlink ref="C473" r:id="rId65" display="Glomalin-related soil protein responses to elevated CO2 and nitrogen addition in a subtropical forest: Potential consequences for soil carbon accumulation - ScienceDirect"/>
    <hyperlink ref="C474" r:id="rId65" display="Glomalin-related soil protein responses to elevated CO2 and nitrogen addition in a subtropical forest: Potential consequences for soil carbon accumulation - ScienceDirect"/>
    <hyperlink ref="C475" r:id="rId65" display="Glomalin-related soil protein responses to elevated CO2 and nitrogen addition in a subtropical forest: Potential consequences for soil carbon accumulation - ScienceDirect"/>
    <hyperlink ref="C476" r:id="rId65" display="Glomalin-related soil protein responses to elevated CO2 and nitrogen addition in a subtropical forest: Potential consequences for soil carbon accumulation - ScienceDirect"/>
    <hyperlink ref="C477" r:id="rId65" display="Glomalin-related soil protein responses to elevated CO2 and nitrogen addition in a subtropical forest: Potential consequences for soil carbon accumulation - ScienceDirect"/>
    <hyperlink ref="C478" r:id="rId65" display="Glomalin-related soil protein responses to elevated CO2 and nitrogen addition in a subtropical forest: Potential consequences for soil carbon accumulation - ScienceDirect"/>
    <hyperlink ref="C479" r:id="rId65" display="Glomalin-related soil protein responses to elevated CO2 and nitrogen addition in a subtropical forest: Potential consequences for soil carbon accumulation - ScienceDirect"/>
    <hyperlink ref="C480" r:id="rId65" display="Glomalin-related soil protein responses to elevated CO2 and nitrogen addition in a subtropical forest: Potential consequences for soil carbon accumulation - ScienceDirect"/>
    <hyperlink ref="C482" r:id="rId66" display="Long-term effects of fertilizer on soil enzymatic activity of wheat field soil in Loess Plateau, Chi | Ecotoxicology (springer.com)"/>
    <hyperlink ref="C483" r:id="rId66" display="Long-term effects of fertilizer on soil enzymatic activity of wheat field soil in Loess Plateau, Chi | Ecotoxicology (springer.com)"/>
    <hyperlink ref="C484" r:id="rId66" display="Long-term effects of fertilizer on soil enzymatic activity of wheat field soil in Loess Plateau, Chi | Ecotoxicology (springer.com)"/>
    <hyperlink ref="C485" r:id="rId66" display="Long-term effects of fertilizer on soil enzymatic activity of wheat field soil in Loess Plateau, Chi | Ecotoxicology (springer.com)"/>
    <hyperlink ref="C486" r:id="rId66" display="Long-term effects of fertilizer on soil enzymatic activity of wheat field soil in Loess Plateau, Chi | Ecotoxicology (springer.com)"/>
    <hyperlink ref="C487" r:id="rId66" display="Long-term effects of fertilizer on soil enzymatic activity of wheat field soil in Loess Plateau, Chi | Ecotoxicology (springer.com)"/>
    <hyperlink ref="C488" r:id="rId66" display="Long-term effects of fertilizer on soil enzymatic activity of wheat field soil in Loess Plateau, Chi | Ecotoxicology (springer.com)"/>
    <hyperlink ref="C489" r:id="rId66" display="Long-term effects of fertilizer on soil enzymatic activity of wheat field soil in Loess Plateau, Chi | Ecotoxicology (springer.com)"/>
    <hyperlink ref="C490" r:id="rId66" display="Long-term effects of fertilizer on soil enzymatic activity of wheat field soil in Loess Plateau, Chi | Ecotoxicology (springer.com)"/>
    <hyperlink ref="C491" r:id="rId66" display="Long-term effects of fertilizer on soil enzymatic activity of wheat field soil in Loess Plateau, Chi | Ecotoxicology (springer.com)"/>
    <hyperlink ref="C492" r:id="rId66" display="Long-term effects of fertilizer on soil enzymatic activity of wheat field soil in Loess Plateau, Chi | Ecotoxicology (springer.com)"/>
    <hyperlink ref="C493" r:id="rId66" display="Long-term effects of fertilizer on soil enzymatic activity of wheat field soil in Loess Plateau, Chi | Ecotoxicology (springer.com)"/>
    <hyperlink ref="C494" r:id="rId66" display="Long-term effects of fertilizer on soil enzymatic activity of wheat field soil in Loess Plateau, Chi | Ecotoxicology (springer.com)"/>
    <hyperlink ref="C495" r:id="rId66" display="Long-term effects of fertilizer on soil enzymatic activity of wheat field soil in Loess Plateau, Chi | Ecotoxicology (springer.com)"/>
    <hyperlink ref="C496" r:id="rId66" display="Long-term effects of fertilizer on soil enzymatic activity of wheat field soil in Loess Plateau, Chi | Ecotoxicology (springer.com)"/>
    <hyperlink ref="C497" r:id="rId66" display="Long-term effects of fertilizer on soil enzymatic activity of wheat field soil in Loess Plateau, Chi | Ecotoxicology (springer.com)"/>
    <hyperlink ref="C498" r:id="rId66" display="Long-term effects of fertilizer on soil enzymatic activity of wheat field soil in Loess Plateau, Chi | Ecotoxicology (springer.com)"/>
    <hyperlink ref="C499" r:id="rId66" display="Long-term effects of fertilizer on soil enzymatic activity of wheat field soil in Loess Plateau, Chi | Ecotoxicology (springer.com)"/>
    <hyperlink ref="C500" r:id="rId67" display="Role and Variation of the Amount and Composition of Glomalin in Soil Properties in Farmland and Adjacent Plantations with Reference to a Primary Forest in North-Eastern Chi | PLOS ONE"/>
    <hyperlink ref="C501" r:id="rId67" display="Role and Variation of the Amount and Composition of Glomalin in Soil Properties in Farmland and Adjacent Plantations with Reference to a Primary Forest in North-Eastern Chi | PLOS ONE"/>
    <hyperlink ref="C502" r:id="rId68" display="Seasol Patterns of Soil Respiration and Related Soil Biochemical Properties under Nitrogen Addition in Winter Wheat Field | PLOS ONE"/>
    <hyperlink ref="C503:C504" r:id="rId68" display="Seasol Patterns of Soil Respiration and Related Soil Biochemical Properties under Nitrogen Addition in Winter Wheat Field | PLOS ONE"/>
    <hyperlink ref="C505" r:id="rId68" display="Seasol Patterns of Soil Respiration and Related Soil Biochemical Properties under Nitrogen Addition in Winter Wheat Field | PLOS ONE"/>
    <hyperlink ref="C506" r:id="rId68" display="Seasol Patterns of Soil Respiration and Related Soil Biochemical Properties under Nitrogen Addition in Winter Wheat Field | PLOS ONE"/>
    <hyperlink ref="C507" r:id="rId68" display="Seasol Patterns of Soil Respiration and Related Soil Biochemical Properties under Nitrogen Addition in Winter Wheat Field | PLOS ONE"/>
    <hyperlink ref="C508" r:id="rId68" display="Seasol Patterns of Soil Respiration and Related Soil Biochemical Properties under Nitrogen Addition in Winter Wheat Field | PLOS ONE"/>
    <hyperlink ref="C509" r:id="rId68" display="Seasol Patterns of Soil Respiration and Related Soil Biochemical Properties under Nitrogen Addition in Winter Wheat Field | PLOS ONE"/>
    <hyperlink ref="C510" r:id="rId68" display="Seasol Patterns of Soil Respiration and Related Soil Biochemical Properties under Nitrogen Addition in Winter Wheat Field | PLOS ONE"/>
    <hyperlink ref="C511" r:id="rId68" display="Seasol Patterns of Soil Respiration and Related Soil Biochemical Properties under Nitrogen Addition in Winter Wheat Field | PLOS ONE"/>
    <hyperlink ref="C512" r:id="rId68" display="Seasol Patterns of Soil Respiration and Related Soil Biochemical Properties under Nitrogen Addition in Winter Wheat Field | PLOS ONE"/>
    <hyperlink ref="C513" r:id="rId68" display="Seasol Patterns of Soil Respiration and Related Soil Biochemical Properties under Nitrogen Addition in Winter Wheat Field | PLOS ONE"/>
    <hyperlink ref="C514" r:id="rId68" display="Seasol Patterns of Soil Respiration and Related Soil Biochemical Properties under Nitrogen Addition in Winter Wheat Field | PLOS ONE"/>
    <hyperlink ref="C515" r:id="rId68" display="Seasol Patterns of Soil Respiration and Related Soil Biochemical Properties under Nitrogen Addition in Winter Wheat Field | PLOS ONE"/>
    <hyperlink ref="C516" r:id="rId68" display="Seasol Patterns of Soil Respiration and Related Soil Biochemical Properties under Nitrogen Addition in Winter Wheat Field | PLOS ONE"/>
    <hyperlink ref="C517" r:id="rId69" display="SciELO - Brazil - Biological Properties and Organic Matter Dymics of Soil in Pasture and tural Regeneration Areas in the Atlantic Forest Biome Biological Properties and Organic Matter Dymics of Soil in Pasture and tural Regeneration Areas in the Atlantic Forest Biome"/>
    <hyperlink ref="C518" r:id="rId69" display="SciELO - Brazil - Biological Properties and Organic Matter Dymics of Soil in Pasture and tural Regeneration Areas in the Atlantic Forest Biome Biological Properties and Organic Matter Dymics of Soil in Pasture and tural Regeneration Areas in the Atlantic Forest Biome"/>
    <hyperlink ref="C519" r:id="rId69" display="SciELO - Brazil - Biological Properties and Organic Matter Dymics of Soil in Pasture and tural Regeneration Areas in the Atlantic Forest Biome Biological Properties and Organic Matter Dymics of Soil in Pasture and tural Regeneration Areas in the Atlantic Forest Biome"/>
    <hyperlink ref="C520" r:id="rId69" display="SciELO - Brazil - Biological Properties and Organic Matter Dymics of Soil in Pasture and tural Regeneration Areas in the Atlantic Forest Biome Biological Properties and Organic Matter Dymics of Soil in Pasture and tural Regeneration Areas in the Atlantic Forest Biome"/>
    <hyperlink ref="C525" r:id="rId70" display="Change in total glomalin content related to soil proteins after a wildAFire in an Andisol of Araucaria arauca forests of south-central Chile (scielo.cl)"/>
    <hyperlink ref="C526" r:id="rId70" display="Change in total glomalin content related to soil proteins after a wildAFire in an Andisol of Araucaria arauca forests of south-central Chile (scielo.cl)"/>
    <hyperlink ref="C527" r:id="rId70" display="Change in total glomalin content related to soil proteins after a wildAFire in an Andisol of Araucaria arauca forests of south-central Chile (scielo.cl)"/>
    <hyperlink ref="C528" r:id="rId70" display="Change in total glomalin content related to soil proteins after a wildAFire in an Andisol of Araucaria arauca forests of south-central Chile (scielo.cl)"/>
    <hyperlink ref="C529" r:id="rId70" display="Change in total glomalin content related to soil proteins after a wildAFire in an Andisol of Araucaria arauca forests of south-central Chile (scielo.cl)"/>
    <hyperlink ref="C530" r:id="rId70" display="Change in total glomalin content related to soil proteins after a wildAFire in an Andisol of Araucaria arauca forests of south-central Chile (scielo.cl)"/>
    <hyperlink ref="C531" r:id="rId70" display="Change in total glomalin content related to soil proteins after a wildAFire in an Andisol of Araucaria arauca forests of south-central Chile (scielo.cl)"/>
    <hyperlink ref="C532" r:id="rId70" display="Change in total glomalin content related to soil proteins after a wildAFire in an Andisol of Araucaria arauca forests of south-central Chile (scielo.cl)"/>
    <hyperlink ref="C533" r:id="rId70" display="Change in total glomalin content related to soil proteins after a wildAFire in an Andisol of Araucaria arauca forests of south-central Chile (scielo.cl)"/>
    <hyperlink ref="C534" r:id="rId70" display="Change in total glomalin content related to soil proteins after a wildAFire in an Andisol of Araucaria arauca forests of south-central Chile (scielo.cl)"/>
    <hyperlink ref="C535" r:id="rId70" display="Change in total glomalin content related to soil proteins after a wildAFire in an Andisol of Araucaria arauca forests of south-central Chile (scielo.cl)"/>
    <hyperlink ref="C536" r:id="rId70" display="Change in total glomalin content related to soil proteins after a wildAFire in an Andisol of Araucaria arauca forests of south-central Chile (scielo.cl)"/>
    <hyperlink ref="C537" r:id="rId71" display="Soil carbon fractions under maize–wheat system: effect of tillage and nutrient magement | Environmental Monitoring and Assessment (springer.com)"/>
    <hyperlink ref="C538" r:id="rId71" display="Soil carbon fractions under maize–wheat system: effect of tillage and nutrient magement | Environmental Monitoring and Assessment (springer.com)"/>
    <hyperlink ref="C539" r:id="rId72" display="Land Degradation &amp; Development | Environmental &amp; Soil Science Jourl | Wiley Online Jourl"/>
    <hyperlink ref="C540" r:id="rId72" display="Land Degradation &amp; Development | Environmental &amp; Soil Science Jourl | Wiley Online Jourl"/>
    <hyperlink ref="C541" r:id="rId72" display="Land Degradation &amp; Development | Environmental &amp; Soil Science Jourl | Wiley Online Jourl"/>
    <hyperlink ref="C542" r:id="rId72" display="Land Degradation &amp; Development | Environmental &amp; Soil Science Jourl | Wiley Online Jourl"/>
    <hyperlink ref="C543" r:id="rId72" display="Land Degradation &amp; Development | Environmental &amp; Soil Science Jourl | Wiley Online Jourl"/>
    <hyperlink ref="C544" r:id="rId72" display="Land Degradation &amp; Development | Environmental &amp; Soil Science Jourl | Wiley Online Jourl"/>
    <hyperlink ref="C565" r:id="rId73" display="Can soil properties and agricultural land use affect arbuscular mycorrhizal fungal communities indigenous from the Argentinean Pampas soils? - ScienceDirect"/>
    <hyperlink ref="C566" r:id="rId73" display="Can soil properties and agricultural land use affect arbuscular mycorrhizal fungal communities indigenous from the Argentinean Pampas soils? - ScienceDirect"/>
    <hyperlink ref="C567" r:id="rId73" display="Can soil properties and agricultural land use affect arbuscular mycorrhizal fungal communities indigenous from the Argentinean Pampas soils? - ScienceDirect"/>
    <hyperlink ref="C568" r:id="rId73" display="Can soil properties and agricultural land use affect arbuscular mycorrhizal fungal communities indigenous from the Argentinean Pampas soils? - ScienceDirect"/>
    <hyperlink ref="C569" r:id="rId73" display="Can soil properties and agricultural land use affect arbuscular mycorrhizal fungal communities indigenous from the Argentinean Pampas soils? - ScienceDirect"/>
    <hyperlink ref="C570" r:id="rId73" display="Can soil properties and agricultural land use affect arbuscular mycorrhizal fungal communities indigenous from the Argentinean Pampas soils? - ScienceDirect"/>
    <hyperlink ref="C571" r:id="rId73" display="Can soil properties and agricultural land use affect arbuscular mycorrhizal fungal communities indigenous from the Argentinean Pampas soils? - ScienceDirect"/>
    <hyperlink ref="C572" r:id="rId74" display="Conversion of forest into irrigated pasture II. Changes in the physical properties of the soil - ScienceDirect"/>
    <hyperlink ref="C573" r:id="rId74" display="Conversion of forest into irrigated pasture II. Changes in the physical properties of the soil - ScienceDirect"/>
    <hyperlink ref="C574" r:id="rId74" display="Conversion of forest into irrigated pasture II. Changes in the physical properties of the soil - ScienceDirect"/>
    <hyperlink ref="C575" r:id="rId74" display="Conversion of forest into irrigated pasture II. Changes in the physical properties of the soil - ScienceDirect"/>
    <hyperlink ref="C576" r:id="rId74" display="Conversion of forest into irrigated pasture II. Changes in the physical properties of the soil - ScienceDirect"/>
    <hyperlink ref="C577" r:id="rId74" display="Conversion of forest into irrigated pasture II. Changes in the physical properties of the soil - ScienceDirect"/>
    <hyperlink ref="C579" r:id="rId75" display="Glomalin-related soil proteins respond negatively to fertilization and fungicide application in Chi's arid grassland - ScienceDirect"/>
    <hyperlink ref="C580" r:id="rId75" display="Glomalin-related soil proteins respond negatively to fertilization and fungicide application in Chi's arid grassland - ScienceDirect"/>
    <hyperlink ref="C581" r:id="rId75" display="Glomalin-related soil proteins respond negatively to fertilization and fungicide application in Chi's arid grassland - ScienceDirect"/>
    <hyperlink ref="C582" r:id="rId76" display="Dymics of glomalin-related soil protein and soil aggregates during secondary succession in the temperate forest - ScienceDirect"/>
    <hyperlink ref="C583" r:id="rId76" display="Dymics of glomalin-related soil protein and soil aggregates during secondary succession in the temperate forest - ScienceDirect"/>
    <hyperlink ref="C584" r:id="rId76" display="Dymics of glomalin-related soil protein and soil aggregates during secondary succession in the temperate forest - ScienceDirect"/>
    <hyperlink ref="C585" r:id="rId76" display="Dymics of glomalin-related soil protein and soil aggregates during secondary succession in the temperate forest - ScienceDirect"/>
    <hyperlink ref="C586" r:id="rId76" display="Dymics of glomalin-related soil protein and soil aggregates during secondary succession in the temperate forest - ScienceDirect"/>
    <hyperlink ref="C587" r:id="rId76" display="Dymics of glomalin-related soil protein and soil aggregates during secondary succession in the temperate forest - ScienceDirect"/>
    <hyperlink ref="C588" r:id="rId76" display="Dymics of glomalin-related soil protein and soil aggregates during secondary succession in the temperate forest - ScienceDirect"/>
    <hyperlink ref="C589" r:id="rId76" display="Dymics of glomalin-related soil protein and soil aggregates during secondary succession in the temperate forest - ScienceDirect"/>
    <hyperlink ref="C590" r:id="rId76" display="Dymics of glomalin-related soil protein and soil aggregates during secondary succession in the temperate forest - ScienceDirect"/>
    <hyperlink ref="C591" r:id="rId76" display="Dymics of glomalin-related soil protein and soil aggregates during secondary succession in the temperate forest - ScienceDirect"/>
    <hyperlink ref="C592" r:id="rId76" display="Dymics of glomalin-related soil protein and soil aggregates during secondary succession in the temperate forest - ScienceDirect"/>
    <hyperlink ref="C593" r:id="rId76" display="Dymics of glomalin-related soil protein and soil aggregates during secondary succession in the temperate forest - ScienceDirect"/>
    <hyperlink ref="C594" r:id="rId77" display="Assessing differential land use impacts on soil quality: A method based on log-response ratios and polygol projections - ScienceDirect"/>
    <hyperlink ref="C595" r:id="rId77" display="Assessing differential land use impacts on soil quality: A method based on log-response ratios and polygol projections - ScienceDirect"/>
    <hyperlink ref="C596" r:id="rId77" display="Assessing differential land use impacts on soil quality: A method based on log-response ratios and polygol projections - ScienceDirect"/>
    <hyperlink ref="C597" r:id="rId78" display="Sensitivity of glomalin-related soil protein to wildAFires: Immediate and medium-term changes - ScienceDirect"/>
    <hyperlink ref="C599" r:id="rId78" display="Sensitivity of glomalin-related soil protein to wildAFires: Immediate and medium-term changes - ScienceDirect"/>
    <hyperlink ref="C598" r:id="rId78" display="Sensitivity of glomalin-related soil protein to wildAFires: Immediate and medium-term changes - ScienceDirect"/>
    <hyperlink ref="C600" r:id="rId78" display="Sensitivity of glomalin-related soil protein to wildAFires: Immediate and medium-term changes - ScienceDirect"/>
    <hyperlink ref="C613" r:id="rId79" display="Contribution of glomalin to dissolve organic carbon under different land uses and seasolity in dry tropics - ScienceDirect"/>
    <hyperlink ref="C614" r:id="rId79" display="Contribution of glomalin to dissolve organic carbon under different land uses and seasolity in dry tropics - ScienceDirect"/>
    <hyperlink ref="C615" r:id="rId79" display="Contribution of glomalin to dissolve organic carbon under different land uses and seasolity in dry tropics - ScienceDirect"/>
    <hyperlink ref="C616" r:id="rId79" display="Contribution of glomalin to dissolve organic carbon under different land uses and seasolity in dry tropics - ScienceDirect"/>
    <hyperlink ref="C617" r:id="rId79" display="Contribution of glomalin to dissolve organic carbon under different land uses and seasolity in dry tropics - ScienceDirect"/>
    <hyperlink ref="C618" r:id="rId79" display="Contribution of glomalin to dissolve organic carbon under different land uses and seasolity in dry tropics - ScienceDirect"/>
    <hyperlink ref="C619" r:id="rId80" display="Soil mycorrhizal and nematode diversity vary in response to bioenergy crop identity and fertilization - Emery - 2017 - GCB Bioenergy - Wiley Online Library"/>
    <hyperlink ref="C620" r:id="rId80" display="Soil mycorrhizal and nematode diversity vary in response to bioenergy crop identity and fertilization - Emery - 2017 - GCB Bioenergy - Wiley Online Library"/>
    <hyperlink ref="C621" r:id="rId80" display="Soil mycorrhizal and nematode diversity vary in response to bioenergy crop identity and fertilization - Emery - 2017 - GCB Bioenergy - Wiley Online Library"/>
    <hyperlink ref="C622" r:id="rId80" display="Soil mycorrhizal and nematode diversity vary in response to bioenergy crop identity and fertilization - Emery - 2017 - GCB Bioenergy - Wiley Online Library"/>
    <hyperlink ref="C623" r:id="rId81" display="Bamboo forest expansion increases soil organic carbon through its effect on soil arbuscular mycorrhizal fungal community and abundance | Plant and Soil (springer.com)"/>
    <hyperlink ref="C624" r:id="rId81" display="Bamboo forest expansion increases soil organic carbon through its effect on soil arbuscular mycorrhizal fungal community and abundance | Plant and Soil (springer.com)"/>
    <hyperlink ref="C625" r:id="rId82" display="Riparian reforestation with a single exotic species restores soil aggregation and porosity but not humic substances - Santos - 2018 - Soil Use and Magement - Wiley Online Library"/>
    <hyperlink ref="C626" r:id="rId82" display="Riparian reforestation with a single exotic species restores soil aggregation and porosity but not humic substances - Santos - 2018 - Soil Use and Magement - Wiley Online Library"/>
    <hyperlink ref="C638:C649" r:id="rId83" display="Long-term fertilization effects on soil organic carbon sequestration in an Inceptisol - ScienceDirect"/>
    <hyperlink ref="C627" r:id="rId83" display="Long-term fertilization effects on soil organic carbon sequestration in an Inceptisol - ScienceDirect"/>
    <hyperlink ref="C628:C638" r:id="rId83" display="Long-term fertilization effects on soil organic carbon sequestration in an Inceptisol - ScienceDirect"/>
    <hyperlink ref="C639" r:id="rId83" display="Long-term fertilization effects on soil organic carbon sequestration in an Inceptisol - ScienceDirect"/>
    <hyperlink ref="C640" r:id="rId83" display="Long-term fertilization effects on soil organic carbon sequestration in an Inceptisol - ScienceDirect"/>
    <hyperlink ref="C641" r:id="rId83" display="Long-term fertilization effects on soil organic carbon sequestration in an Inceptisol - ScienceDirect"/>
    <hyperlink ref="C642" r:id="rId83" display="Long-term fertilization effects on soil organic carbon sequestration in an Inceptisol - ScienceDirect"/>
    <hyperlink ref="C643" r:id="rId83" display="Long-term fertilization effects on soil organic carbon sequestration in an Inceptisol - ScienceDirect"/>
    <hyperlink ref="C644" r:id="rId83" display="Long-term fertilization effects on soil organic carbon sequestration in an Inceptisol - ScienceDirect"/>
    <hyperlink ref="C645" r:id="rId83" display="Long-term fertilization effects on soil organic carbon sequestration in an Inceptisol - ScienceDirect"/>
    <hyperlink ref="C646" r:id="rId83" display="Long-term fertilization effects on soil organic carbon sequestration in an Inceptisol - ScienceDirect"/>
    <hyperlink ref="C647" r:id="rId83" display="Long-term fertilization effects on soil organic carbon sequestration in an Inceptisol - ScienceDirect"/>
    <hyperlink ref="C648" r:id="rId83" display="Long-term fertilization effects on soil organic carbon sequestration in an Inceptisol - ScienceDirect"/>
    <hyperlink ref="C649" r:id="rId83" display="Long-term fertilization effects on soil organic carbon sequestration in an Inceptisol - ScienceDirect"/>
    <hyperlink ref="C650" r:id="rId83" display="Long-term fertilization effects on soil organic carbon sequestration in an Inceptisol - ScienceDirect"/>
    <hyperlink ref="C651" r:id="rId84" display="The response of glomalin-related soil proteins to AFire or tillage - ScienceDirect"/>
    <hyperlink ref="C652" r:id="rId84" display="The response of glomalin-related soil proteins to AFire or tillage - ScienceDirect"/>
    <hyperlink ref="C653" r:id="rId84" display="The response of glomalin-related soil proteins to AFire or tillage - ScienceDirect"/>
    <hyperlink ref="C654" r:id="rId84" display="The response of glomalin-related soil proteins to fire or tillage - ScienceDirect"/>
    <hyperlink ref="C655" r:id="rId84" display="The response of glomalin-related soil proteins to fire or tillage - ScienceDirect"/>
    <hyperlink ref="C656" r:id="rId84" display="The response of glomalin-related soil proteins to AFire or tillage - ScienceDirect"/>
    <hyperlink ref="C657" r:id="rId84" display="The response of glomalin-related soil proteins to AFire or tillage - ScienceDirect"/>
    <hyperlink ref="C658" r:id="rId84" display="The response of glomalin-related soil proteins to AFire or tillage - ScienceDirect"/>
    <hyperlink ref="C659" r:id="rId84" display="The response of glomalin-related soil proteins to fire or tillage - ScienceDirect"/>
    <hyperlink ref="C660" r:id="rId84" display="The response of glomalin-related soil proteins to fire or tillage - ScienceDirect"/>
    <hyperlink ref="C661" r:id="rId84" display="The response of glomalin-related soil proteins to AFire or tillage - ScienceDirect"/>
    <hyperlink ref="C662" r:id="rId84" display="The response of glomalin-related soil proteins to AFire or tillage - ScienceDirect"/>
    <hyperlink ref="C663" r:id="rId84" display="The response of glomalin-related soil proteins to AFire or tillage - ScienceDirect"/>
    <hyperlink ref="C664" r:id="rId84" display="The response of glomalin-related soil proteins to fire or tillage - ScienceDirect"/>
    <hyperlink ref="C665" r:id="rId84" display="The response of glomalin-related soil proteins to fire or tillage - ScienceDirect"/>
    <hyperlink ref="C666" r:id="rId84" display="The response of glomalin-related soil proteins to AFire or tillage - ScienceDirect"/>
    <hyperlink ref="C667" r:id="rId84" display="The response of glomalin-related soil proteins to AFire or tillage - ScienceDirect"/>
    <hyperlink ref="C668" r:id="rId84" display="The response of glomalin-related soil proteins to AFire or tillage - ScienceDirect"/>
    <hyperlink ref="C669" r:id="rId84" display="The response of glomalin-related soil proteins to fire or tillage - ScienceDirect"/>
    <hyperlink ref="C670" r:id="rId84" display="The response of glomalin-related soil proteins to fire or tillage - ScienceDirect"/>
    <hyperlink ref="C671" r:id="rId85" display="SciELO - Brazil - Physical, Chemical, and Microbiological Properties of Soil under Different Plant Covers in the Seridó Desertification Region in the Brazilian Semiarid Physical, Chemical, and Microbiological Properties of Soil under Different Plant Covers in the Seridó Desertification Region in the Brazilian Semiarid"/>
    <hyperlink ref="C672" r:id="rId85" display="SciELO - Brazil - Physical, Chemical, and Microbiological Properties of Soil under Different Plant Covers in the Seridó Desertification Region in the Brazilian Semiarid Physical, Chemical, and Microbiological Properties of Soil under Different Plant Covers in the Seridó Desertification Region in the Brazilian Semiarid"/>
    <hyperlink ref="C673" r:id="rId85" display="SciELO - Brazil - Physical, Chemical, and Microbiological Properties of Soil under Different Plant Covers in the Seridó Desertification Region in the Brazilian Semiarid Physical, Chemical, and Microbiological Properties of Soil under Different Plant Covers in the Seridó Desertification Region in the Brazilian Semiarid"/>
    <hyperlink ref="C674" r:id="rId85" display="SciELO - Brazil - Physical, Chemical, and Microbiological Properties of Soil under Different Plant Covers in the Seridó Desertification Region in the Brazilian Semiarid Physical, Chemical, and Microbiological Properties of Soil under Different Plant Covers in the Seridó Desertification Region in the Brazilian Semiarid"/>
    <hyperlink ref="C676:C678" r:id="rId10" display="Tree growth rate regulate the influence of elevated CO2 on soil biochemical responses under tropical condition - ScienceDirect"/>
    <hyperlink ref="C675" r:id="rId86" display="Tree growth rate regulate the influence of elevated CO2 on soil biochemical responses under tropical condition - ScienceDirect"/>
    <hyperlink ref="C676" r:id="rId86" display="Tree growth rate regulate the influence of elevated CO2 on soil biochemical responses under tropical condition - ScienceDirect"/>
    <hyperlink ref="C677" r:id="rId86" display="Tree growth rate regulate the influence of elevated CO2 on soil biochemical responses under tropical condition - ScienceDirect"/>
    <hyperlink ref="C678" r:id="rId86" display="Tree growth rate regulate the influence of elevated CO2 on soil biochemical responses under tropical condition - ScienceDirect"/>
    <hyperlink ref="C38" r:id="rId9" display="Soil biochemical parameters in the rhizosphere contribute more to changes in soil respiration and its components than those in the bulk soil under nitrogen application in croplands | Plant and Soil (springer.com)"/>
    <hyperlink ref="C679" r:id="rId87" display="Plant community regulates soil multifunctiolity in a tropical dry forest - ScienceDirect"/>
    <hyperlink ref="C680:C696" r:id="rId87" display="Plant community regulates soil multifunctiolity in a tropical dry forest - ScienceDirect"/>
    <hyperlink ref="C697" r:id="rId88" display="Arbuscular mycorrhizal fungi along secondary forest succession at the eastern periphery of Amazonia: Seasol variability and impacts of soil fertility - ScienceDirect"/>
    <hyperlink ref="C698" r:id="rId88" display="Arbuscular mycorrhizal fungi along secondary forest succession at the eastern periphery of Amazonia: Seasol variability and impacts of soil fertility - ScienceDirect"/>
    <hyperlink ref="C699" r:id="rId88" display="Arbuscular mycorrhizal fungi along secondary forest succession at the eastern periphery of Amazonia: Seasol variability and impacts of soil fertility - ScienceDirect"/>
    <hyperlink ref="C700" r:id="rId88" display="Arbuscular mycorrhizal fungi along secondary forest succession at the eastern periphery of Amazonia: Seasol variability and impacts of soil fertility - ScienceDirect"/>
    <hyperlink ref="C701:C712" r:id="rId10" display="Land Degradation &amp; Development | Environmental &amp; Soil Science Jourl | Wiley Online Jourl"/>
    <hyperlink ref="C701" r:id="rId89" display="Land Degradation &amp; Development | Environmental &amp; Soil Science Jourl | Wiley Online Jourl"/>
    <hyperlink ref="C702" r:id="rId89" display="Land Degradation &amp; Development | Environmental &amp; Soil Science Jourl | Wiley Online Jourl"/>
    <hyperlink ref="C703" r:id="rId89" display="Land Degradation &amp; Development | Environmental &amp; Soil Science Jourl | Wiley Online Jourl"/>
    <hyperlink ref="C704" r:id="rId89" display="Land Degradation &amp; Development | Environmental &amp; Soil Science Jourl | Wiley Online Jourl"/>
    <hyperlink ref="C705" r:id="rId89" display="Land Degradation &amp; Development | Environmental &amp; Soil Science Jourl | Wiley Online Jourl"/>
    <hyperlink ref="C706" r:id="rId89" display="Land Degradation &amp; Development | Environmental &amp; Soil Science Jourl | Wiley Online Jourl"/>
    <hyperlink ref="C707" r:id="rId89" display="Land Degradation &amp; Development | Environmental &amp; Soil Science Jourl | Wiley Online Jourl"/>
    <hyperlink ref="C708" r:id="rId89" display="Land Degradation &amp; Development | Environmental &amp; Soil Science Jourl | Wiley Online Jourl"/>
    <hyperlink ref="C709" r:id="rId89" display="Land Degradation &amp; Development | Environmental &amp; Soil Science Jourl | Wiley Online Jourl"/>
    <hyperlink ref="C710" r:id="rId89" display="Land Degradation &amp; Development | Environmental &amp; Soil Science Jourl | Wiley Online Jourl"/>
    <hyperlink ref="C711" r:id="rId89" display="Land Degradation &amp; Development | Environmental &amp; Soil Science Jourl | Wiley Online Jourl"/>
    <hyperlink ref="C712" r:id="rId89" display="Land Degradation &amp; Development | Environmental &amp; Soil Science Jourl | Wiley Online Jourl"/>
    <hyperlink ref="C713" r:id="rId89" display="Land Degradation &amp; Development | Environmental &amp; Soil Science Jourl | Wiley Online Jourl"/>
    <hyperlink ref="C714" r:id="rId89" display="Land Degradation &amp; Development | Environmental &amp; Soil Science Jourl | Wiley Online Jourl"/>
    <hyperlink ref="C715" r:id="rId89" display="Land Degradation &amp; Development | Environmental &amp; Soil Science Jourl | Wiley Online Jourl"/>
    <hyperlink ref="C716" r:id="rId89" display="Land Degradation &amp; Development | Environmental &amp; Soil Science Jourl | Wiley Online Jourl"/>
    <hyperlink ref="C717" r:id="rId89" display="Land Degradation &amp; Development | Environmental &amp; Soil Science Jourl | Wiley Online Jourl"/>
    <hyperlink ref="C718" r:id="rId89" display="Land Degradation &amp; Development | Environmental &amp; Soil Science Jourl | Wiley Online Jourl"/>
    <hyperlink ref="C719" r:id="rId89" display="Land Degradation &amp; Development | Environmental &amp; Soil Science Jourl | Wiley Online Jourl"/>
    <hyperlink ref="C720" r:id="rId89" display="Land Degradation &amp; Development | Environmental &amp; Soil Science Jourl | Wiley Online Jourl"/>
    <hyperlink ref="C721" r:id="rId89" display="Land Degradation &amp; Development | Environmental &amp; Soil Science Jourl | Wiley Online Jourl"/>
    <hyperlink ref="C722" r:id="rId89" display="Land Degradation &amp; Development | Environmental &amp; Soil Science Jourl | Wiley Online Jourl"/>
    <hyperlink ref="C723" r:id="rId89" display="Land Degradation &amp; Development | Environmental &amp; Soil Science Jourl | Wiley Online Jourl"/>
    <hyperlink ref="C724" r:id="rId89" display="Land Degradation &amp; Development | Environmental &amp; Soil Science Jourl | Wiley Online Jourl"/>
    <hyperlink ref="C725" r:id="rId90" display="Interactive effect of nitrogen addition and throughfall reduction decreases soil aggregate stability through reducing biological binding agents - ScienceDirect"/>
    <hyperlink ref="C726" r:id="rId90" display="Interactive effect of nitrogen addition and throughfall reduction decreases soil aggregate stability through reducing biological binding agents - ScienceDirect"/>
    <hyperlink ref="C727" r:id="rId90" display="Interactive effect of nitrogen addition and throughfall reduction decreases soil aggregate stability through reducing biological binding agents - ScienceDirect"/>
    <hyperlink ref="C728" r:id="rId91" display="Land Degradation &amp; Development | Environmental &amp; Soil Science Jourl | Wiley Online Jourl"/>
    <hyperlink ref="C729" r:id="rId91" display="Land Degradation &amp; Development | Environmental &amp; Soil Science Jourl | Wiley Online Jourl"/>
    <hyperlink ref="C730" r:id="rId91" display="Land Degradation &amp; Development | Environmental &amp; Soil Science Jourl | Wiley Online Jourl"/>
    <hyperlink ref="C731" r:id="rId91" display="Land Degradation &amp; Development | Environmental &amp; Soil Science Jourl | Wiley Online Jourl"/>
    <hyperlink ref="C732" r:id="rId91" display="Land Degradation &amp; Development | Environmental &amp; Soil Science Jourl | Wiley Online Jourl"/>
    <hyperlink ref="C733" r:id="rId91" display="Land Degradation &amp; Development | Environmental &amp; Soil Science Jourl | Wiley Online Jourl"/>
    <hyperlink ref="C746" r:id="rId92" display="Sewage sludge biochar alters root colonization of mycorrhizal fungi in a soil cultivated with corn - ScienceDirect"/>
    <hyperlink ref="C749" r:id="rId93" display="Does animal manure application improve soil aggregation? Insights from nine long-term fertilization experiments - ScienceDirect"/>
    <hyperlink ref="C750" r:id="rId93" display="Does animal manure application improve soil aggregation? Insights from nine long-term fertilization experiments - ScienceDirect"/>
    <hyperlink ref="C751" r:id="rId93" display="Does animal manure application improve soil aggregation? Insights from nine long-term fertilization experiments - ScienceDirect"/>
    <hyperlink ref="C752" r:id="rId93" display="Does animal manure application improve soil aggregation? Insights from nine long-term fertilization experiments - ScienceDirect"/>
    <hyperlink ref="C753" r:id="rId93" display="Does animal manure application improve soil aggregation? Insights from nine long-term fertilization experiments - ScienceDirect"/>
    <hyperlink ref="C754" r:id="rId93" display="Does animal manure application improve soil aggregation? Insights from nine long-term fertilization experiments - ScienceDirect"/>
    <hyperlink ref="C755" r:id="rId93" display="Does animal manure application improve soil aggregation? Insights from nine long-term fertilization experiments - ScienceDirect"/>
    <hyperlink ref="C756" r:id="rId93" display="Does animal manure application improve soil aggregation? Insights from nine long-term fertilization experiments - ScienceDirect"/>
    <hyperlink ref="C757" r:id="rId93" display="Does animal manure application improve soil aggregation? Insights from nine long-term fertilization experiments - ScienceDirect"/>
    <hyperlink ref="C758" r:id="rId94" display="Long-term animal manure application promoted biological binding agents but not soil aggregation in a Vertisol - ScienceDirect"/>
    <hyperlink ref="C767" r:id="rId95" display="Short-term changes in soil functiolity after wildAFire and straw mulching in a Pinus halepensis M. forest - ScienceDirect"/>
    <hyperlink ref="C768" r:id="rId95" display="Short-term changes in soil functiolity after wildAFire and straw mulching in a Pinus halepensis M. forest - ScienceDirect"/>
    <hyperlink ref="C769" r:id="rId95" display="Short-term changes in soil functiolity after wildAFire and straw mulching in a Pinus halepensis M. forest - ScienceDirect"/>
    <hyperlink ref="C770" r:id="rId95" display="Short-term changes in soil functiolity after wildAFire and straw mulching in a Pinus halepensis M. forest - ScienceDirect"/>
    <hyperlink ref="C771" r:id="rId96" display="Shifts in soil traits and arbuscular mycorrhizal symbiosis represent the conservation status of Araucaria arauca forests and the effects after AFire events - ScienceDirect"/>
    <hyperlink ref="C772" r:id="rId96" display="Shifts in soil traits and arbuscular mycorrhizal symbiosis represent the conservation status of Araucaria arauca forests and the effects after AFire events - ScienceDirect"/>
    <hyperlink ref="C773" r:id="rId97" display="The role of soil as a carbon sink in coastal salt-marsh and agropastoral systems at La Pletera, NE Spain - ScienceDirect"/>
    <hyperlink ref="C774" r:id="rId97" display="The role of soil as a carbon sink in coastal salt-marsh and agropastoral systems at La Pletera, NE Spain - ScienceDirect"/>
    <hyperlink ref="C775" r:id="rId97" display="The role of soil as a carbon sink in coastal salt-marsh and agropastoral systems at La Pletera, NE Spain - ScienceDirect"/>
    <hyperlink ref="C776" r:id="rId97" display="The role of soil as a carbon sink in coastal salt-marsh and agropastoral systems at La Pletera, NE Spain - ScienceDirect"/>
    <hyperlink ref="C777" r:id="rId97" display="The role of soil as a carbon sink in coastal salt-marsh and agropastoral systems at La Pletera, NE Spain - ScienceDirect"/>
    <hyperlink ref="C778" r:id="rId97" display="The role of soil as a carbon sink in coastal salt-marsh and agropastoral systems at La Pletera, NE Spain - ScienceDirect"/>
    <hyperlink ref="C779" r:id="rId97" display="The role of soil as a carbon sink in coastal salt-marsh and agropastoral systems at La Pletera, NE Spain - ScienceDirect"/>
    <hyperlink ref="C780" r:id="rId97" display="The role of soil as a carbon sink in coastal salt-marsh and agropastoral systems at La Pletera, NE Spain - ScienceDirect"/>
    <hyperlink ref="C781" r:id="rId97" display="The role of soil as a carbon sink in coastal salt-marsh and agropastoral systems at La Pletera, NE Spain - ScienceDirect"/>
    <hyperlink ref="C782" r:id="rId98" display="Intercropping of kura clover (Trifolium ambiguum M. Bieb) with prairie cordgrass (Sparti pectita link.) enhanced soil biochemical activities and microbial community structure - ScienceDirect"/>
    <hyperlink ref="C783" r:id="rId98" display="Intercropping of kura clover (Trifolium ambiguum M. Bieb) with prairie cordgrass (Sparti pectita link.) enhanced soil biochemical activities and microbial community structure - ScienceDirect"/>
    <hyperlink ref="C784" r:id="rId98" display="Intercropping of kura clover (Trifolium ambiguum M. Bieb) with prairie cordgrass (Sparti pectita link.) enhanced soil biochemical activities and microbial community structure - ScienceDirect"/>
    <hyperlink ref="C785" r:id="rId99" display="Effects of wildAFire and logging on soil functiolity in the short-term in Pinus halepensis M. forests | European Jourl of Forest Research (springer.com)"/>
    <hyperlink ref="C786" r:id="rId99" display="Effects of wildAFire and logging on soil functiolity in the short-term in Pinus halepensis M. forests | European Jourl of Forest Research (springer.com)"/>
    <hyperlink ref="C787" r:id="rId99" display="Effects of wildAFire and logging on soil functiolity in the short-term in Pinus halepensis M. forests | European Jourl of Forest Research (springer.com)"/>
    <hyperlink ref="C788" r:id="rId99" display="Effects of wildAFire and logging on soil functiolity in the short-term in Pinus halepensis M. forests | European Jourl of Forest Research (springer.com)"/>
    <hyperlink ref="C794" r:id="rId100" display="Fertilization effects on soil ecology strongly depend on the genotype in a willow (Salix spp.) plantation - ScienceDirect"/>
    <hyperlink ref="C795" r:id="rId100" display="Fertilization effects on soil ecology strongly depend on the genotype in a willow (Salix spp.) plantation - ScienceDirect"/>
    <hyperlink ref="C796" r:id="rId100" display="Fertilization effects on soil ecology strongly depend on the genotype in a willow (Salix spp.) plantation - ScienceDirect"/>
    <hyperlink ref="C797" r:id="rId100" display="Fertilization effects on soil ecology strongly depend on the genotype in a willow (Salix spp.) plantation - ScienceDirect"/>
    <hyperlink ref="C798" r:id="rId100" display="Fertilization effects on soil ecology strongly depend on the genotype in a willow (Salix spp.) plantation - ScienceDirect"/>
    <hyperlink ref="C793" r:id="rId100" display="Fertilization effects on soil ecology strongly depend on the genotype in a willow (Salix spp.) plantation - ScienceDirect"/>
    <hyperlink ref="C799" r:id="rId101" display="Gain in biodiversity but not in phytostabilization after 3 years of ecological restoration of contamited Mediterranean soils - ScienceDirect"/>
    <hyperlink ref="C578" r:id="rId102" display="Enrichment of arbuscular mycorrhizal fungi in a contamited soil after rehabilitation - ScienceDirect"/>
    <hyperlink ref="D804" r:id="rId103" display="10.3975/cagsb.2022.012703"/>
    <hyperlink ref="D805:D815" r:id="rId103" display="10.3975/cagsb.2022.012704"/>
    <hyperlink ref="C831" r:id="rId104" display="RELATIONSHIPS AMONG AFireS, FUNGI, AND SOIL DYMICS IN ALASKAN BOREAL FORESTS - Treseder - 2004 - Ecological Applications - Wiley Online Library"/>
    <hyperlink ref="C832" r:id="rId104" display="RELATIONSHIPS AMONG AFireS, FUNGI, AND SOIL DYMICS IN ALASKAN BOREAL FORESTS - Treseder - 2004 - Ecological Applications - Wiley Online Library"/>
    <hyperlink ref="C833" r:id="rId104" display="RELATIONSHIPS AMONG AFireS, FUNGI, AND SOIL DYMICS IN ALASKAN BOREAL FORESTS - Treseder - 2004 - Ecological Applications - Wiley Online Library"/>
    <hyperlink ref="C834" r:id="rId105" display="Soil aggregation and carbon sequestration are tightly correlated with the abundance of arbuscular mycorrhizal fungi: results from long‐term field experiments - Wilson - 2009 - Ecology Letters - Wiley Online Library"/>
    <hyperlink ref="C835" r:id="rId105" display="Soil aggregation and carbon sequestration are tightly correlated with the abundance of arbuscular mycorrhizal fungi: results from long‐term field experiments - Wilson - 2009 - Ecology Letters - Wiley Online Library"/>
    <hyperlink ref="C7" r:id="rId2" display="Artificial climate warming positively affects arbuscular mycorrhizae but decreases soil aggregate water stability in an annual grassland - Rillig - 2002 - Oikos - Wiley Online Library"/>
    <hyperlink ref="C836" r:id="rId106" display="Long-term manure amendments reduced soil aggregate stability via redistribution of the glomalin-related soil protein in macroaggregates | Scientific Reports (ture.com)"/>
    <hyperlink ref="C850" r:id="rId106" display="Long-term manure amendments reduced soil aggregate stability via redistribution of the glomalin-related soil protein in macroaggregates | Scientific Reports (ture.com)"/>
    <hyperlink ref="C849" r:id="rId106" display="Long-term manure amendments reduced soil aggregate stability via redistribution of the glomalin-related soil protein in macroaggregates | Scientific Reports (ture.com)"/>
    <hyperlink ref="C848" r:id="rId106" display="Long-term manure amendments reduced soil aggregate stability via redistribution of the glomalin-related soil protein in macroaggregates | Scientific Reports (ture.com)"/>
    <hyperlink ref="C847" r:id="rId106" display="Long-term manure amendments reduced soil aggregate stability via redistribution of the glomalin-related soil protein in macroaggregates | Scientific Reports (ture.com)"/>
    <hyperlink ref="C846" r:id="rId106" display="Long-term manure amendments reduced soil aggregate stability via redistribution of the glomalin-related soil protein in macroaggregates | Scientific Reports (ture.com)"/>
    <hyperlink ref="C845" r:id="rId106" display="Long-term manure amendments reduced soil aggregate stability via redistribution of the glomalin-related soil protein in macroaggregates | Scientific Reports (ture.com)"/>
    <hyperlink ref="C844" r:id="rId106" display="Long-term manure amendments reduced soil aggregate stability via redistribution of the glomalin-related soil protein in macroaggregates | Scientific Reports (ture.com)"/>
    <hyperlink ref="C843" r:id="rId106" display="Long-term manure amendments reduced soil aggregate stability via redistribution of the glomalin-related soil protein in macroaggregates | Scientific Reports (ture.com)"/>
    <hyperlink ref="C842" r:id="rId106" display="Long-term manure amendments reduced soil aggregate stability via redistribution of the glomalin-related soil protein in macroaggregates | Scientific Reports (ture.com)"/>
    <hyperlink ref="C841" r:id="rId106" display="Long-term manure amendments reduced soil aggregate stability via redistribution of the glomalin-related soil protein in macroaggregates | Scientific Reports (ture.com)"/>
    <hyperlink ref="C840" r:id="rId106" display="Long-term manure amendments reduced soil aggregate stability via redistribution of the glomalin-related soil protein in macroaggregates | Scientific Reports (ture.com)"/>
    <hyperlink ref="C839" r:id="rId106" display="Long-term manure amendments reduced soil aggregate stability via redistribution of the glomalin-related soil protein in macroaggregates | Scientific Reports (ture.com)"/>
    <hyperlink ref="C838" r:id="rId106" display="Long-term manure amendments reduced soil aggregate stability via redistribution of the glomalin-related soil protein in macroaggregates | Scientific Reports (ture.com)"/>
    <hyperlink ref="C837" r:id="rId106" display="Long-term manure amendments reduced soil aggregate stability via redistribution of the glomalin-related soil protein in macroaggregates | Scientific Reports (ture.com)"/>
    <hyperlink ref="C851" r:id="rId107" display="Land use alters arbuscular mycorrhizal fungal communities and their potential role in carbon sequestration on the Tibetan Plateau | Scientific Reports (ture.com)"/>
    <hyperlink ref="C852" r:id="rId107" display="Land use alters arbuscular mycorrhizal fungal communities and their potential role in carbon sequestration on the Tibetan Plateau | Scientific Reports (ture.com)"/>
    <hyperlink ref="C853" r:id="rId107" display="Land use alters arbuscular mycorrhizal fungal communities and their potential role in carbon sequestration on the Tibetan Plateau | Scientific Reports (ture.com)"/>
    <hyperlink ref="C854" r:id="rId107" display="Land use alters arbuscular mycorrhizal fungal communities and their potential role in carbon sequestration on the Tibetan Plateau | Scientific Reports (ture.com)"/>
    <hyperlink ref="C855" r:id="rId107" display="Land use alters arbuscular mycorrhizal fungal communities and their potential role in carbon sequestration on the Tibetan Plateau | Scientific Reports (ture.com)"/>
    <hyperlink ref="C856" r:id="rId107" display="Land use alters arbuscular mycorrhizal fungal communities and their potential role in carbon sequestration on the Tibetan Plateau | Scientific Reports (ture.com)"/>
    <hyperlink ref="C857" r:id="rId108" display="Distribution of soil organic carbon and glomalin related soil protein in reclaimed coal mine-land chronosequence under tropical condition - ScienceDirect"/>
    <hyperlink ref="C858" r:id="rId108" display="Distribution of soil organic carbon and glomalin related soil protein in reclaimed coal mine-land chronosequence under tropical condition - ScienceDirect"/>
    <hyperlink ref="C859" r:id="rId108" display="Distribution of soil organic carbon and glomalin related soil protein in reclaimed coal mine-land chronosequence under tropical condition - ScienceDirect"/>
    <hyperlink ref="C860" r:id="rId108" display="Distribution of soil organic carbon and glomalin related soil protein in reclaimed coal mine-land chronosequence under tropical condition - ScienceDirect"/>
    <hyperlink ref="C861" r:id="rId108" display="Distribution of soil organic carbon and glomalin related soil protein in reclaimed coal mine-land chronosequence under tropical condition - ScienceDirect"/>
    <hyperlink ref="C862" r:id="rId108" display="Distribution of soil organic carbon and glomalin related soil protein in reclaimed coal mine-land chronosequence under tropical condition - ScienceDirect"/>
    <hyperlink ref="C748" r:id="rId92" display="Sewage sludge biochar alters root colonization of mycorrhizal fungi in a soil cultivated with corn - ScienceDirect"/>
    <hyperlink ref="C747" r:id="rId92" display="Sewage sludge biochar alters root colonization of mycorrhizal fungi in a soil cultivated with corn - ScienceDirect"/>
    <hyperlink ref="C122:C123" r:id="rId26" display="Decreased glomalin-related soil protein with nitrogen deposition in a 3-year-old Cunninghamia lanceolata plantation | Jourl of Soils and Sediments (springer.com)"/>
    <hyperlink ref="C122" r:id="rId17" display="Decreased glomalin-related soil protein with nitrogen deposition in a 3-year-old Cunninghamia lanceolata plantation | Jourl of Soils and Sediments (springer.com)"/>
    <hyperlink ref="C271" r:id="rId39" display="Short-term modifications of mycorrhizal fungi, glomalin and soil attributes in a tropical agroforestry - ScienceDirect"/>
    <hyperlink ref="C863" r:id="rId109" display="Plants | Free Full-Text | The tive Arbuscular Mycorrhizal Fungi and Vermicompost-Based Organic Amendments Enhance Soil Fertility, Growth Performance, and the Drought Stress Tolerance of Quinoa (mdpi.com)"/>
    <hyperlink ref="C864" r:id="rId109" display="Plants | Free Full-Text | The tive Arbuscular Mycorrhizal Fungi and Vermicompost-Based Organic Amendments Enhance Soil Fertility, Growth Performance, and the Drought Stress Tolerance of Quinoa (mdpi.com)"/>
    <hyperlink ref="C865" r:id="rId109" display="Plants | Free Full-Text | The tive Arbuscular Mycorrhizal Fungi and Vermicompost-Based Organic Amendments Enhance Soil Fertility, Growth Performance, and the Drought Stress Tolerance of Quinoa (mdpi.com)"/>
    <hyperlink ref="C866" r:id="rId109" display="Plants | Free Full-Text | The tive Arbuscular Mycorrhizal Fungi and Vermicompost-Based Organic Amendments Enhance Soil Fertility, Growth Performance, and the Drought Stress Tolerance of Quinoa (mdpi.com)"/>
    <hyperlink ref="C867" r:id="rId109" display="Plants | Free Full-Text | The tive Arbuscular Mycorrhizal Fungi and Vermicompost-Based Organic Amendments Enhance Soil Fertility, Growth Performance, and the Drought Stress Tolerance of Quinoa (mdpi.com)"/>
    <hyperlink ref="C868" r:id="rId109" display="Plants | Free Full-Text | The tive Arbuscular Mycorrhizal Fungi and Vermicompost-Based Organic Amendments Enhance Soil Fertility, Growth Performance, and the Drought Stress Tolerance of Quinoa (mdpi.com)"/>
    <hyperlink ref="C869" r:id="rId110" display="Crop–livestock integration enhanced soil aggregate-associated carbon and nitrogen, and phospholipid fatty acid | Scientific Reports (ture.com)"/>
    <hyperlink ref="C870" r:id="rId110" display="Crop–livestock integration enhanced soil aggregate-associated carbon and nitrogen, and phospholipid fatty acid | Scientific Reports (ture.com)"/>
    <hyperlink ref="C871" r:id="rId110" display="Crop–livestock integration enhanced soil aggregate-associated carbon and nitrogen, and phospholipid fatty acid | Scientific Reports (ture.com)"/>
    <hyperlink ref="C872" r:id="rId110" display="Crop–livestock integration enhanced soil aggregate-associated carbon and nitrogen, and phospholipid fatty acid | Scientific Reports (ture.com)"/>
    <hyperlink ref="C873" r:id="rId110" display="Crop–livestock integration enhanced soil aggregate-associated carbon and nitrogen, and phospholipid fatty acid | Scientific Reports (ture.com)"/>
    <hyperlink ref="C874" r:id="rId110" display="Crop–livestock integration enhanced soil aggregate-associated carbon and nitrogen, and phospholipid fatty acid | Scientific Reports (ture.com)"/>
    <hyperlink ref="C876:C886" r:id="rId111" display="https://doi.org/10.1016/j.fcr.2021.108132" tooltip="Persistent link using digital object identifier"/>
    <hyperlink ref="C875" r:id="rId111" display="https://doi.org/10.1016/j.fcr.2021.108131" tooltip="Persistent link using digital object identifier"/>
    <hyperlink ref="C887" r:id="rId112" display="Land Degradation &amp; Development | Environmental &amp; Soil Science Jourl | Wiley Online Jourl"/>
    <hyperlink ref="C145" r:id="rId113" location="Sec2" display="Nitrogen deposition enhances soil organic carbon and microbial residual carbon in a tropical forest | Plant and Soil (springer.com)"/>
    <hyperlink ref="C146" r:id="rId113" location="Sec2" display="Nitrogen deposition enhances soil organic carbon and microbial residual carbon in a tropical forest | Plant and Soil (springer.com)"/>
    <hyperlink ref="C900" r:id="rId114" display="Long-term N addition reduced the diversity of Arbuscular mycorrhizal fungi and understory herb of the Korean pine plantation in northern Chi (authorea.com)"/>
    <hyperlink ref="C901" r:id="rId114" display="Long-term N addition reduced the diversity of Arbuscular mycorrhizal fungi and understory herb of the Korean pine plantation in northern Chi (authorea.com)"/>
    <hyperlink ref="C902" r:id="rId114" display="Long-term N addition reduced the diversity of Arbuscular mycorrhizal fungi and understory herb of the Korean pine plantation in northern Chi (authorea.com)"/>
    <hyperlink ref="C904" r:id="rId114" display="Long-term N addition reduced the diversity of Arbuscular mycorrhizal fungi and understory herb of the Korean pine plantation in northern Chi (authorea.com)"/>
    <hyperlink ref="C906" r:id="rId114" display="Long-term N addition reduced the diversity of Arbuscular mycorrhizal fungi and understory herb of the Korean pine plantation in northern Chi (authorea.com)"/>
    <hyperlink ref="C908" r:id="rId114" display="Long-term N addition reduced the diversity of Arbuscular mycorrhizal fungi and understory herb of the Korean pine plantation in northern Chi (authorea.com)"/>
    <hyperlink ref="C910" r:id="rId114" display="Long-term N addition reduced the diversity of Arbuscular mycorrhizal fungi and understory herb of the Korean pine plantation in northern Chi (authorea.com)"/>
    <hyperlink ref="C903" r:id="rId114" display="Long-term N addition reduced the diversity of Arbuscular mycorrhizal fungi and understory herb of the Korean pine plantation in northern Chi (authorea.com)"/>
    <hyperlink ref="C905" r:id="rId114" display="Long-term N addition reduced the diversity of Arbuscular mycorrhizal fungi and understory herb of the Korean pine plantation in northern Chi (authorea.com)"/>
    <hyperlink ref="C907" r:id="rId114" display="Long-term N addition reduced the diversity of Arbuscular mycorrhizal fungi and understory herb of the Korean pine plantation in northern Chi (authorea.com)"/>
    <hyperlink ref="C909" r:id="rId114" display="Long-term N addition reduced the diversity of Arbuscular mycorrhizal fungi and understory herb of the Korean pine plantation in northern Chi (authorea.com)"/>
    <hyperlink ref="C911" r:id="rId114" display="Long-term N addition reduced the diversity of Arbuscular mycorrhizal fungi and understory herb of the Korean pine plantation in northern Chi (authorea.com)"/>
    <hyperlink ref="C916" r:id="rId115" display="Glomalin-related soil protein affects soil aggregation and recovery of soil nutrient following tural revegetation on the Loess Plateau - ScienceDirect"/>
    <hyperlink ref="C917" r:id="rId115" display="Glomalin-related soil protein affects soil aggregation and recovery of soil nutrient following tural revegetation on the Loess Plateau - ScienceDirect"/>
    <hyperlink ref="C918" r:id="rId115" display="Glomalin-related soil protein affects soil aggregation and recovery of soil nutrient following tural revegetation on the Loess Plateau - ScienceDirect"/>
    <hyperlink ref="C919" r:id="rId115" display="Glomalin-related soil protein affects soil aggregation and recovery of soil nutrient following tural revegetation on the Loess Plateau - ScienceDirect"/>
    <hyperlink ref="C920" r:id="rId115" display="Glomalin-related soil protein affects soil aggregation and recovery of soil nutrient following tural revegetation on the Loess Plateau - ScienceDirect"/>
    <hyperlink ref="C922" r:id="rId115" display="Glomalin-related soil protein affects soil aggregation and recovery of soil nutrient following tural revegetation on the Loess Plateau - ScienceDirect"/>
    <hyperlink ref="C923" r:id="rId115" display="Glomalin-related soil protein affects soil aggregation and recovery of soil nutrient following tural revegetation on the Loess Plateau - ScienceDirect"/>
    <hyperlink ref="C924" r:id="rId115" display="Glomalin-related soil protein affects soil aggregation and recovery of soil nutrient following tural revegetation on the Loess Plateau - ScienceDirect"/>
    <hyperlink ref="C925" r:id="rId115" display="Glomalin-related soil protein affects soil aggregation and recovery of soil nutrient following tural revegetation on the Loess Plateau - ScienceDirect"/>
    <hyperlink ref="C926" r:id="rId115" display="Glomalin-related soil protein affects soil aggregation and recovery of soil nutrient following tural revegetation on the Loess Plateau - ScienceDirect"/>
    <hyperlink ref="C928" r:id="rId115" display="Glomalin-related soil protein affects soil aggregation and recovery of soil nutrient following tural revegetation on the Loess Plateau - ScienceDirect"/>
    <hyperlink ref="C929" r:id="rId115" display="Glomalin-related soil protein affects soil aggregation and recovery of soil nutrient following tural revegetation on the Loess Plateau - ScienceDirect"/>
    <hyperlink ref="C930" r:id="rId115" display="Glomalin-related soil protein affects soil aggregation and recovery of soil nutrient following tural revegetation on the Loess Plateau - ScienceDirect"/>
    <hyperlink ref="C931" r:id="rId115" display="Glomalin-related soil protein affects soil aggregation and recovery of soil nutrient following tural revegetation on the Loess Plateau - ScienceDirect"/>
    <hyperlink ref="C932" r:id="rId115" display="Glomalin-related soil protein affects soil aggregation and recovery of soil nutrient following tural revegetation on the Loess Plateau - ScienceDirect"/>
    <hyperlink ref="C934" r:id="rId115" display="Glomalin-related soil protein affects soil aggregation and recovery of soil nutrient following tural revegetation on the Loess Plateau - ScienceDirect"/>
    <hyperlink ref="C935" r:id="rId115" display="Glomalin-related soil protein affects soil aggregation and recovery of soil nutrient following tural revegetation on the Loess Plateau - ScienceDirect"/>
    <hyperlink ref="C936" r:id="rId115" display="Glomalin-related soil protein affects soil aggregation and recovery of soil nutrient following tural revegetation on the Loess Plateau - ScienceDirect"/>
    <hyperlink ref="C937" r:id="rId115" display="Glomalin-related soil protein affects soil aggregation and recovery of soil nutrient following tural revegetation on the Loess Plateau - ScienceDirect"/>
    <hyperlink ref="C938" r:id="rId115" display="Glomalin-related soil protein affects soil aggregation and recovery of soil nutrient following tural revegetation on the Loess Plateau - ScienceDirect"/>
    <hyperlink ref="C915" r:id="rId115" display="Glomalin-related soil protein affects soil aggregation and recovery of soil nutrient following tural revegetation on the Loess Plateau - ScienceDirect"/>
    <hyperlink ref="C921" r:id="rId115" display="Glomalin-related soil protein affects soil aggregation and recovery of soil nutrient following tural revegetation on the Loess Plateau - ScienceDirect"/>
    <hyperlink ref="C927" r:id="rId115" display="Glomalin-related soil protein affects soil aggregation and recovery of soil nutrient following tural revegetation on the Loess Plateau - ScienceDirect"/>
    <hyperlink ref="C933" r:id="rId115" display="Glomalin-related soil protein affects soil aggregation and recovery of soil nutrient following tural revegetation on the Loess Plateau - ScienceDirect"/>
    <hyperlink ref="C939" r:id="rId116" display="Seasol evolution of soil organic matter, glomalin and enzymes and potential for C storage after land abandonment and returalization processes in soils of NE Spain - ScienceDirect"/>
    <hyperlink ref="C940" r:id="rId116" display="Seasol evolution of soil organic matter, glomalin and enzymes and potential for C storage after land abandonment and returalization processes in soils of NE Spain - ScienceDirect"/>
    <hyperlink ref="C941" r:id="rId116" display="Seasol evolution of soil organic matter, glomalin and enzymes and potential for C storage after land abandonment and returalization processes in soils of NE Spain - ScienceDirect"/>
    <hyperlink ref="C405" r:id="rId59" display="Fungi in century old maged soils could hold key to the development of soil water repellency - ScienceDirect"/>
    <hyperlink ref="C942" r:id="rId117" display="SciELO - Brazil - Edaphic properties in a eucalyptusforest ecotone in the Nova Baden State Park, Southeastern Brazil Edaphic properties in a eucalyptusforest ecotone in the Nova Baden State Park, Southeastern Brazil"/>
    <hyperlink ref="C943" r:id="rId117" display="SciELO - Brazil - Edaphic properties in a eucalyptusforest ecotone in the Nova Baden State Park, Southeastern Brazil Edaphic properties in a eucalyptusforest ecotone in the Nova Baden State Park, Southeastern Brazil"/>
    <hyperlink ref="C944" r:id="rId118" location="t0025" display="Biotic relationships to aggregation in a Vertisol under long-term no-till, stubble retention and nitrogen fertilisation - ScienceDirect"/>
    <hyperlink ref="C945:C951" r:id="rId118" location="t0025" display="Biotic relationships to aggregation in a Vertisol under long-term no-till, stubble retention and nitrogen fertilisation - ScienceDirect"/>
    <hyperlink ref="C545" r:id="rId56" display="Disturbance changes arbuscular mycorrhizal fungal phenology and soil glomalin concentrations but not fungal spore composition in montane rainforests in Veracruz and Chiapas, Mexico - ScienceDirect"/>
    <hyperlink ref="C546" r:id="rId56" display="Disturbance changes arbuscular mycorrhizal fungal phenology and soil glomalin concentrations but not fungal spore composition in montane rainforests in Veracruz and Chiapas, Mexico - ScienceDirect"/>
    <hyperlink ref="C407" r:id="rId119" display="https://onlinelibrary.wiley.com/doi/10.1002/ldr.1113"/>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8"/>
  <sheetViews>
    <sheetView topLeftCell="A9" workbookViewId="0">
      <selection activeCell="B31" sqref="B31"/>
    </sheetView>
  </sheetViews>
  <sheetFormatPr defaultColWidth="8.88888888888889" defaultRowHeight="13.8" outlineLevelCol="1"/>
  <cols>
    <col min="2" max="2" width="49.1666666666667" customWidth="1"/>
  </cols>
  <sheetData>
    <row r="1" ht="17.4" spans="1:2">
      <c r="A1" s="1" t="s">
        <v>461</v>
      </c>
      <c r="B1" s="1" t="s">
        <v>462</v>
      </c>
    </row>
    <row r="2" ht="17.4" spans="1:2">
      <c r="A2" s="2" t="s">
        <v>6</v>
      </c>
      <c r="B2" s="2" t="s">
        <v>463</v>
      </c>
    </row>
    <row r="3" ht="17.4" spans="1:2">
      <c r="A3" s="2" t="s">
        <v>7</v>
      </c>
      <c r="B3" s="2" t="s">
        <v>464</v>
      </c>
    </row>
    <row r="4" ht="22.2" spans="1:2">
      <c r="A4" s="2" t="s">
        <v>465</v>
      </c>
      <c r="B4" s="2" t="s">
        <v>466</v>
      </c>
    </row>
    <row r="5" ht="17.4" spans="1:2">
      <c r="A5" s="2" t="s">
        <v>94</v>
      </c>
      <c r="B5" s="2" t="s">
        <v>467</v>
      </c>
    </row>
    <row r="6" ht="17.4" spans="1:2">
      <c r="A6" s="2" t="s">
        <v>123</v>
      </c>
      <c r="B6" s="2" t="s">
        <v>468</v>
      </c>
    </row>
    <row r="7" ht="17.4" spans="1:2">
      <c r="A7" s="2" t="s">
        <v>95</v>
      </c>
      <c r="B7" s="2" t="s">
        <v>469</v>
      </c>
    </row>
    <row r="8" ht="17.4" spans="1:2">
      <c r="A8" s="2" t="s">
        <v>181</v>
      </c>
      <c r="B8" s="2" t="s">
        <v>470</v>
      </c>
    </row>
    <row r="9" ht="17.4" spans="1:2">
      <c r="A9" s="2" t="s">
        <v>471</v>
      </c>
      <c r="B9" s="2" t="s">
        <v>472</v>
      </c>
    </row>
    <row r="10" ht="17.4" spans="1:2">
      <c r="A10" s="2" t="s">
        <v>188</v>
      </c>
      <c r="B10" s="2" t="s">
        <v>473</v>
      </c>
    </row>
    <row r="11" ht="17.4" spans="1:2">
      <c r="A11" s="2" t="s">
        <v>199</v>
      </c>
      <c r="B11" s="2" t="s">
        <v>474</v>
      </c>
    </row>
    <row r="12" ht="17.4" spans="1:2">
      <c r="A12" s="2" t="s">
        <v>254</v>
      </c>
      <c r="B12" s="2" t="s">
        <v>475</v>
      </c>
    </row>
    <row r="13" ht="17.4" spans="1:2">
      <c r="A13" s="2" t="s">
        <v>193</v>
      </c>
      <c r="B13" s="2" t="s">
        <v>476</v>
      </c>
    </row>
    <row r="14" ht="17.4" spans="1:2">
      <c r="A14" s="2" t="s">
        <v>14</v>
      </c>
      <c r="B14" s="2" t="s">
        <v>477</v>
      </c>
    </row>
    <row r="15" ht="17.4" spans="1:2">
      <c r="A15" s="2" t="s">
        <v>478</v>
      </c>
      <c r="B15" s="2" t="s">
        <v>479</v>
      </c>
    </row>
    <row r="16" ht="17.4" spans="1:2">
      <c r="A16" s="2" t="s">
        <v>480</v>
      </c>
      <c r="B16" s="2" t="s">
        <v>481</v>
      </c>
    </row>
    <row r="17" ht="17.4" spans="1:2">
      <c r="A17" s="2" t="s">
        <v>482</v>
      </c>
      <c r="B17" s="2" t="s">
        <v>483</v>
      </c>
    </row>
    <row r="18" ht="17.4" spans="1:2">
      <c r="A18" s="2" t="s">
        <v>484</v>
      </c>
      <c r="B18" s="2" t="s">
        <v>485</v>
      </c>
    </row>
    <row r="19" ht="17.4" spans="1:2">
      <c r="A19" s="2" t="s">
        <v>486</v>
      </c>
      <c r="B19" s="2" t="s">
        <v>487</v>
      </c>
    </row>
    <row r="20" ht="17.4" spans="1:2">
      <c r="A20" s="2" t="s">
        <v>488</v>
      </c>
      <c r="B20" s="2" t="s">
        <v>489</v>
      </c>
    </row>
    <row r="21" ht="17.4" spans="1:2">
      <c r="A21" s="2" t="s">
        <v>490</v>
      </c>
      <c r="B21" s="2" t="s">
        <v>491</v>
      </c>
    </row>
    <row r="22" ht="17.4" spans="1:2">
      <c r="A22" s="2" t="s">
        <v>492</v>
      </c>
      <c r="B22" s="2" t="s">
        <v>493</v>
      </c>
    </row>
    <row r="23" ht="17.4" spans="1:2">
      <c r="A23" s="2" t="s">
        <v>494</v>
      </c>
      <c r="B23" s="2" t="s">
        <v>495</v>
      </c>
    </row>
    <row r="24" ht="17.4" spans="1:2">
      <c r="A24" s="2" t="s">
        <v>496</v>
      </c>
      <c r="B24" s="2" t="s">
        <v>497</v>
      </c>
    </row>
    <row r="25" ht="17.4" spans="1:2">
      <c r="A25" s="2" t="s">
        <v>498</v>
      </c>
      <c r="B25" s="2" t="s">
        <v>499</v>
      </c>
    </row>
    <row r="26" ht="17.4" spans="1:2">
      <c r="A26" s="2" t="s">
        <v>500</v>
      </c>
      <c r="B26" s="2" t="s">
        <v>501</v>
      </c>
    </row>
    <row r="27" ht="17.4" spans="1:2">
      <c r="A27" s="2" t="s">
        <v>502</v>
      </c>
      <c r="B27" s="2" t="s">
        <v>503</v>
      </c>
    </row>
    <row r="28" ht="17.4" spans="1:2">
      <c r="A28" s="2" t="s">
        <v>504</v>
      </c>
      <c r="B28" s="2" t="s">
        <v>505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8"/>
  <sheetViews>
    <sheetView workbookViewId="0">
      <selection activeCell="A10" sqref="A10"/>
    </sheetView>
  </sheetViews>
  <sheetFormatPr defaultColWidth="8.88888888888889" defaultRowHeight="13.8"/>
  <cols>
    <col min="1" max="1" width="231.333333333333" customWidth="1"/>
  </cols>
  <sheetData>
    <row r="1" spans="1:1">
      <c r="A1" t="s">
        <v>506</v>
      </c>
    </row>
    <row r="2" spans="1:1">
      <c r="A2" t="s">
        <v>507</v>
      </c>
    </row>
    <row r="3" spans="1:1">
      <c r="A3" t="s">
        <v>508</v>
      </c>
    </row>
    <row r="4" spans="1:1">
      <c r="A4" t="s">
        <v>509</v>
      </c>
    </row>
    <row r="5" spans="1:1">
      <c r="A5" t="s">
        <v>192</v>
      </c>
    </row>
    <row r="6" spans="1:1">
      <c r="A6" t="s">
        <v>256</v>
      </c>
    </row>
    <row r="7" spans="1:1">
      <c r="A7" t="s">
        <v>449</v>
      </c>
    </row>
    <row r="8" spans="1:1">
      <c r="A8" t="s">
        <v>112</v>
      </c>
    </row>
    <row r="9" spans="1:1">
      <c r="A9" t="s">
        <v>343</v>
      </c>
    </row>
    <row r="10" spans="1:1">
      <c r="A10" t="s">
        <v>157</v>
      </c>
    </row>
    <row r="11" spans="1:1">
      <c r="A11" t="s">
        <v>163</v>
      </c>
    </row>
    <row r="12" spans="1:1">
      <c r="A12" t="s">
        <v>100</v>
      </c>
    </row>
    <row r="13" spans="1:1">
      <c r="A13" t="s">
        <v>135</v>
      </c>
    </row>
    <row r="14" spans="1:1">
      <c r="A14" t="s">
        <v>425</v>
      </c>
    </row>
    <row r="15" spans="1:1">
      <c r="A15" t="s">
        <v>392</v>
      </c>
    </row>
    <row r="16" spans="1:1">
      <c r="A16" t="s">
        <v>282</v>
      </c>
    </row>
    <row r="17" spans="1:1">
      <c r="A17" t="s">
        <v>423</v>
      </c>
    </row>
    <row r="18" spans="1:1">
      <c r="A18" t="s">
        <v>319</v>
      </c>
    </row>
    <row r="19" spans="1:1">
      <c r="A19" t="s">
        <v>510</v>
      </c>
    </row>
    <row r="20" spans="1:1">
      <c r="A20" t="s">
        <v>305</v>
      </c>
    </row>
    <row r="21" spans="1:1">
      <c r="A21" t="s">
        <v>261</v>
      </c>
    </row>
    <row r="22" spans="1:1">
      <c r="A22" t="s">
        <v>307</v>
      </c>
    </row>
    <row r="23" spans="1:1">
      <c r="A23" t="s">
        <v>511</v>
      </c>
    </row>
    <row r="24" spans="1:1">
      <c r="A24" t="s">
        <v>370</v>
      </c>
    </row>
    <row r="25" spans="1:1">
      <c r="A25" t="s">
        <v>190</v>
      </c>
    </row>
    <row r="26" spans="1:1">
      <c r="A26" t="s">
        <v>213</v>
      </c>
    </row>
    <row r="27" spans="1:1">
      <c r="A27" t="s">
        <v>325</v>
      </c>
    </row>
    <row r="28" spans="1:1">
      <c r="A28" t="s">
        <v>301</v>
      </c>
    </row>
    <row r="29" spans="1:1">
      <c r="A29" t="s">
        <v>460</v>
      </c>
    </row>
    <row r="30" spans="1:1">
      <c r="A30" t="s">
        <v>374</v>
      </c>
    </row>
    <row r="31" spans="1:1">
      <c r="A31" t="s">
        <v>244</v>
      </c>
    </row>
    <row r="32" spans="1:1">
      <c r="A32" t="s">
        <v>297</v>
      </c>
    </row>
    <row r="33" spans="1:1">
      <c r="A33" t="s">
        <v>122</v>
      </c>
    </row>
    <row r="34" spans="1:1">
      <c r="A34" t="s">
        <v>512</v>
      </c>
    </row>
    <row r="35" spans="1:1">
      <c r="A35" t="s">
        <v>170</v>
      </c>
    </row>
    <row r="36" spans="1:1">
      <c r="A36" t="s">
        <v>269</v>
      </c>
    </row>
    <row r="37" spans="1:1">
      <c r="A37" t="s">
        <v>513</v>
      </c>
    </row>
    <row r="38" spans="1:1">
      <c r="A38" t="s">
        <v>458</v>
      </c>
    </row>
    <row r="39" spans="1:1">
      <c r="A39" t="s">
        <v>287</v>
      </c>
    </row>
    <row r="40" spans="1:1">
      <c r="A40" t="s">
        <v>514</v>
      </c>
    </row>
    <row r="41" spans="1:1">
      <c r="A41" t="s">
        <v>515</v>
      </c>
    </row>
    <row r="42" spans="1:1">
      <c r="A42" t="s">
        <v>355</v>
      </c>
    </row>
    <row r="43" spans="1:1">
      <c r="A43" t="s">
        <v>456</v>
      </c>
    </row>
    <row r="44" spans="1:1">
      <c r="A44" t="s">
        <v>385</v>
      </c>
    </row>
    <row r="45" spans="1:1">
      <c r="A45" t="s">
        <v>378</v>
      </c>
    </row>
    <row r="46" spans="1:1">
      <c r="A46" t="s">
        <v>376</v>
      </c>
    </row>
    <row r="47" spans="1:1">
      <c r="A47" t="s">
        <v>516</v>
      </c>
    </row>
    <row r="48" spans="1:1">
      <c r="A48" t="s">
        <v>312</v>
      </c>
    </row>
    <row r="49" spans="1:1">
      <c r="A49" t="s">
        <v>155</v>
      </c>
    </row>
    <row r="50" spans="1:1">
      <c r="A50" t="s">
        <v>327</v>
      </c>
    </row>
    <row r="51" spans="1:1">
      <c r="A51" t="s">
        <v>153</v>
      </c>
    </row>
    <row r="52" spans="1:1">
      <c r="A52" t="s">
        <v>148</v>
      </c>
    </row>
    <row r="53" spans="1:1">
      <c r="A53" t="s">
        <v>273</v>
      </c>
    </row>
    <row r="54" spans="1:1">
      <c r="A54" t="s">
        <v>421</v>
      </c>
    </row>
    <row r="55" spans="1:1">
      <c r="A55" t="s">
        <v>395</v>
      </c>
    </row>
    <row r="56" spans="1:1">
      <c r="A56" t="s">
        <v>257</v>
      </c>
    </row>
    <row r="57" spans="1:1">
      <c r="A57" t="s">
        <v>110</v>
      </c>
    </row>
    <row r="58" spans="1:1">
      <c r="A58" t="s">
        <v>316</v>
      </c>
    </row>
    <row r="59" spans="1:1">
      <c r="A59" t="s">
        <v>517</v>
      </c>
    </row>
    <row r="60" spans="1:1">
      <c r="A60" t="s">
        <v>454</v>
      </c>
    </row>
    <row r="61" spans="1:1">
      <c r="A61" t="s">
        <v>337</v>
      </c>
    </row>
    <row r="62" spans="1:1">
      <c r="A62" t="s">
        <v>518</v>
      </c>
    </row>
    <row r="63" spans="1:1">
      <c r="A63" t="s">
        <v>519</v>
      </c>
    </row>
    <row r="64" spans="1:1">
      <c r="A64" t="s">
        <v>520</v>
      </c>
    </row>
    <row r="65" spans="1:1">
      <c r="A65" t="s">
        <v>361</v>
      </c>
    </row>
    <row r="66" spans="1:1">
      <c r="A66" t="s">
        <v>242</v>
      </c>
    </row>
    <row r="67" spans="1:1">
      <c r="A67" t="s">
        <v>379</v>
      </c>
    </row>
    <row r="68" spans="1:1">
      <c r="A68" t="s">
        <v>293</v>
      </c>
    </row>
    <row r="69" spans="1:1">
      <c r="A69" t="s">
        <v>290</v>
      </c>
    </row>
    <row r="70" spans="1:1">
      <c r="A70" t="s">
        <v>521</v>
      </c>
    </row>
    <row r="71" spans="1:1">
      <c r="A71" t="s">
        <v>263</v>
      </c>
    </row>
    <row r="72" spans="1:1">
      <c r="A72" t="s">
        <v>89</v>
      </c>
    </row>
    <row r="73" spans="1:1">
      <c r="A73" t="s">
        <v>318</v>
      </c>
    </row>
    <row r="74" spans="1:1">
      <c r="A74" t="s">
        <v>161</v>
      </c>
    </row>
    <row r="75" spans="1:1">
      <c r="A75" t="s">
        <v>335</v>
      </c>
    </row>
    <row r="76" spans="1:1">
      <c r="A76" t="s">
        <v>390</v>
      </c>
    </row>
    <row r="77" spans="1:1">
      <c r="A77" t="s">
        <v>180</v>
      </c>
    </row>
    <row r="78" spans="1:1">
      <c r="A78" t="s">
        <v>303</v>
      </c>
    </row>
    <row r="79" spans="1:1">
      <c r="A79" t="s">
        <v>229</v>
      </c>
    </row>
    <row r="80" spans="1:1">
      <c r="A80" t="s">
        <v>280</v>
      </c>
    </row>
    <row r="81" spans="1:1">
      <c r="A81" t="s">
        <v>277</v>
      </c>
    </row>
    <row r="82" spans="1:1">
      <c r="A82" t="s">
        <v>267</v>
      </c>
    </row>
    <row r="83" spans="1:1">
      <c r="A83" t="s">
        <v>168</v>
      </c>
    </row>
    <row r="84" spans="1:1">
      <c r="A84" t="s">
        <v>351</v>
      </c>
    </row>
    <row r="85" spans="1:1">
      <c r="A85" t="s">
        <v>522</v>
      </c>
    </row>
    <row r="86" spans="1:1">
      <c r="A86" t="s">
        <v>367</v>
      </c>
    </row>
    <row r="87" spans="1:1">
      <c r="A87" t="s">
        <v>275</v>
      </c>
    </row>
    <row r="88" spans="1:1">
      <c r="A88" t="s">
        <v>98</v>
      </c>
    </row>
    <row r="89" spans="1:1">
      <c r="A89" t="s">
        <v>76</v>
      </c>
    </row>
    <row r="90" spans="1:1">
      <c r="A90" t="s">
        <v>85</v>
      </c>
    </row>
    <row r="91" spans="1:1">
      <c r="A91" t="s">
        <v>523</v>
      </c>
    </row>
    <row r="92" spans="1:1">
      <c r="A92" t="s">
        <v>198</v>
      </c>
    </row>
    <row r="93" spans="1:1">
      <c r="A93" t="s">
        <v>323</v>
      </c>
    </row>
    <row r="94" spans="1:1">
      <c r="A94" t="s">
        <v>353</v>
      </c>
    </row>
    <row r="95" spans="1:1">
      <c r="A95" t="s">
        <v>347</v>
      </c>
    </row>
    <row r="96" spans="1:1">
      <c r="A96" t="s">
        <v>387</v>
      </c>
    </row>
    <row r="97" spans="1:1">
      <c r="A97" t="s">
        <v>359</v>
      </c>
    </row>
    <row r="98" spans="1:1">
      <c r="A98" t="s">
        <v>427</v>
      </c>
    </row>
    <row r="99" spans="1:1">
      <c r="A99" t="s">
        <v>372</v>
      </c>
    </row>
    <row r="100" spans="1:1">
      <c r="A100" t="s">
        <v>138</v>
      </c>
    </row>
    <row r="101" spans="1:1">
      <c r="A101" t="s">
        <v>187</v>
      </c>
    </row>
    <row r="102" spans="1:1">
      <c r="A102" t="s">
        <v>363</v>
      </c>
    </row>
    <row r="103" spans="1:1">
      <c r="A103" t="s">
        <v>524</v>
      </c>
    </row>
    <row r="104" spans="1:1">
      <c r="A104" t="s">
        <v>365</v>
      </c>
    </row>
    <row r="105" spans="1:1">
      <c r="A105" t="s">
        <v>349</v>
      </c>
    </row>
    <row r="106" spans="1:1">
      <c r="A106" t="s">
        <v>292</v>
      </c>
    </row>
    <row r="107" spans="1:1">
      <c r="A107" t="s">
        <v>341</v>
      </c>
    </row>
    <row r="108" spans="1:1">
      <c r="A108" t="s">
        <v>107</v>
      </c>
    </row>
    <row r="109" spans="1:1">
      <c r="A109" t="s">
        <v>394</v>
      </c>
    </row>
    <row r="110" spans="1:1">
      <c r="A110" t="s">
        <v>278</v>
      </c>
    </row>
    <row r="111" spans="1:1">
      <c r="A111" t="s">
        <v>525</v>
      </c>
    </row>
    <row r="112" spans="1:1">
      <c r="A112" t="s">
        <v>140</v>
      </c>
    </row>
    <row r="113" spans="1:1">
      <c r="A113" t="s">
        <v>310</v>
      </c>
    </row>
    <row r="114" spans="1:1">
      <c r="A114" t="s">
        <v>184</v>
      </c>
    </row>
    <row r="115" spans="1:1">
      <c r="A115" t="s">
        <v>526</v>
      </c>
    </row>
    <row r="116" spans="1:1">
      <c r="A116" t="s">
        <v>284</v>
      </c>
    </row>
    <row r="117" spans="1:1">
      <c r="A117" t="s">
        <v>115</v>
      </c>
    </row>
    <row r="118" spans="1:1">
      <c r="A118" t="s">
        <v>146</v>
      </c>
    </row>
    <row r="119" spans="1:1">
      <c r="A119" t="s">
        <v>314</v>
      </c>
    </row>
    <row r="120" spans="1:1">
      <c r="A120" t="s">
        <v>271</v>
      </c>
    </row>
    <row r="121" spans="1:1">
      <c r="A121" t="s">
        <v>451</v>
      </c>
    </row>
    <row r="122" spans="1:1">
      <c r="A122" t="s">
        <v>527</v>
      </c>
    </row>
    <row r="123" spans="1:1">
      <c r="A123" t="s">
        <v>93</v>
      </c>
    </row>
    <row r="124" spans="1:1">
      <c r="A124" t="s">
        <v>253</v>
      </c>
    </row>
    <row r="125" spans="1:1">
      <c r="A125" t="s">
        <v>415</v>
      </c>
    </row>
    <row r="126" spans="1:1">
      <c r="A126" t="s">
        <v>419</v>
      </c>
    </row>
    <row r="127" spans="1:1">
      <c r="A127" t="s">
        <v>159</v>
      </c>
    </row>
    <row r="128" spans="1:1">
      <c r="A128" t="s">
        <v>339</v>
      </c>
    </row>
    <row r="129" spans="1:1">
      <c r="A129" t="s">
        <v>211</v>
      </c>
    </row>
    <row r="130" spans="1:1">
      <c r="A130" t="s">
        <v>295</v>
      </c>
    </row>
    <row r="131" spans="1:1">
      <c r="A131" t="s">
        <v>528</v>
      </c>
    </row>
    <row r="132" spans="1:1">
      <c r="A132" t="s">
        <v>309</v>
      </c>
    </row>
    <row r="133" spans="1:1">
      <c r="A133" t="s">
        <v>408</v>
      </c>
    </row>
    <row r="134" spans="1:1">
      <c r="A134" t="s">
        <v>165</v>
      </c>
    </row>
    <row r="135" spans="1:1">
      <c r="A135" t="s">
        <v>529</v>
      </c>
    </row>
    <row r="136" spans="1:1">
      <c r="A136" t="s">
        <v>251</v>
      </c>
    </row>
    <row r="137" spans="1:1">
      <c r="A137" t="s">
        <v>265</v>
      </c>
    </row>
    <row r="138" spans="1:1">
      <c r="A138" t="s">
        <v>196</v>
      </c>
    </row>
  </sheetData>
  <autoFilter ref="A1:A138">
    <extLst/>
  </autoFilter>
  <sortState ref="A2:B143">
    <sortCondition ref="A2"/>
  </sortState>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Database</vt:lpstr>
      <vt:lpstr>Metadata</vt:lpstr>
      <vt:lpstr>References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王兴</dc:creator>
  <cp:lastModifiedBy>86183</cp:lastModifiedBy>
  <dcterms:created xsi:type="dcterms:W3CDTF">2024-01-16T04:04:00Z</dcterms:created>
  <dcterms:modified xsi:type="dcterms:W3CDTF">2024-07-13T11:52:27Z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C80A3C29A951461CA2EABF610B72C0AE_12</vt:lpwstr>
  </property>
  <property fmtid="{D5CDD505-2E9C-101B-9397-08002B2CF9AE}" pid="3" name="KSOProductBuildVer">
    <vt:lpwstr>2052-12.1.0.16929</vt:lpwstr>
  </property>
</Properties>
</file>